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9"/>
  <workbookPr/>
  <mc:AlternateContent xmlns:mc="http://schemas.openxmlformats.org/markup-compatibility/2006">
    <mc:Choice Requires="x15">
      <x15ac:absPath xmlns:x15ac="http://schemas.microsoft.com/office/spreadsheetml/2010/11/ac" url="/Users/roberteugenedelcarlo/Desktop/IV_SSA_fSSI/IV/"/>
    </mc:Choice>
  </mc:AlternateContent>
  <xr:revisionPtr revIDLastSave="0" documentId="13_ncr:1_{180307D1-DAF1-CB4F-A8FF-86AB81FE177F}" xr6:coauthVersionLast="36" xr6:coauthVersionMax="36" xr10:uidLastSave="{00000000-0000-0000-0000-000000000000}"/>
  <bookViews>
    <workbookView xWindow="0" yWindow="0" windowWidth="25600" windowHeight="16000" tabRatio="825" xr2:uid="{00000000-000D-0000-FFFF-FFFF00000000}"/>
  </bookViews>
  <sheets>
    <sheet name="MetaData" sheetId="8" r:id="rId1"/>
    <sheet name="RawCurrent" sheetId="1" r:id="rId2"/>
    <sheet name="NormIV" sheetId="12" r:id="rId3"/>
    <sheet name="BLcorrectedCurrent" sheetId="11" r:id="rId4"/>
    <sheet name="CurrentDensity" sheetId="3" r:id="rId5"/>
    <sheet name="CurrentDensity_Fitted_params" sheetId="20" r:id="rId6"/>
    <sheet name="Central_Tendency_IV" sheetId="19" r:id="rId7"/>
    <sheet name="Central_Tendency_IV_Fitted" sheetId="21" r:id="rId8"/>
    <sheet name="Conductance_Eeq" sheetId="15" r:id="rId9"/>
    <sheet name="Conductance_Erev" sheetId="17" r:id="rId10"/>
    <sheet name="ApparentGatingCharge" sheetId="9" r:id="rId11"/>
    <sheet name="Reveral_Potential" sheetId="16" r:id="rId12"/>
    <sheet name="Tau_m_Rise_Time_ms" sheetId="5" r:id="rId13"/>
    <sheet name="Tau_h_decay_Time_ms" sheetId="6" r:id="rId14"/>
    <sheet name="Tau_m_to_h_ratio" sheetId="7" r:id="rId15"/>
    <sheet name="Macroscopic_Conductance" sheetId="10" r:id="rId16"/>
    <sheet name="IV_report" sheetId="4" r:id="rId17"/>
    <sheet name="IV_Curves" sheetId="13" r:id="rId18"/>
    <sheet name="IV_Current_Density_curves" sheetId="14" r:id="rId19"/>
  </sheets>
  <definedNames>
    <definedName name="direpn" localSheetId="1">RawCurrent!#REF!</definedName>
    <definedName name="direpn" localSheetId="11">Reveral_Potential!#REF!</definedName>
    <definedName name="dirlvnv" localSheetId="1">RawCurrent!$BL$34:$BL$129</definedName>
    <definedName name="dirlvnv" localSheetId="11">Reveral_Potential!$BL$34:$BL$128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A12" i="20" l="1"/>
  <c r="CA8" i="20"/>
  <c r="CA10" i="20"/>
  <c r="CA6" i="20"/>
  <c r="CR8" i="11"/>
  <c r="CS8" i="11"/>
  <c r="CT8" i="11"/>
  <c r="CR9" i="11"/>
  <c r="CS9" i="11"/>
  <c r="CT9" i="11"/>
  <c r="CR10" i="11"/>
  <c r="CS10" i="11"/>
  <c r="CT10" i="11"/>
  <c r="CR11" i="11"/>
  <c r="CS11" i="11"/>
  <c r="CT11" i="11"/>
  <c r="CR12" i="11"/>
  <c r="CS12" i="11"/>
  <c r="CT12" i="11"/>
  <c r="CR13" i="11"/>
  <c r="CS13" i="11"/>
  <c r="CT13" i="11"/>
  <c r="CR14" i="11"/>
  <c r="CS14" i="11"/>
  <c r="CT14" i="11"/>
  <c r="CR15" i="11"/>
  <c r="CS15" i="11"/>
  <c r="CT15" i="11"/>
  <c r="CR16" i="11"/>
  <c r="CS16" i="11"/>
  <c r="CT16" i="11"/>
  <c r="CR17" i="11"/>
  <c r="CS17" i="11"/>
  <c r="CT17" i="11"/>
  <c r="CR18" i="11"/>
  <c r="CS18" i="11"/>
  <c r="CT18" i="11"/>
  <c r="CR19" i="11"/>
  <c r="CS19" i="11"/>
  <c r="CT19" i="11"/>
  <c r="CR20" i="11"/>
  <c r="CS20" i="11"/>
  <c r="CT20" i="11"/>
  <c r="CR21" i="11"/>
  <c r="CS21" i="11"/>
  <c r="CT21" i="11"/>
  <c r="CR22" i="11"/>
  <c r="CS22" i="11"/>
  <c r="CT22" i="11"/>
  <c r="CR23" i="11"/>
  <c r="CS23" i="11"/>
  <c r="CT23" i="11"/>
  <c r="CT7" i="11"/>
  <c r="CS7" i="11"/>
  <c r="CR7" i="11"/>
  <c r="CG8" i="11"/>
  <c r="CG9" i="11"/>
  <c r="CG10" i="11"/>
  <c r="CG11" i="11"/>
  <c r="CG12" i="11"/>
  <c r="CG13" i="11"/>
  <c r="CG14" i="11"/>
  <c r="CG15" i="11"/>
  <c r="CG16" i="11"/>
  <c r="CG17" i="11"/>
  <c r="CG18" i="11"/>
  <c r="CG19" i="11"/>
  <c r="CG20" i="11"/>
  <c r="CG21" i="11"/>
  <c r="CG22" i="11"/>
  <c r="CG23" i="11"/>
  <c r="CG7" i="11"/>
  <c r="CG6" i="11"/>
  <c r="CF6" i="11"/>
  <c r="CF7" i="11"/>
  <c r="CF8" i="11"/>
  <c r="CF9" i="11"/>
  <c r="CF10" i="11"/>
  <c r="CF11" i="11"/>
  <c r="CF12" i="11"/>
  <c r="CF13" i="11"/>
  <c r="CF14" i="11"/>
  <c r="CF15" i="11"/>
  <c r="CF16" i="11"/>
  <c r="CF17" i="11"/>
  <c r="CF18" i="11"/>
  <c r="CF19" i="11"/>
  <c r="CF20" i="11"/>
  <c r="CF21" i="11"/>
  <c r="CF22" i="11"/>
  <c r="CF23" i="11"/>
  <c r="G8" i="3" l="1"/>
  <c r="G9" i="3" l="1"/>
  <c r="G10" i="3"/>
  <c r="G11" i="3"/>
  <c r="G12" i="3"/>
  <c r="G13" i="3"/>
  <c r="G14" i="3"/>
  <c r="G15" i="3"/>
  <c r="G16" i="3"/>
  <c r="G17" i="3"/>
  <c r="G18" i="3"/>
  <c r="G19" i="3"/>
  <c r="G20" i="3"/>
  <c r="G21" i="3"/>
  <c r="G22" i="3"/>
  <c r="G23" i="3"/>
  <c r="G8" i="11"/>
  <c r="G9" i="11"/>
  <c r="G10" i="11"/>
  <c r="G11" i="11"/>
  <c r="G12" i="11"/>
  <c r="G13" i="11"/>
  <c r="G14" i="11"/>
  <c r="G15" i="11"/>
  <c r="G16" i="11"/>
  <c r="G17" i="11"/>
  <c r="G18" i="11"/>
  <c r="G19" i="11"/>
  <c r="G20" i="11"/>
  <c r="G21" i="11"/>
  <c r="G22" i="11"/>
  <c r="G23" i="11"/>
  <c r="G8" i="12"/>
  <c r="G9" i="12"/>
  <c r="G10" i="12"/>
  <c r="G11" i="12"/>
  <c r="G12" i="12"/>
  <c r="G13" i="12"/>
  <c r="G14" i="12"/>
  <c r="G15" i="12"/>
  <c r="G16" i="12"/>
  <c r="G17" i="12"/>
  <c r="G18" i="12"/>
  <c r="G19" i="12"/>
  <c r="G20" i="12"/>
  <c r="G21" i="12"/>
  <c r="G22" i="12"/>
  <c r="G23" i="12"/>
  <c r="B8" i="9" l="1"/>
  <c r="B21"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AF21" i="9"/>
  <c r="AG21" i="9"/>
  <c r="AH21" i="9"/>
  <c r="AI21" i="9"/>
  <c r="AJ21" i="9"/>
  <c r="AK21" i="9"/>
  <c r="AL21" i="9"/>
  <c r="AM21" i="9"/>
  <c r="AN21" i="9"/>
  <c r="AO21" i="9"/>
  <c r="AP21" i="9"/>
  <c r="AQ21" i="9"/>
  <c r="AR21" i="9"/>
  <c r="AS21" i="9"/>
  <c r="AT21" i="9"/>
  <c r="AU21" i="9"/>
  <c r="AV21" i="9"/>
  <c r="AW21" i="9"/>
  <c r="AX21" i="9"/>
  <c r="AY21" i="9"/>
  <c r="AZ21" i="9"/>
  <c r="BA21" i="9"/>
  <c r="BB21" i="9"/>
  <c r="BC21" i="9"/>
  <c r="BD21" i="9"/>
  <c r="BE21" i="9"/>
  <c r="BF21" i="9"/>
  <c r="BG21" i="9"/>
  <c r="BH21" i="9"/>
  <c r="BI21" i="9"/>
  <c r="BJ21" i="9"/>
  <c r="BK21" i="9"/>
  <c r="BL21" i="9"/>
  <c r="BM21" i="9"/>
  <c r="BN21" i="9"/>
  <c r="BO21" i="9"/>
  <c r="BP21" i="9"/>
  <c r="BQ21" i="9"/>
  <c r="BR21" i="9"/>
  <c r="BS21" i="9"/>
  <c r="BT21" i="9"/>
  <c r="BU21" i="9"/>
  <c r="BV21" i="9"/>
  <c r="BW21" i="9"/>
  <c r="BX21" i="9"/>
  <c r="BY21" i="9"/>
  <c r="BZ21" i="9"/>
  <c r="CA21" i="9"/>
  <c r="CB21" i="9"/>
  <c r="CC21" i="9"/>
  <c r="CD21" i="9"/>
  <c r="B22"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AF22" i="9"/>
  <c r="AG22" i="9"/>
  <c r="AH22" i="9"/>
  <c r="AI22" i="9"/>
  <c r="AJ22" i="9"/>
  <c r="AK22" i="9"/>
  <c r="AL22" i="9"/>
  <c r="AM22" i="9"/>
  <c r="AN22" i="9"/>
  <c r="AO22" i="9"/>
  <c r="AP22" i="9"/>
  <c r="AQ22" i="9"/>
  <c r="AR22" i="9"/>
  <c r="AS22" i="9"/>
  <c r="AT22" i="9"/>
  <c r="AU22" i="9"/>
  <c r="AV22" i="9"/>
  <c r="AW22" i="9"/>
  <c r="AX22" i="9"/>
  <c r="AY22" i="9"/>
  <c r="AZ22" i="9"/>
  <c r="BA22" i="9"/>
  <c r="BB22" i="9"/>
  <c r="BC22" i="9"/>
  <c r="BD22" i="9"/>
  <c r="BE22" i="9"/>
  <c r="BF22" i="9"/>
  <c r="BG22" i="9"/>
  <c r="BH22" i="9"/>
  <c r="BI22" i="9"/>
  <c r="BJ22" i="9"/>
  <c r="BK22" i="9"/>
  <c r="BL22" i="9"/>
  <c r="BM22" i="9"/>
  <c r="BN22" i="9"/>
  <c r="BO22" i="9"/>
  <c r="BP22" i="9"/>
  <c r="BQ22" i="9"/>
  <c r="BR22" i="9"/>
  <c r="BS22" i="9"/>
  <c r="BT22" i="9"/>
  <c r="BU22" i="9"/>
  <c r="BV22" i="9"/>
  <c r="BW22" i="9"/>
  <c r="BX22" i="9"/>
  <c r="BY22" i="9"/>
  <c r="BZ22" i="9"/>
  <c r="CA22" i="9"/>
  <c r="CB22" i="9"/>
  <c r="CC22" i="9"/>
  <c r="CD22" i="9"/>
  <c r="B23"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AF23" i="9"/>
  <c r="AG23" i="9"/>
  <c r="AH23" i="9"/>
  <c r="AI23" i="9"/>
  <c r="AJ23" i="9"/>
  <c r="AK23" i="9"/>
  <c r="AL23" i="9"/>
  <c r="AM23" i="9"/>
  <c r="AN23" i="9"/>
  <c r="AO23" i="9"/>
  <c r="AP23" i="9"/>
  <c r="AQ23" i="9"/>
  <c r="AR23" i="9"/>
  <c r="AS23" i="9"/>
  <c r="AT23" i="9"/>
  <c r="AU23" i="9"/>
  <c r="AV23" i="9"/>
  <c r="AW23" i="9"/>
  <c r="AX23" i="9"/>
  <c r="AY23" i="9"/>
  <c r="AZ23" i="9"/>
  <c r="BA23" i="9"/>
  <c r="BB23" i="9"/>
  <c r="BC23" i="9"/>
  <c r="BD23" i="9"/>
  <c r="BE23" i="9"/>
  <c r="BF23" i="9"/>
  <c r="BG23" i="9"/>
  <c r="BH23" i="9"/>
  <c r="BI23" i="9"/>
  <c r="BJ23" i="9"/>
  <c r="BK23" i="9"/>
  <c r="BL23" i="9"/>
  <c r="BM23" i="9"/>
  <c r="BN23" i="9"/>
  <c r="BO23" i="9"/>
  <c r="BP23" i="9"/>
  <c r="BQ23" i="9"/>
  <c r="BR23" i="9"/>
  <c r="BS23" i="9"/>
  <c r="BT23" i="9"/>
  <c r="BU23" i="9"/>
  <c r="BV23" i="9"/>
  <c r="BW23" i="9"/>
  <c r="BX23" i="9"/>
  <c r="BY23" i="9"/>
  <c r="BZ23" i="9"/>
  <c r="CA23" i="9"/>
  <c r="CB23" i="9"/>
  <c r="CC23" i="9"/>
  <c r="CD23" i="9"/>
  <c r="B24"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AF24" i="9"/>
  <c r="AG24" i="9"/>
  <c r="AH24" i="9"/>
  <c r="AI24" i="9"/>
  <c r="AJ24" i="9"/>
  <c r="AK24" i="9"/>
  <c r="AL24" i="9"/>
  <c r="AM24" i="9"/>
  <c r="AN24" i="9"/>
  <c r="AO24" i="9"/>
  <c r="AP24" i="9"/>
  <c r="AQ24" i="9"/>
  <c r="AR24" i="9"/>
  <c r="AS24" i="9"/>
  <c r="AT24" i="9"/>
  <c r="AU24" i="9"/>
  <c r="AV24" i="9"/>
  <c r="AW24" i="9"/>
  <c r="AX24" i="9"/>
  <c r="AY24" i="9"/>
  <c r="AZ24" i="9"/>
  <c r="BA24" i="9"/>
  <c r="BB24" i="9"/>
  <c r="BC24" i="9"/>
  <c r="BD24" i="9"/>
  <c r="BE24" i="9"/>
  <c r="BF24" i="9"/>
  <c r="BG24" i="9"/>
  <c r="BH24" i="9"/>
  <c r="BI24" i="9"/>
  <c r="BJ24" i="9"/>
  <c r="BK24" i="9"/>
  <c r="BL24" i="9"/>
  <c r="BM24" i="9"/>
  <c r="BN24" i="9"/>
  <c r="BO24" i="9"/>
  <c r="BP24" i="9"/>
  <c r="BQ24" i="9"/>
  <c r="BR24" i="9"/>
  <c r="BS24" i="9"/>
  <c r="BT24" i="9"/>
  <c r="BU24" i="9"/>
  <c r="BV24" i="9"/>
  <c r="BW24" i="9"/>
  <c r="BX24" i="9"/>
  <c r="BY24" i="9"/>
  <c r="BZ24" i="9"/>
  <c r="CA24" i="9"/>
  <c r="CB24" i="9"/>
  <c r="CC24" i="9"/>
  <c r="CD24" i="9"/>
  <c r="B25"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AF25" i="9"/>
  <c r="AG25" i="9"/>
  <c r="AH25" i="9"/>
  <c r="AI25" i="9"/>
  <c r="AJ25" i="9"/>
  <c r="AK25" i="9"/>
  <c r="AL25" i="9"/>
  <c r="AM25" i="9"/>
  <c r="AN25" i="9"/>
  <c r="AO25" i="9"/>
  <c r="AP25" i="9"/>
  <c r="AQ25" i="9"/>
  <c r="AR25" i="9"/>
  <c r="AS25" i="9"/>
  <c r="AT25" i="9"/>
  <c r="AU25" i="9"/>
  <c r="AV25" i="9"/>
  <c r="AW25" i="9"/>
  <c r="AX25" i="9"/>
  <c r="AY25" i="9"/>
  <c r="AZ25" i="9"/>
  <c r="BA25" i="9"/>
  <c r="BB25" i="9"/>
  <c r="BC25" i="9"/>
  <c r="BD25" i="9"/>
  <c r="BE25" i="9"/>
  <c r="BF25" i="9"/>
  <c r="BG25" i="9"/>
  <c r="BH25" i="9"/>
  <c r="BI25" i="9"/>
  <c r="BJ25" i="9"/>
  <c r="BK25" i="9"/>
  <c r="BL25" i="9"/>
  <c r="BM25" i="9"/>
  <c r="BN25" i="9"/>
  <c r="BO25" i="9"/>
  <c r="BP25" i="9"/>
  <c r="BQ25" i="9"/>
  <c r="BR25" i="9"/>
  <c r="BS25" i="9"/>
  <c r="BT25" i="9"/>
  <c r="BU25" i="9"/>
  <c r="BV25" i="9"/>
  <c r="BW25" i="9"/>
  <c r="BX25" i="9"/>
  <c r="BY25" i="9"/>
  <c r="BZ25" i="9"/>
  <c r="CA25" i="9"/>
  <c r="CB25" i="9"/>
  <c r="CC25" i="9"/>
  <c r="CD25" i="9"/>
  <c r="B26"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AF26" i="9"/>
  <c r="AG26" i="9"/>
  <c r="AH26" i="9"/>
  <c r="AI26" i="9"/>
  <c r="AJ26" i="9"/>
  <c r="AK26" i="9"/>
  <c r="AL26" i="9"/>
  <c r="AM26" i="9"/>
  <c r="AN26" i="9"/>
  <c r="AO26" i="9"/>
  <c r="AP26" i="9"/>
  <c r="AQ26" i="9"/>
  <c r="AR26" i="9"/>
  <c r="AS26" i="9"/>
  <c r="AT26" i="9"/>
  <c r="AU26" i="9"/>
  <c r="AV26" i="9"/>
  <c r="AW26" i="9"/>
  <c r="AX26" i="9"/>
  <c r="AY26" i="9"/>
  <c r="AZ26" i="9"/>
  <c r="BA26" i="9"/>
  <c r="BB26" i="9"/>
  <c r="BC26" i="9"/>
  <c r="BD26" i="9"/>
  <c r="BE26" i="9"/>
  <c r="BF26" i="9"/>
  <c r="BG26" i="9"/>
  <c r="BH26" i="9"/>
  <c r="BI26" i="9"/>
  <c r="BJ26" i="9"/>
  <c r="BK26" i="9"/>
  <c r="BL26" i="9"/>
  <c r="BM26" i="9"/>
  <c r="BN26" i="9"/>
  <c r="BO26" i="9"/>
  <c r="BP26" i="9"/>
  <c r="BQ26" i="9"/>
  <c r="BR26" i="9"/>
  <c r="BS26" i="9"/>
  <c r="BT26" i="9"/>
  <c r="BU26" i="9"/>
  <c r="BV26" i="9"/>
  <c r="BW26" i="9"/>
  <c r="BX26" i="9"/>
  <c r="BY26" i="9"/>
  <c r="BZ26" i="9"/>
  <c r="CA26" i="9"/>
  <c r="CB26" i="9"/>
  <c r="CC26" i="9"/>
  <c r="CD26" i="9"/>
  <c r="B27"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AF27" i="9"/>
  <c r="AG27" i="9"/>
  <c r="AH27" i="9"/>
  <c r="AI27" i="9"/>
  <c r="AJ27" i="9"/>
  <c r="AK27" i="9"/>
  <c r="AL27" i="9"/>
  <c r="AM27" i="9"/>
  <c r="AN27" i="9"/>
  <c r="AO27" i="9"/>
  <c r="AP27" i="9"/>
  <c r="AQ27" i="9"/>
  <c r="AR27" i="9"/>
  <c r="AS27" i="9"/>
  <c r="AT27" i="9"/>
  <c r="AU27" i="9"/>
  <c r="AV27" i="9"/>
  <c r="AW27" i="9"/>
  <c r="AX27" i="9"/>
  <c r="AY27" i="9"/>
  <c r="AZ27" i="9"/>
  <c r="BA27" i="9"/>
  <c r="BB27" i="9"/>
  <c r="BC27" i="9"/>
  <c r="BD27" i="9"/>
  <c r="BE27" i="9"/>
  <c r="BF27" i="9"/>
  <c r="BG27" i="9"/>
  <c r="BH27" i="9"/>
  <c r="BI27" i="9"/>
  <c r="BJ27" i="9"/>
  <c r="BK27" i="9"/>
  <c r="BL27" i="9"/>
  <c r="BM27" i="9"/>
  <c r="BN27" i="9"/>
  <c r="BO27" i="9"/>
  <c r="BP27" i="9"/>
  <c r="BQ27" i="9"/>
  <c r="BR27" i="9"/>
  <c r="BS27" i="9"/>
  <c r="BT27" i="9"/>
  <c r="BU27" i="9"/>
  <c r="BV27" i="9"/>
  <c r="BW27" i="9"/>
  <c r="BX27" i="9"/>
  <c r="BY27" i="9"/>
  <c r="BZ27" i="9"/>
  <c r="CA27" i="9"/>
  <c r="CB27" i="9"/>
  <c r="CC27" i="9"/>
  <c r="CD27" i="9"/>
  <c r="B28"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AF28" i="9"/>
  <c r="AG28" i="9"/>
  <c r="AH28" i="9"/>
  <c r="AI28" i="9"/>
  <c r="AJ28" i="9"/>
  <c r="AK28" i="9"/>
  <c r="AL28" i="9"/>
  <c r="AM28" i="9"/>
  <c r="AN28" i="9"/>
  <c r="AO28" i="9"/>
  <c r="AP28" i="9"/>
  <c r="AQ28" i="9"/>
  <c r="AR28" i="9"/>
  <c r="AS28" i="9"/>
  <c r="AT28" i="9"/>
  <c r="AU28" i="9"/>
  <c r="AV28" i="9"/>
  <c r="AW28" i="9"/>
  <c r="AX28" i="9"/>
  <c r="AY28" i="9"/>
  <c r="AZ28" i="9"/>
  <c r="BA28" i="9"/>
  <c r="BB28" i="9"/>
  <c r="BC28" i="9"/>
  <c r="BD28" i="9"/>
  <c r="BE28" i="9"/>
  <c r="BF28" i="9"/>
  <c r="BG28" i="9"/>
  <c r="BH28" i="9"/>
  <c r="BI28" i="9"/>
  <c r="BJ28" i="9"/>
  <c r="BK28" i="9"/>
  <c r="BL28" i="9"/>
  <c r="BM28" i="9"/>
  <c r="BN28" i="9"/>
  <c r="BO28" i="9"/>
  <c r="BP28" i="9"/>
  <c r="BQ28" i="9"/>
  <c r="BR28" i="9"/>
  <c r="BS28" i="9"/>
  <c r="BT28" i="9"/>
  <c r="BU28" i="9"/>
  <c r="BV28" i="9"/>
  <c r="BW28" i="9"/>
  <c r="BX28" i="9"/>
  <c r="BY28" i="9"/>
  <c r="BZ28" i="9"/>
  <c r="CA28" i="9"/>
  <c r="CB28" i="9"/>
  <c r="CC28" i="9"/>
  <c r="CD28" i="9"/>
  <c r="B9" i="9"/>
  <c r="C9" i="9"/>
  <c r="D9" i="9"/>
  <c r="E9" i="9"/>
  <c r="F9" i="9"/>
  <c r="G9" i="9"/>
  <c r="H9" i="9"/>
  <c r="I9" i="9"/>
  <c r="J9" i="9"/>
  <c r="K9" i="9"/>
  <c r="L9" i="9"/>
  <c r="M9" i="9"/>
  <c r="N9" i="9"/>
  <c r="O9" i="9"/>
  <c r="P9" i="9"/>
  <c r="Q9" i="9"/>
  <c r="R9" i="9"/>
  <c r="S9" i="9"/>
  <c r="T9" i="9"/>
  <c r="U9" i="9"/>
  <c r="V9" i="9"/>
  <c r="W9" i="9"/>
  <c r="X9" i="9"/>
  <c r="Y9" i="9"/>
  <c r="Z9" i="9"/>
  <c r="AA9" i="9"/>
  <c r="AB9" i="9"/>
  <c r="AC9" i="9"/>
  <c r="AD9" i="9"/>
  <c r="AE9" i="9"/>
  <c r="AF9" i="9"/>
  <c r="AG9" i="9"/>
  <c r="AH9" i="9"/>
  <c r="AI9" i="9"/>
  <c r="AJ9" i="9"/>
  <c r="AK9" i="9"/>
  <c r="AL9" i="9"/>
  <c r="AM9" i="9"/>
  <c r="AN9" i="9"/>
  <c r="AO9" i="9"/>
  <c r="AP9" i="9"/>
  <c r="AQ9" i="9"/>
  <c r="AR9" i="9"/>
  <c r="AS9" i="9"/>
  <c r="AT9" i="9"/>
  <c r="AU9" i="9"/>
  <c r="AV9" i="9"/>
  <c r="AW9" i="9"/>
  <c r="AX9" i="9"/>
  <c r="AY9" i="9"/>
  <c r="AZ9" i="9"/>
  <c r="BA9" i="9"/>
  <c r="BC9" i="9"/>
  <c r="BD9" i="9"/>
  <c r="BE9" i="9"/>
  <c r="BF9" i="9"/>
  <c r="BG9" i="9"/>
  <c r="BH9" i="9"/>
  <c r="BI9" i="9"/>
  <c r="BJ9" i="9"/>
  <c r="BK9" i="9"/>
  <c r="BL9" i="9"/>
  <c r="BM9" i="9"/>
  <c r="BN9" i="9"/>
  <c r="BO9" i="9"/>
  <c r="BP9" i="9"/>
  <c r="BQ9" i="9"/>
  <c r="BR9" i="9"/>
  <c r="BS9" i="9"/>
  <c r="BT9" i="9"/>
  <c r="BU9" i="9"/>
  <c r="BV9" i="9"/>
  <c r="BW9" i="9"/>
  <c r="BX9" i="9"/>
  <c r="BY9" i="9"/>
  <c r="BZ9" i="9"/>
  <c r="CA9" i="9"/>
  <c r="CB9" i="9"/>
  <c r="CC9" i="9"/>
  <c r="CD9" i="9"/>
  <c r="B10"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AF10" i="9"/>
  <c r="AG10" i="9"/>
  <c r="AH10" i="9"/>
  <c r="AI10" i="9"/>
  <c r="AJ10" i="9"/>
  <c r="AK10" i="9"/>
  <c r="AL10" i="9"/>
  <c r="AM10" i="9"/>
  <c r="AN10" i="9"/>
  <c r="AO10" i="9"/>
  <c r="AP10" i="9"/>
  <c r="AQ10" i="9"/>
  <c r="AR10" i="9"/>
  <c r="AS10" i="9"/>
  <c r="AT10" i="9"/>
  <c r="AU10" i="9"/>
  <c r="AV10" i="9"/>
  <c r="AW10" i="9"/>
  <c r="AX10" i="9"/>
  <c r="AY10" i="9"/>
  <c r="AZ10" i="9"/>
  <c r="BA10" i="9"/>
  <c r="BD10" i="9"/>
  <c r="BF10" i="9"/>
  <c r="BG10" i="9"/>
  <c r="BH10" i="9"/>
  <c r="BI10" i="9"/>
  <c r="BJ10" i="9"/>
  <c r="BK10" i="9"/>
  <c r="BL10" i="9"/>
  <c r="BM10" i="9"/>
  <c r="BN10" i="9"/>
  <c r="BO10" i="9"/>
  <c r="BP10" i="9"/>
  <c r="BQ10" i="9"/>
  <c r="BR10" i="9"/>
  <c r="BS10" i="9"/>
  <c r="BT10" i="9"/>
  <c r="BU10" i="9"/>
  <c r="BV10" i="9"/>
  <c r="BW10" i="9"/>
  <c r="BX10" i="9"/>
  <c r="BY10" i="9"/>
  <c r="BZ10" i="9"/>
  <c r="CA10" i="9"/>
  <c r="CB10" i="9"/>
  <c r="CC10" i="9"/>
  <c r="CD10" i="9"/>
  <c r="B11"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AF11" i="9"/>
  <c r="AG11" i="9"/>
  <c r="AH11" i="9"/>
  <c r="AI11" i="9"/>
  <c r="AJ11" i="9"/>
  <c r="AK11" i="9"/>
  <c r="AL11" i="9"/>
  <c r="AM11" i="9"/>
  <c r="AN11" i="9"/>
  <c r="AO11" i="9"/>
  <c r="AP11" i="9"/>
  <c r="AQ11" i="9"/>
  <c r="AR11" i="9"/>
  <c r="AS11" i="9"/>
  <c r="AT11" i="9"/>
  <c r="AU11" i="9"/>
  <c r="AV11" i="9"/>
  <c r="AW11" i="9"/>
  <c r="AX11" i="9"/>
  <c r="AY11" i="9"/>
  <c r="AZ11" i="9"/>
  <c r="BA11" i="9"/>
  <c r="BD11" i="9"/>
  <c r="BE11" i="9"/>
  <c r="BF11" i="9"/>
  <c r="BG11" i="9"/>
  <c r="BH11" i="9"/>
  <c r="BI11" i="9"/>
  <c r="BK11" i="9"/>
  <c r="BL11" i="9"/>
  <c r="BM11" i="9"/>
  <c r="BN11" i="9"/>
  <c r="BO11" i="9"/>
  <c r="BP11" i="9"/>
  <c r="BQ11" i="9"/>
  <c r="BR11" i="9"/>
  <c r="BS11" i="9"/>
  <c r="BT11" i="9"/>
  <c r="BV11" i="9"/>
  <c r="BW11" i="9"/>
  <c r="BX11" i="9"/>
  <c r="BY11" i="9"/>
  <c r="BZ11" i="9"/>
  <c r="CA11" i="9"/>
  <c r="CB11" i="9"/>
  <c r="CC11" i="9"/>
  <c r="CD11" i="9"/>
  <c r="B12"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AF12" i="9"/>
  <c r="AG12" i="9"/>
  <c r="AH12" i="9"/>
  <c r="AI12" i="9"/>
  <c r="AJ12" i="9"/>
  <c r="AK12" i="9"/>
  <c r="AL12" i="9"/>
  <c r="AM12" i="9"/>
  <c r="AN12" i="9"/>
  <c r="AO12" i="9"/>
  <c r="AP12" i="9"/>
  <c r="AQ12" i="9"/>
  <c r="AR12" i="9"/>
  <c r="AS12" i="9"/>
  <c r="AT12" i="9"/>
  <c r="AU12" i="9"/>
  <c r="AV12" i="9"/>
  <c r="AW12" i="9"/>
  <c r="AX12" i="9"/>
  <c r="AY12" i="9"/>
  <c r="AZ12" i="9"/>
  <c r="BA12" i="9"/>
  <c r="BB12" i="9"/>
  <c r="BC12" i="9"/>
  <c r="BD12" i="9"/>
  <c r="BE12" i="9"/>
  <c r="BF12" i="9"/>
  <c r="BG12" i="9"/>
  <c r="BH12" i="9"/>
  <c r="BI12" i="9"/>
  <c r="BJ12" i="9"/>
  <c r="BK12" i="9"/>
  <c r="BL12" i="9"/>
  <c r="BM12" i="9"/>
  <c r="BN12" i="9"/>
  <c r="BO12" i="9"/>
  <c r="BP12" i="9"/>
  <c r="BQ12" i="9"/>
  <c r="BR12" i="9"/>
  <c r="BS12" i="9"/>
  <c r="BT12" i="9"/>
  <c r="BU12" i="9"/>
  <c r="BV12" i="9"/>
  <c r="BW12" i="9"/>
  <c r="BX12" i="9"/>
  <c r="BY12" i="9"/>
  <c r="BZ12" i="9"/>
  <c r="CA12" i="9"/>
  <c r="CB12" i="9"/>
  <c r="CC12" i="9"/>
  <c r="CD12" i="9"/>
  <c r="B13"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AF13" i="9"/>
  <c r="AG13" i="9"/>
  <c r="AH13" i="9"/>
  <c r="AI13" i="9"/>
  <c r="AJ13" i="9"/>
  <c r="AK13" i="9"/>
  <c r="AL13" i="9"/>
  <c r="AM13" i="9"/>
  <c r="AN13" i="9"/>
  <c r="AO13" i="9"/>
  <c r="AP13" i="9"/>
  <c r="AQ13" i="9"/>
  <c r="AR13" i="9"/>
  <c r="AS13" i="9"/>
  <c r="AT13" i="9"/>
  <c r="AU13" i="9"/>
  <c r="AV13" i="9"/>
  <c r="AW13" i="9"/>
  <c r="AX13" i="9"/>
  <c r="AY13" i="9"/>
  <c r="AZ13" i="9"/>
  <c r="BA13" i="9"/>
  <c r="BB13" i="9"/>
  <c r="BC13" i="9"/>
  <c r="BD13" i="9"/>
  <c r="BE13" i="9"/>
  <c r="BF13" i="9"/>
  <c r="BG13" i="9"/>
  <c r="BH13" i="9"/>
  <c r="BI13" i="9"/>
  <c r="BJ13" i="9"/>
  <c r="BK13" i="9"/>
  <c r="BL13" i="9"/>
  <c r="BM13" i="9"/>
  <c r="BN13" i="9"/>
  <c r="BO13" i="9"/>
  <c r="BP13" i="9"/>
  <c r="BQ13" i="9"/>
  <c r="BR13" i="9"/>
  <c r="BS13" i="9"/>
  <c r="BT13" i="9"/>
  <c r="BU13" i="9"/>
  <c r="BV13" i="9"/>
  <c r="BW13" i="9"/>
  <c r="BX13" i="9"/>
  <c r="BY13" i="9"/>
  <c r="BZ13" i="9"/>
  <c r="CA13" i="9"/>
  <c r="CB13" i="9"/>
  <c r="CC13" i="9"/>
  <c r="CD13" i="9"/>
  <c r="B14" i="9"/>
  <c r="C14" i="9"/>
  <c r="D14" i="9"/>
  <c r="E14" i="9"/>
  <c r="F14" i="9"/>
  <c r="G14" i="9"/>
  <c r="H14" i="9"/>
  <c r="I14" i="9"/>
  <c r="J14" i="9"/>
  <c r="K14" i="9"/>
  <c r="L14" i="9"/>
  <c r="M14" i="9"/>
  <c r="N14" i="9"/>
  <c r="O14" i="9"/>
  <c r="P14" i="9"/>
  <c r="Q14" i="9"/>
  <c r="R14" i="9"/>
  <c r="S14" i="9"/>
  <c r="T14" i="9"/>
  <c r="U14" i="9"/>
  <c r="V14" i="9"/>
  <c r="W14" i="9"/>
  <c r="X14" i="9"/>
  <c r="Y14" i="9"/>
  <c r="Z14" i="9"/>
  <c r="AA14" i="9"/>
  <c r="AB14" i="9"/>
  <c r="AC14" i="9"/>
  <c r="AD14" i="9"/>
  <c r="AE14" i="9"/>
  <c r="AF14" i="9"/>
  <c r="AG14" i="9"/>
  <c r="AH14" i="9"/>
  <c r="AI14" i="9"/>
  <c r="AJ14" i="9"/>
  <c r="AK14" i="9"/>
  <c r="AL14" i="9"/>
  <c r="AM14" i="9"/>
  <c r="AN14" i="9"/>
  <c r="AO14" i="9"/>
  <c r="AP14" i="9"/>
  <c r="AQ14" i="9"/>
  <c r="AR14" i="9"/>
  <c r="AS14" i="9"/>
  <c r="AT14" i="9"/>
  <c r="AU14" i="9"/>
  <c r="AV14" i="9"/>
  <c r="AW14" i="9"/>
  <c r="AX14" i="9"/>
  <c r="AY14" i="9"/>
  <c r="AZ14" i="9"/>
  <c r="BA14" i="9"/>
  <c r="BB14" i="9"/>
  <c r="BC14" i="9"/>
  <c r="BD14" i="9"/>
  <c r="BE14" i="9"/>
  <c r="BF14" i="9"/>
  <c r="BG14" i="9"/>
  <c r="BH14" i="9"/>
  <c r="BI14" i="9"/>
  <c r="BJ14" i="9"/>
  <c r="BK14" i="9"/>
  <c r="BL14" i="9"/>
  <c r="BM14" i="9"/>
  <c r="BN14" i="9"/>
  <c r="BO14" i="9"/>
  <c r="BP14" i="9"/>
  <c r="BQ14" i="9"/>
  <c r="BR14" i="9"/>
  <c r="BS14" i="9"/>
  <c r="BT14" i="9"/>
  <c r="BU14" i="9"/>
  <c r="BV14" i="9"/>
  <c r="BW14" i="9"/>
  <c r="BX14" i="9"/>
  <c r="BY14" i="9"/>
  <c r="BZ14" i="9"/>
  <c r="CA14" i="9"/>
  <c r="CB14" i="9"/>
  <c r="CC14" i="9"/>
  <c r="CD14" i="9"/>
  <c r="B15"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AF15" i="9"/>
  <c r="AG15" i="9"/>
  <c r="AH15" i="9"/>
  <c r="AI15" i="9"/>
  <c r="AJ15" i="9"/>
  <c r="AK15" i="9"/>
  <c r="AL15" i="9"/>
  <c r="AM15" i="9"/>
  <c r="AN15" i="9"/>
  <c r="AO15" i="9"/>
  <c r="AP15" i="9"/>
  <c r="AQ15" i="9"/>
  <c r="AR15" i="9"/>
  <c r="AS15" i="9"/>
  <c r="AT15" i="9"/>
  <c r="AU15" i="9"/>
  <c r="AV15" i="9"/>
  <c r="AW15" i="9"/>
  <c r="AX15" i="9"/>
  <c r="AY15" i="9"/>
  <c r="AZ15" i="9"/>
  <c r="BA15" i="9"/>
  <c r="BB15" i="9"/>
  <c r="BC15" i="9"/>
  <c r="BD15" i="9"/>
  <c r="BE15" i="9"/>
  <c r="BF15" i="9"/>
  <c r="BG15" i="9"/>
  <c r="BH15" i="9"/>
  <c r="BI15" i="9"/>
  <c r="BJ15" i="9"/>
  <c r="BK15" i="9"/>
  <c r="BL15" i="9"/>
  <c r="BM15" i="9"/>
  <c r="BN15" i="9"/>
  <c r="BO15" i="9"/>
  <c r="BP15" i="9"/>
  <c r="BQ15" i="9"/>
  <c r="BR15" i="9"/>
  <c r="BS15" i="9"/>
  <c r="BT15" i="9"/>
  <c r="BV15" i="9"/>
  <c r="BW15" i="9"/>
  <c r="BX15" i="9"/>
  <c r="BY15" i="9"/>
  <c r="BZ15" i="9"/>
  <c r="CA15" i="9"/>
  <c r="CB15" i="9"/>
  <c r="CC15" i="9"/>
  <c r="CD15" i="9"/>
  <c r="B16" i="9"/>
  <c r="C16" i="9"/>
  <c r="D16" i="9"/>
  <c r="E16" i="9"/>
  <c r="F16" i="9"/>
  <c r="G16" i="9"/>
  <c r="H16" i="9"/>
  <c r="I16" i="9"/>
  <c r="J16" i="9"/>
  <c r="K16" i="9"/>
  <c r="L16" i="9"/>
  <c r="M16" i="9"/>
  <c r="N16" i="9"/>
  <c r="O16" i="9"/>
  <c r="P16" i="9"/>
  <c r="Q16" i="9"/>
  <c r="R16" i="9"/>
  <c r="S16" i="9"/>
  <c r="T16" i="9"/>
  <c r="U16" i="9"/>
  <c r="V16" i="9"/>
  <c r="W16" i="9"/>
  <c r="X16" i="9"/>
  <c r="Y16" i="9"/>
  <c r="Z16" i="9"/>
  <c r="AA16" i="9"/>
  <c r="AB16" i="9"/>
  <c r="AC16" i="9"/>
  <c r="AD16" i="9"/>
  <c r="AE16" i="9"/>
  <c r="AF16" i="9"/>
  <c r="AG16" i="9"/>
  <c r="AH16" i="9"/>
  <c r="AI16" i="9"/>
  <c r="AJ16" i="9"/>
  <c r="AK16" i="9"/>
  <c r="AL16" i="9"/>
  <c r="AM16" i="9"/>
  <c r="AN16" i="9"/>
  <c r="AO16" i="9"/>
  <c r="AP16" i="9"/>
  <c r="AQ16" i="9"/>
  <c r="AR16" i="9"/>
  <c r="AS16" i="9"/>
  <c r="AT16" i="9"/>
  <c r="AU16" i="9"/>
  <c r="AV16" i="9"/>
  <c r="AW16" i="9"/>
  <c r="AX16" i="9"/>
  <c r="AY16" i="9"/>
  <c r="AZ16" i="9"/>
  <c r="BA16" i="9"/>
  <c r="BB16" i="9"/>
  <c r="BC16" i="9"/>
  <c r="BD16" i="9"/>
  <c r="BE16" i="9"/>
  <c r="BF16" i="9"/>
  <c r="BG16" i="9"/>
  <c r="BH16" i="9"/>
  <c r="BI16" i="9"/>
  <c r="BJ16" i="9"/>
  <c r="BK16" i="9"/>
  <c r="BL16" i="9"/>
  <c r="BM16" i="9"/>
  <c r="BN16" i="9"/>
  <c r="BO16" i="9"/>
  <c r="BP16" i="9"/>
  <c r="BQ16" i="9"/>
  <c r="BR16" i="9"/>
  <c r="BS16" i="9"/>
  <c r="BT16" i="9"/>
  <c r="BU16" i="9"/>
  <c r="BV16" i="9"/>
  <c r="BW16" i="9"/>
  <c r="BX16" i="9"/>
  <c r="BY16" i="9"/>
  <c r="BZ16" i="9"/>
  <c r="CA16" i="9"/>
  <c r="CB16" i="9"/>
  <c r="CC16" i="9"/>
  <c r="CD16" i="9"/>
  <c r="B17"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AF17" i="9"/>
  <c r="AG17" i="9"/>
  <c r="AH17" i="9"/>
  <c r="AI17" i="9"/>
  <c r="AJ17" i="9"/>
  <c r="AK17" i="9"/>
  <c r="AL17" i="9"/>
  <c r="AM17" i="9"/>
  <c r="AN17" i="9"/>
  <c r="AO17" i="9"/>
  <c r="AP17" i="9"/>
  <c r="AQ17" i="9"/>
  <c r="AR17" i="9"/>
  <c r="AS17" i="9"/>
  <c r="AT17" i="9"/>
  <c r="AU17" i="9"/>
  <c r="AV17" i="9"/>
  <c r="AW17" i="9"/>
  <c r="AX17" i="9"/>
  <c r="AY17" i="9"/>
  <c r="AZ17" i="9"/>
  <c r="BA17" i="9"/>
  <c r="BB17" i="9"/>
  <c r="BC17" i="9"/>
  <c r="BD17" i="9"/>
  <c r="BE17" i="9"/>
  <c r="BF17" i="9"/>
  <c r="BG17" i="9"/>
  <c r="BH17" i="9"/>
  <c r="BI17" i="9"/>
  <c r="BJ17" i="9"/>
  <c r="BK17" i="9"/>
  <c r="BL17" i="9"/>
  <c r="BM17" i="9"/>
  <c r="BN17" i="9"/>
  <c r="BO17" i="9"/>
  <c r="BP17" i="9"/>
  <c r="BQ17" i="9"/>
  <c r="BR17" i="9"/>
  <c r="BS17" i="9"/>
  <c r="BT17" i="9"/>
  <c r="BU17" i="9"/>
  <c r="BV17" i="9"/>
  <c r="BW17" i="9"/>
  <c r="BX17" i="9"/>
  <c r="BY17" i="9"/>
  <c r="BZ17" i="9"/>
  <c r="CA17" i="9"/>
  <c r="CB17" i="9"/>
  <c r="CC17" i="9"/>
  <c r="CD17" i="9"/>
  <c r="B18"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AF18" i="9"/>
  <c r="AG18" i="9"/>
  <c r="AH18" i="9"/>
  <c r="AI18" i="9"/>
  <c r="AJ18" i="9"/>
  <c r="AK18" i="9"/>
  <c r="AL18" i="9"/>
  <c r="AM18" i="9"/>
  <c r="AN18" i="9"/>
  <c r="AO18" i="9"/>
  <c r="AP18" i="9"/>
  <c r="AQ18" i="9"/>
  <c r="AR18" i="9"/>
  <c r="AS18" i="9"/>
  <c r="AT18" i="9"/>
  <c r="AU18" i="9"/>
  <c r="AV18" i="9"/>
  <c r="AW18" i="9"/>
  <c r="AX18" i="9"/>
  <c r="AY18" i="9"/>
  <c r="AZ18" i="9"/>
  <c r="BA18" i="9"/>
  <c r="BB18" i="9"/>
  <c r="BC18" i="9"/>
  <c r="BD18" i="9"/>
  <c r="BE18" i="9"/>
  <c r="BF18" i="9"/>
  <c r="BG18" i="9"/>
  <c r="BH18" i="9"/>
  <c r="BI18" i="9"/>
  <c r="BJ18" i="9"/>
  <c r="BK18" i="9"/>
  <c r="BL18" i="9"/>
  <c r="BM18" i="9"/>
  <c r="BN18" i="9"/>
  <c r="BO18" i="9"/>
  <c r="BP18" i="9"/>
  <c r="BQ18" i="9"/>
  <c r="BR18" i="9"/>
  <c r="BS18" i="9"/>
  <c r="BT18" i="9"/>
  <c r="BU18" i="9"/>
  <c r="BV18" i="9"/>
  <c r="BW18" i="9"/>
  <c r="BX18" i="9"/>
  <c r="BY18" i="9"/>
  <c r="BZ18" i="9"/>
  <c r="CA18" i="9"/>
  <c r="CB18" i="9"/>
  <c r="CC18" i="9"/>
  <c r="CD18" i="9"/>
  <c r="B19"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AF19" i="9"/>
  <c r="AG19" i="9"/>
  <c r="AH19" i="9"/>
  <c r="AI19" i="9"/>
  <c r="AJ19" i="9"/>
  <c r="AK19" i="9"/>
  <c r="AL19" i="9"/>
  <c r="AM19" i="9"/>
  <c r="AO19" i="9"/>
  <c r="AP19" i="9"/>
  <c r="AQ19" i="9"/>
  <c r="AR19" i="9"/>
  <c r="AS19" i="9"/>
  <c r="AT19" i="9"/>
  <c r="AU19" i="9"/>
  <c r="AV19" i="9"/>
  <c r="AW19" i="9"/>
  <c r="AX19" i="9"/>
  <c r="AY19" i="9"/>
  <c r="AZ19" i="9"/>
  <c r="BA19" i="9"/>
  <c r="BB19" i="9"/>
  <c r="BC19" i="9"/>
  <c r="BD19" i="9"/>
  <c r="BE19" i="9"/>
  <c r="BF19" i="9"/>
  <c r="BG19" i="9"/>
  <c r="BH19" i="9"/>
  <c r="BI19" i="9"/>
  <c r="BJ19" i="9"/>
  <c r="BK19" i="9"/>
  <c r="BL19" i="9"/>
  <c r="BM19" i="9"/>
  <c r="BN19" i="9"/>
  <c r="BO19" i="9"/>
  <c r="BP19" i="9"/>
  <c r="BQ19" i="9"/>
  <c r="BR19" i="9"/>
  <c r="BS19" i="9"/>
  <c r="BT19" i="9"/>
  <c r="BU19" i="9"/>
  <c r="BV19" i="9"/>
  <c r="BW19" i="9"/>
  <c r="BX19" i="9"/>
  <c r="BZ19" i="9"/>
  <c r="CA19" i="9"/>
  <c r="CB19" i="9"/>
  <c r="CC19" i="9"/>
  <c r="CD19" i="9"/>
  <c r="B20"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AF20" i="9"/>
  <c r="AG20" i="9"/>
  <c r="AH20" i="9"/>
  <c r="AI20" i="9"/>
  <c r="AJ20" i="9"/>
  <c r="AK20" i="9"/>
  <c r="AL20" i="9"/>
  <c r="AM20" i="9"/>
  <c r="AN20" i="9"/>
  <c r="AO20" i="9"/>
  <c r="AP20" i="9"/>
  <c r="AQ20" i="9"/>
  <c r="AR20" i="9"/>
  <c r="AS20" i="9"/>
  <c r="AT20" i="9"/>
  <c r="AU20" i="9"/>
  <c r="AV20" i="9"/>
  <c r="AW20" i="9"/>
  <c r="AX20" i="9"/>
  <c r="AY20" i="9"/>
  <c r="AZ20" i="9"/>
  <c r="BA20" i="9"/>
  <c r="BB20" i="9"/>
  <c r="BC20" i="9"/>
  <c r="BD20" i="9"/>
  <c r="BE20" i="9"/>
  <c r="BF20" i="9"/>
  <c r="BG20" i="9"/>
  <c r="BH20" i="9"/>
  <c r="BI20" i="9"/>
  <c r="BJ20" i="9"/>
  <c r="BK20" i="9"/>
  <c r="BL20" i="9"/>
  <c r="BM20" i="9"/>
  <c r="BN20" i="9"/>
  <c r="BO20" i="9"/>
  <c r="BP20" i="9"/>
  <c r="BQ20" i="9"/>
  <c r="BR20" i="9"/>
  <c r="BS20" i="9"/>
  <c r="BT20" i="9"/>
  <c r="BU20" i="9"/>
  <c r="BV20" i="9"/>
  <c r="BW20" i="9"/>
  <c r="BX20" i="9"/>
  <c r="BY20" i="9"/>
  <c r="BZ20" i="9"/>
  <c r="CA20" i="9"/>
  <c r="CB20" i="9"/>
  <c r="CC20" i="9"/>
  <c r="CD20" i="9"/>
  <c r="C8" i="9"/>
  <c r="D8" i="9"/>
  <c r="E8" i="9"/>
  <c r="F8" i="9"/>
  <c r="G8" i="9"/>
  <c r="H8" i="9"/>
  <c r="I8" i="9"/>
  <c r="J8" i="9"/>
  <c r="K8" i="9"/>
  <c r="L8" i="9"/>
  <c r="M8" i="9"/>
  <c r="N8" i="9"/>
  <c r="O8" i="9"/>
  <c r="P8" i="9"/>
  <c r="Q8" i="9"/>
  <c r="R8" i="9"/>
  <c r="S8" i="9"/>
  <c r="T8" i="9"/>
  <c r="U8" i="9"/>
  <c r="V8" i="9"/>
  <c r="W8" i="9"/>
  <c r="X8" i="9"/>
  <c r="Y8" i="9"/>
  <c r="Z8" i="9"/>
  <c r="AA8" i="9"/>
  <c r="AB8" i="9"/>
  <c r="AC8" i="9"/>
  <c r="AD8" i="9"/>
  <c r="AE8" i="9"/>
  <c r="AF8" i="9"/>
  <c r="AG8" i="9"/>
  <c r="AH8" i="9"/>
  <c r="AI8" i="9"/>
  <c r="AJ8" i="9"/>
  <c r="AK8" i="9"/>
  <c r="AL8" i="9"/>
  <c r="AM8" i="9"/>
  <c r="AN8" i="9"/>
  <c r="AO8" i="9"/>
  <c r="AP8" i="9"/>
  <c r="AQ8" i="9"/>
  <c r="AR8" i="9"/>
  <c r="AS8" i="9"/>
  <c r="AT8" i="9"/>
  <c r="AU8" i="9"/>
  <c r="AV8" i="9"/>
  <c r="AW8" i="9"/>
  <c r="AX8" i="9"/>
  <c r="AY8" i="9"/>
  <c r="AZ8" i="9"/>
  <c r="BA8" i="9"/>
  <c r="BC8" i="9"/>
  <c r="BD8" i="9"/>
  <c r="BF8" i="9"/>
  <c r="BG8" i="9"/>
  <c r="BH8" i="9"/>
  <c r="BI8" i="9"/>
  <c r="BJ8" i="9"/>
  <c r="BK8" i="9"/>
  <c r="BL8" i="9"/>
  <c r="BM8" i="9"/>
  <c r="BN8" i="9"/>
  <c r="BO8" i="9"/>
  <c r="BP8" i="9"/>
  <c r="BQ8" i="9"/>
  <c r="BR8" i="9"/>
  <c r="BS8" i="9"/>
  <c r="BT8" i="9"/>
  <c r="BV8" i="9"/>
  <c r="BW8" i="9"/>
  <c r="BX8" i="9"/>
  <c r="BY8" i="9"/>
  <c r="BZ8" i="9"/>
  <c r="CA8" i="9"/>
  <c r="CB8" i="9"/>
  <c r="CC8" i="9"/>
  <c r="CD8" i="9"/>
  <c r="AO9" i="16" l="1"/>
  <c r="AP9" i="16"/>
  <c r="AQ9" i="16"/>
  <c r="AR9" i="16"/>
  <c r="AS9" i="16"/>
  <c r="AT9" i="16"/>
  <c r="AU9" i="16"/>
  <c r="AV9" i="16"/>
  <c r="AW9" i="16"/>
  <c r="AX9" i="16"/>
  <c r="AY9" i="16"/>
  <c r="AZ9" i="16"/>
  <c r="BA9" i="16"/>
  <c r="BB9" i="16"/>
  <c r="BC9" i="16"/>
  <c r="BD9" i="16"/>
  <c r="BE9" i="16"/>
  <c r="BF9" i="16"/>
  <c r="BG9" i="16"/>
  <c r="BH9" i="16"/>
  <c r="BI9" i="16"/>
  <c r="BJ9" i="16"/>
  <c r="BK9" i="16"/>
  <c r="BL9" i="16"/>
  <c r="BM9" i="16"/>
  <c r="BN9" i="16"/>
  <c r="BO9" i="16"/>
  <c r="BP9" i="16"/>
  <c r="BQ9" i="16"/>
  <c r="BR9" i="16"/>
  <c r="BS9" i="16"/>
  <c r="BT9" i="16"/>
  <c r="BU9" i="16"/>
  <c r="BV9" i="16"/>
  <c r="BW9" i="16"/>
  <c r="BX9" i="16"/>
  <c r="BY9" i="16"/>
  <c r="BZ9" i="16"/>
  <c r="CA9" i="16"/>
  <c r="CB9" i="16"/>
  <c r="CC9" i="16"/>
  <c r="CD9" i="16"/>
  <c r="CP8" i="20" l="1"/>
  <c r="CQ8" i="20"/>
  <c r="CR8" i="20"/>
  <c r="CP10" i="20"/>
  <c r="CQ10" i="20"/>
  <c r="CR10" i="20"/>
  <c r="CP12" i="20"/>
  <c r="CQ12" i="20"/>
  <c r="CR12" i="20"/>
  <c r="CR6" i="20"/>
  <c r="CQ6" i="20"/>
  <c r="CP6" i="20"/>
  <c r="CG6" i="20"/>
  <c r="CM8" i="20"/>
  <c r="CN8" i="20"/>
  <c r="CO8" i="20"/>
  <c r="CM10" i="20"/>
  <c r="CN10" i="20"/>
  <c r="CO10" i="20"/>
  <c r="CM12" i="20"/>
  <c r="CN12" i="20"/>
  <c r="CO12" i="20"/>
  <c r="CO6" i="20"/>
  <c r="CN6" i="20"/>
  <c r="CM6" i="20"/>
  <c r="CD6" i="20"/>
  <c r="CJ8" i="20"/>
  <c r="CK8" i="20"/>
  <c r="CL8" i="20"/>
  <c r="CJ10" i="20"/>
  <c r="CK10" i="20"/>
  <c r="CL10" i="20"/>
  <c r="CJ12" i="20"/>
  <c r="CK12" i="20"/>
  <c r="CL12" i="20"/>
  <c r="CL6" i="20"/>
  <c r="CK6" i="20"/>
  <c r="CJ6" i="20"/>
  <c r="CG8" i="20"/>
  <c r="CH8" i="20"/>
  <c r="CI8" i="20"/>
  <c r="CG10" i="20"/>
  <c r="CH10" i="20"/>
  <c r="CI10" i="20"/>
  <c r="CG12" i="20"/>
  <c r="CH12" i="20"/>
  <c r="CI12" i="20"/>
  <c r="CI6" i="20"/>
  <c r="CH6" i="20"/>
  <c r="CD8" i="20"/>
  <c r="CE8" i="20"/>
  <c r="CF8" i="20"/>
  <c r="CD10" i="20"/>
  <c r="CE10" i="20"/>
  <c r="CF10" i="20"/>
  <c r="CD12" i="20"/>
  <c r="CE12" i="20"/>
  <c r="CF12" i="20"/>
  <c r="CF6" i="20"/>
  <c r="CE6" i="20"/>
  <c r="CB8" i="20"/>
  <c r="CC8" i="20"/>
  <c r="CB10" i="20"/>
  <c r="CC10" i="20"/>
  <c r="CB12" i="20"/>
  <c r="CC12" i="20"/>
  <c r="CC6" i="20"/>
  <c r="CB6" i="20"/>
  <c r="BZ5" i="20"/>
  <c r="BY5" i="20"/>
  <c r="BX5" i="20"/>
  <c r="BW5" i="20"/>
  <c r="BV5" i="20"/>
  <c r="BU5" i="20"/>
  <c r="BT5" i="20"/>
  <c r="BS5" i="20"/>
  <c r="BR5" i="20"/>
  <c r="BQ5" i="20"/>
  <c r="BP5" i="20"/>
  <c r="BO5" i="20"/>
  <c r="BN5" i="20"/>
  <c r="BM5" i="20"/>
  <c r="BL5" i="20"/>
  <c r="BK5" i="20"/>
  <c r="BJ5" i="20"/>
  <c r="BI5" i="20"/>
  <c r="BH5" i="20"/>
  <c r="BG5" i="20"/>
  <c r="BF5" i="20"/>
  <c r="BE5" i="20"/>
  <c r="BD5" i="20"/>
  <c r="BC5" i="20"/>
  <c r="BB5" i="20"/>
  <c r="BA5" i="20"/>
  <c r="AZ5" i="20"/>
  <c r="AY5" i="20"/>
  <c r="AX5" i="20"/>
  <c r="AW5" i="20"/>
  <c r="AV5" i="20"/>
  <c r="AU5" i="20"/>
  <c r="AT5" i="20"/>
  <c r="AS5" i="20"/>
  <c r="AR5" i="20"/>
  <c r="AQ5" i="20"/>
  <c r="AP5" i="20"/>
  <c r="AO5" i="20"/>
  <c r="AN5" i="20"/>
  <c r="AM5" i="20"/>
  <c r="AL5" i="20"/>
  <c r="AK5" i="20"/>
  <c r="AJ5" i="20"/>
  <c r="AI5" i="20"/>
  <c r="AH5" i="20"/>
  <c r="AG5" i="20"/>
  <c r="AF5" i="20"/>
  <c r="AE5" i="20"/>
  <c r="AD5" i="20"/>
  <c r="AC5" i="20"/>
  <c r="AB5" i="20"/>
  <c r="AA5" i="20"/>
  <c r="Z5" i="20"/>
  <c r="Y5" i="20"/>
  <c r="X5" i="20"/>
  <c r="W5" i="20"/>
  <c r="V5" i="20"/>
  <c r="U5" i="20"/>
  <c r="T5" i="20"/>
  <c r="S5" i="20"/>
  <c r="R5" i="20"/>
  <c r="Q5" i="20"/>
  <c r="P5" i="20"/>
  <c r="O5" i="20"/>
  <c r="N5" i="20"/>
  <c r="M5" i="20"/>
  <c r="L5" i="20"/>
  <c r="K5" i="20"/>
  <c r="J5" i="20"/>
  <c r="I5" i="20"/>
  <c r="H5" i="20"/>
  <c r="G5" i="20"/>
  <c r="F5" i="20"/>
  <c r="E5" i="20"/>
  <c r="D5" i="20"/>
  <c r="C5" i="20"/>
  <c r="B5" i="20"/>
  <c r="BZ4" i="20"/>
  <c r="BY4" i="20"/>
  <c r="BX4" i="20"/>
  <c r="BW4" i="20"/>
  <c r="BV4" i="20"/>
  <c r="BU4" i="20"/>
  <c r="BT4" i="20"/>
  <c r="BS4" i="20"/>
  <c r="BR4" i="20"/>
  <c r="BQ4" i="20"/>
  <c r="BP4" i="20"/>
  <c r="BO4" i="20"/>
  <c r="BN4" i="20"/>
  <c r="BM4" i="20"/>
  <c r="BL4" i="20"/>
  <c r="BK4" i="20"/>
  <c r="BJ4" i="20"/>
  <c r="BI4" i="20"/>
  <c r="BH4" i="20"/>
  <c r="BG4" i="20"/>
  <c r="BF4" i="20"/>
  <c r="BE4" i="20"/>
  <c r="BD4" i="20"/>
  <c r="BC4" i="20"/>
  <c r="BB4" i="20"/>
  <c r="BA4" i="20"/>
  <c r="AZ4" i="20"/>
  <c r="AY4" i="20"/>
  <c r="AX4" i="20"/>
  <c r="AW4" i="20"/>
  <c r="AV4" i="20"/>
  <c r="AU4" i="20"/>
  <c r="AT4" i="20"/>
  <c r="AS4" i="20"/>
  <c r="AR4" i="20"/>
  <c r="AQ4" i="20"/>
  <c r="AP4" i="20"/>
  <c r="AO4" i="20"/>
  <c r="AN4" i="20"/>
  <c r="AM4" i="20"/>
  <c r="AL4" i="20"/>
  <c r="AK4" i="20"/>
  <c r="AJ4" i="20"/>
  <c r="AI4" i="20"/>
  <c r="AH4" i="20"/>
  <c r="AG4" i="20"/>
  <c r="AF4" i="20"/>
  <c r="AE4" i="20"/>
  <c r="AD4" i="20"/>
  <c r="AC4" i="20"/>
  <c r="AB4" i="20"/>
  <c r="AA4" i="20"/>
  <c r="Z4" i="20"/>
  <c r="Y4" i="20"/>
  <c r="X4" i="20"/>
  <c r="W4" i="20"/>
  <c r="V4" i="20"/>
  <c r="U4" i="20"/>
  <c r="T4" i="20"/>
  <c r="S4" i="20"/>
  <c r="R4" i="20"/>
  <c r="Q4" i="20"/>
  <c r="P4" i="20"/>
  <c r="O4" i="20"/>
  <c r="N4" i="20"/>
  <c r="M4" i="20"/>
  <c r="L4" i="20"/>
  <c r="K4" i="20"/>
  <c r="J4" i="20"/>
  <c r="I4" i="20"/>
  <c r="H4" i="20"/>
  <c r="G4" i="20"/>
  <c r="F4" i="20"/>
  <c r="E4" i="20"/>
  <c r="D4" i="20"/>
  <c r="C4" i="20"/>
  <c r="B4" i="20"/>
  <c r="BZ3" i="20"/>
  <c r="BY3" i="20"/>
  <c r="BX3" i="20"/>
  <c r="BW3" i="20"/>
  <c r="BV3" i="20"/>
  <c r="BU3" i="20"/>
  <c r="BT3" i="20"/>
  <c r="BS3" i="20"/>
  <c r="BR3" i="20"/>
  <c r="BQ3" i="20"/>
  <c r="BP3" i="20"/>
  <c r="BO3" i="20"/>
  <c r="BN3" i="20"/>
  <c r="BM3" i="20"/>
  <c r="BL3" i="20"/>
  <c r="BK3" i="20"/>
  <c r="BJ3" i="20"/>
  <c r="BI3" i="20"/>
  <c r="BH3" i="20"/>
  <c r="BG3" i="20"/>
  <c r="BF3" i="20"/>
  <c r="BE3" i="20"/>
  <c r="BD3" i="20"/>
  <c r="BC3" i="20"/>
  <c r="BB3" i="20"/>
  <c r="BA3" i="20"/>
  <c r="AZ3" i="20"/>
  <c r="AY3" i="20"/>
  <c r="AX3" i="20"/>
  <c r="AW3" i="20"/>
  <c r="AV3" i="20"/>
  <c r="AU3" i="20"/>
  <c r="AT3" i="20"/>
  <c r="AS3" i="20"/>
  <c r="AR3" i="20"/>
  <c r="AQ3" i="20"/>
  <c r="AP3" i="20"/>
  <c r="AO3" i="20"/>
  <c r="AN3" i="20"/>
  <c r="AM3" i="20"/>
  <c r="AL3" i="20"/>
  <c r="AK3" i="20"/>
  <c r="AJ3" i="20"/>
  <c r="AI3" i="20"/>
  <c r="AH3" i="20"/>
  <c r="AG3" i="20"/>
  <c r="AF3" i="20"/>
  <c r="AE3" i="20"/>
  <c r="AD3" i="20"/>
  <c r="AC3" i="20"/>
  <c r="AB3" i="20"/>
  <c r="AA3" i="20"/>
  <c r="Z3" i="20"/>
  <c r="Y3" i="20"/>
  <c r="X3" i="20"/>
  <c r="W3" i="20"/>
  <c r="V3" i="20"/>
  <c r="U3" i="20"/>
  <c r="T3" i="20"/>
  <c r="S3" i="20"/>
  <c r="R3" i="20"/>
  <c r="Q3" i="20"/>
  <c r="P3" i="20"/>
  <c r="O3" i="20"/>
  <c r="N3" i="20"/>
  <c r="M3" i="20"/>
  <c r="L3" i="20"/>
  <c r="K3" i="20"/>
  <c r="J3" i="20"/>
  <c r="I3" i="20"/>
  <c r="H3" i="20"/>
  <c r="G3" i="20"/>
  <c r="F3" i="20"/>
  <c r="E3" i="20"/>
  <c r="D3" i="20"/>
  <c r="C3" i="20"/>
  <c r="B3" i="20"/>
  <c r="BZ2" i="20"/>
  <c r="BY2" i="20"/>
  <c r="BX2" i="20"/>
  <c r="BW2" i="20"/>
  <c r="BV2" i="20"/>
  <c r="BU2" i="20"/>
  <c r="BT2" i="20"/>
  <c r="BS2" i="20"/>
  <c r="BR2" i="20"/>
  <c r="BQ2" i="20"/>
  <c r="BP2" i="20"/>
  <c r="BO2" i="20"/>
  <c r="BN2" i="20"/>
  <c r="BM2" i="20"/>
  <c r="BL2" i="20"/>
  <c r="BK2" i="20"/>
  <c r="BJ2" i="20"/>
  <c r="BI2" i="20"/>
  <c r="BH2" i="20"/>
  <c r="BG2" i="20"/>
  <c r="BF2" i="20"/>
  <c r="BE2" i="20"/>
  <c r="BD2" i="20"/>
  <c r="BC2" i="20"/>
  <c r="BB2" i="20"/>
  <c r="BA2" i="20"/>
  <c r="AZ2" i="20"/>
  <c r="AY2" i="20"/>
  <c r="AX2" i="20"/>
  <c r="AW2" i="20"/>
  <c r="AV2" i="20"/>
  <c r="AU2" i="20"/>
  <c r="AT2" i="20"/>
  <c r="AS2" i="20"/>
  <c r="AR2" i="20"/>
  <c r="AQ2" i="20"/>
  <c r="AP2"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E2" i="20"/>
  <c r="D2" i="20"/>
  <c r="C2" i="20"/>
  <c r="B2" i="20"/>
  <c r="BZ1" i="20"/>
  <c r="BY1" i="20"/>
  <c r="BX1" i="20"/>
  <c r="BW1" i="20"/>
  <c r="BV1" i="20"/>
  <c r="BU1" i="20"/>
  <c r="BT1" i="20"/>
  <c r="BS1" i="20"/>
  <c r="BR1" i="20"/>
  <c r="BQ1" i="20"/>
  <c r="BP1" i="20"/>
  <c r="BO1" i="20"/>
  <c r="BN1" i="20"/>
  <c r="BM1" i="20"/>
  <c r="BL1" i="20"/>
  <c r="BK1" i="20"/>
  <c r="BJ1" i="20"/>
  <c r="BI1" i="20"/>
  <c r="BH1" i="20"/>
  <c r="BG1" i="20"/>
  <c r="BF1" i="20"/>
  <c r="BE1" i="20"/>
  <c r="BD1" i="20"/>
  <c r="BC1" i="20"/>
  <c r="BB1" i="20"/>
  <c r="BA1" i="20"/>
  <c r="AZ1" i="20"/>
  <c r="AY1" i="20"/>
  <c r="AX1" i="20"/>
  <c r="AW1" i="20"/>
  <c r="AV1" i="20"/>
  <c r="AU1" i="20"/>
  <c r="AT1" i="20"/>
  <c r="AS1" i="20"/>
  <c r="AR1" i="20"/>
  <c r="AQ1" i="20"/>
  <c r="AP1" i="20"/>
  <c r="AO1" i="20"/>
  <c r="AN1" i="20"/>
  <c r="AM1" i="20"/>
  <c r="AL1" i="20"/>
  <c r="AK1" i="20"/>
  <c r="AJ1" i="20"/>
  <c r="AI1" i="20"/>
  <c r="AH1" i="20"/>
  <c r="AG1" i="20"/>
  <c r="AF1" i="20"/>
  <c r="AE1" i="20"/>
  <c r="AD1" i="20"/>
  <c r="AC1" i="20"/>
  <c r="AB1" i="20"/>
  <c r="AA1" i="20"/>
  <c r="Z1" i="20"/>
  <c r="Y1" i="20"/>
  <c r="X1" i="20"/>
  <c r="W1" i="20"/>
  <c r="V1" i="20"/>
  <c r="U1" i="20"/>
  <c r="T1" i="20"/>
  <c r="S1" i="20"/>
  <c r="R1" i="20"/>
  <c r="Q1" i="20"/>
  <c r="P1" i="20"/>
  <c r="O1" i="20"/>
  <c r="N1" i="20"/>
  <c r="M1" i="20"/>
  <c r="L1" i="20"/>
  <c r="K1" i="20"/>
  <c r="J1" i="20"/>
  <c r="I1" i="20"/>
  <c r="H1" i="20"/>
  <c r="G1" i="20"/>
  <c r="F1" i="20"/>
  <c r="E1" i="20"/>
  <c r="D1" i="20"/>
  <c r="C1" i="20"/>
  <c r="B1" i="20"/>
  <c r="BQ2" i="3"/>
  <c r="BQ3" i="3"/>
  <c r="BQ4" i="3"/>
  <c r="BQ5" i="3"/>
  <c r="A3" i="19"/>
  <c r="A4" i="19" s="1"/>
  <c r="A5" i="19" s="1"/>
  <c r="A6" i="19" s="1"/>
  <c r="A7" i="19" s="1"/>
  <c r="A8" i="19" s="1"/>
  <c r="A9" i="19" s="1"/>
  <c r="A10" i="19" s="1"/>
  <c r="A11" i="19" s="1"/>
  <c r="A12" i="19" s="1"/>
  <c r="A13" i="19" s="1"/>
  <c r="A14" i="19" s="1"/>
  <c r="A15" i="19" s="1"/>
  <c r="A16" i="19" s="1"/>
  <c r="A17" i="19" s="1"/>
  <c r="A18" i="19" s="1"/>
  <c r="A9" i="17" l="1"/>
  <c r="A10" i="17"/>
  <c r="A11" i="17" s="1"/>
  <c r="A12" i="17" s="1"/>
  <c r="A13" i="17" s="1"/>
  <c r="A14" i="17" s="1"/>
  <c r="A15" i="17" s="1"/>
  <c r="A16" i="17" s="1"/>
  <c r="A17" i="17" s="1"/>
  <c r="A18" i="17" s="1"/>
  <c r="A19" i="17" s="1"/>
  <c r="A20" i="17" s="1"/>
  <c r="A21" i="17" s="1"/>
  <c r="A22" i="17" s="1"/>
  <c r="A23" i="17" s="1"/>
  <c r="A24" i="17" s="1"/>
  <c r="A25" i="17" s="1"/>
  <c r="A26" i="17" s="1"/>
  <c r="A27" i="17" s="1"/>
  <c r="A8" i="17"/>
  <c r="A20" i="15" l="1"/>
  <c r="A21" i="15"/>
  <c r="A22" i="15"/>
  <c r="A23" i="15"/>
  <c r="A24" i="15" s="1"/>
  <c r="A25" i="15" s="1"/>
  <c r="A26" i="15" s="1"/>
  <c r="A27" i="15" s="1"/>
  <c r="A19" i="15"/>
  <c r="L3" i="14" l="1"/>
  <c r="M3" i="14"/>
  <c r="L4" i="14"/>
  <c r="M4" i="14"/>
  <c r="L5" i="14"/>
  <c r="M5" i="14"/>
  <c r="L6" i="14"/>
  <c r="M6" i="14"/>
  <c r="L7" i="14"/>
  <c r="M7" i="14"/>
  <c r="L8" i="14"/>
  <c r="M8" i="14"/>
  <c r="L9" i="14"/>
  <c r="M9" i="14"/>
  <c r="L10" i="14"/>
  <c r="M10" i="14"/>
  <c r="L11" i="14"/>
  <c r="M11" i="14"/>
  <c r="L12" i="14"/>
  <c r="M12" i="14"/>
  <c r="L13" i="14"/>
  <c r="M13" i="14"/>
  <c r="L14" i="14"/>
  <c r="M14" i="14"/>
  <c r="L15" i="14"/>
  <c r="M15" i="14"/>
  <c r="L16" i="14"/>
  <c r="M16" i="14"/>
  <c r="L17" i="14"/>
  <c r="M17" i="14"/>
  <c r="L18" i="14"/>
  <c r="M18" i="14"/>
  <c r="H3" i="14"/>
  <c r="I3" i="14"/>
  <c r="H4" i="14"/>
  <c r="I4" i="14"/>
  <c r="H5" i="14"/>
  <c r="I5" i="14"/>
  <c r="H6" i="14"/>
  <c r="I6" i="14"/>
  <c r="H7" i="14"/>
  <c r="I7" i="14"/>
  <c r="H8" i="14"/>
  <c r="I8" i="14"/>
  <c r="H9" i="14"/>
  <c r="I9" i="14"/>
  <c r="H10" i="14"/>
  <c r="I10" i="14"/>
  <c r="H11" i="14"/>
  <c r="I11" i="14"/>
  <c r="H12" i="14"/>
  <c r="I12" i="14"/>
  <c r="H13" i="14"/>
  <c r="I13" i="14"/>
  <c r="H14" i="14"/>
  <c r="I14" i="14"/>
  <c r="H15" i="14"/>
  <c r="I15" i="14"/>
  <c r="H16" i="14"/>
  <c r="I16" i="14"/>
  <c r="H17" i="14"/>
  <c r="I17" i="14"/>
  <c r="H18" i="14"/>
  <c r="I18" i="14"/>
  <c r="D3" i="14"/>
  <c r="E3" i="14"/>
  <c r="D4" i="14"/>
  <c r="E4" i="14"/>
  <c r="D5" i="14"/>
  <c r="E5" i="14"/>
  <c r="D6" i="14"/>
  <c r="E6" i="14"/>
  <c r="D7" i="14"/>
  <c r="E7" i="14"/>
  <c r="D8" i="14"/>
  <c r="E8" i="14"/>
  <c r="D9" i="14"/>
  <c r="E9" i="14"/>
  <c r="D10" i="14"/>
  <c r="E10" i="14"/>
  <c r="D11" i="14"/>
  <c r="E11" i="14"/>
  <c r="D12" i="14"/>
  <c r="E12" i="14"/>
  <c r="D13" i="14"/>
  <c r="E13" i="14"/>
  <c r="D14" i="14"/>
  <c r="E14" i="14"/>
  <c r="D15" i="14"/>
  <c r="E15" i="14"/>
  <c r="D16" i="14"/>
  <c r="E16" i="14"/>
  <c r="D17" i="14"/>
  <c r="E17" i="14"/>
  <c r="D18" i="14"/>
  <c r="E18" i="14"/>
  <c r="M2" i="14"/>
  <c r="L2" i="14"/>
  <c r="I2" i="14"/>
  <c r="H2" i="14"/>
  <c r="E2" i="14"/>
  <c r="D2" i="14"/>
  <c r="BB8" i="3"/>
  <c r="BB9" i="3"/>
  <c r="BB10" i="3"/>
  <c r="BJ10" i="3"/>
  <c r="BU10" i="3"/>
  <c r="BU14" i="3"/>
  <c r="AN18" i="3"/>
  <c r="AN19" i="3"/>
  <c r="AN20" i="3"/>
  <c r="AN21" i="3"/>
  <c r="BF21" i="3"/>
  <c r="AN22" i="3"/>
  <c r="AN23" i="3"/>
  <c r="BB23" i="3"/>
  <c r="BI23" i="3"/>
  <c r="K27" i="3"/>
  <c r="M27" i="3"/>
  <c r="K28" i="3"/>
  <c r="M28" i="3"/>
  <c r="BB7" i="3"/>
  <c r="BE7" i="3"/>
  <c r="CC1" i="3"/>
  <c r="CD1" i="3"/>
  <c r="CC2" i="3"/>
  <c r="CD2" i="3"/>
  <c r="CC3" i="3"/>
  <c r="CD3" i="3"/>
  <c r="CC4" i="3"/>
  <c r="CD4" i="3"/>
  <c r="CC5" i="3"/>
  <c r="CD5" i="3"/>
  <c r="BN1" i="3"/>
  <c r="BO1" i="3"/>
  <c r="BP1" i="3"/>
  <c r="BQ1" i="3"/>
  <c r="BR1" i="3"/>
  <c r="BS1" i="3"/>
  <c r="BT1" i="3"/>
  <c r="BU1" i="3"/>
  <c r="BV1" i="3"/>
  <c r="BW1" i="3"/>
  <c r="BX1" i="3"/>
  <c r="BY1" i="3"/>
  <c r="BZ1" i="3"/>
  <c r="CA1" i="3"/>
  <c r="CB1" i="3"/>
  <c r="BN2" i="3"/>
  <c r="BO2" i="3"/>
  <c r="BP2" i="3"/>
  <c r="BR2" i="3"/>
  <c r="BS2" i="3"/>
  <c r="BT2" i="3"/>
  <c r="BU2" i="3"/>
  <c r="BV2" i="3"/>
  <c r="BW2" i="3"/>
  <c r="BX2" i="3"/>
  <c r="BY2" i="3"/>
  <c r="BZ2" i="3"/>
  <c r="CA2" i="3"/>
  <c r="CB2" i="3"/>
  <c r="BN3" i="3"/>
  <c r="BO3" i="3"/>
  <c r="BP3" i="3"/>
  <c r="BR3" i="3"/>
  <c r="BS3" i="3"/>
  <c r="BT3" i="3"/>
  <c r="BU3" i="3"/>
  <c r="BV3" i="3"/>
  <c r="BW3" i="3"/>
  <c r="BX3" i="3"/>
  <c r="BY3" i="3"/>
  <c r="BZ3" i="3"/>
  <c r="CA3" i="3"/>
  <c r="CB3" i="3"/>
  <c r="BN4" i="3"/>
  <c r="BO4" i="3"/>
  <c r="BP4" i="3"/>
  <c r="BR4" i="3"/>
  <c r="BS4" i="3"/>
  <c r="BT4" i="3"/>
  <c r="BU4" i="3"/>
  <c r="BV4" i="3"/>
  <c r="BW4" i="3"/>
  <c r="BX4" i="3"/>
  <c r="BY4" i="3"/>
  <c r="BZ4" i="3"/>
  <c r="CA4" i="3"/>
  <c r="CB4" i="3"/>
  <c r="BN5" i="3"/>
  <c r="BO5" i="3"/>
  <c r="BP5" i="3"/>
  <c r="BR5" i="3"/>
  <c r="BS5" i="3"/>
  <c r="BT5" i="3"/>
  <c r="BU5" i="3"/>
  <c r="BV5" i="3"/>
  <c r="BW5" i="3"/>
  <c r="BX5" i="3"/>
  <c r="BY5" i="3"/>
  <c r="BZ5" i="3"/>
  <c r="CA5" i="3"/>
  <c r="CB5" i="3"/>
  <c r="C1" i="3"/>
  <c r="D1" i="3"/>
  <c r="E1" i="3"/>
  <c r="F1" i="3"/>
  <c r="G1" i="3"/>
  <c r="H1" i="3"/>
  <c r="I1" i="3"/>
  <c r="J1" i="3"/>
  <c r="K1" i="3"/>
  <c r="L1" i="3"/>
  <c r="M1" i="3"/>
  <c r="N1" i="3"/>
  <c r="O1" i="3"/>
  <c r="P1" i="3"/>
  <c r="Q1" i="3"/>
  <c r="R1" i="3"/>
  <c r="S1" i="3"/>
  <c r="T1" i="3"/>
  <c r="U1" i="3"/>
  <c r="V1" i="3"/>
  <c r="W1" i="3"/>
  <c r="X1" i="3"/>
  <c r="Y1" i="3"/>
  <c r="Z1" i="3"/>
  <c r="AA1" i="3"/>
  <c r="AB1" i="3"/>
  <c r="AC1" i="3"/>
  <c r="AD1" i="3"/>
  <c r="AE1" i="3"/>
  <c r="AF1" i="3"/>
  <c r="AG1" i="3"/>
  <c r="AH1" i="3"/>
  <c r="AI1" i="3"/>
  <c r="AJ1" i="3"/>
  <c r="AK1" i="3"/>
  <c r="AL1" i="3"/>
  <c r="AM1" i="3"/>
  <c r="AN1" i="3"/>
  <c r="AO1" i="3"/>
  <c r="AP1" i="3"/>
  <c r="AQ1" i="3"/>
  <c r="AR1" i="3"/>
  <c r="AS1" i="3"/>
  <c r="AT1" i="3"/>
  <c r="AU1" i="3"/>
  <c r="AV1" i="3"/>
  <c r="AW1" i="3"/>
  <c r="AX1" i="3"/>
  <c r="AY1" i="3"/>
  <c r="AZ1" i="3"/>
  <c r="BA1" i="3"/>
  <c r="BB1" i="3"/>
  <c r="BC1" i="3"/>
  <c r="BD1" i="3"/>
  <c r="BE1" i="3"/>
  <c r="BF1" i="3"/>
  <c r="BG1" i="3"/>
  <c r="BH1" i="3"/>
  <c r="BI1" i="3"/>
  <c r="BJ1" i="3"/>
  <c r="BK1" i="3"/>
  <c r="BL1" i="3"/>
  <c r="BM1" i="3"/>
  <c r="C2" i="3"/>
  <c r="D2" i="3"/>
  <c r="E2" i="3"/>
  <c r="F2" i="3"/>
  <c r="G2" i="3"/>
  <c r="H2" i="3"/>
  <c r="I2" i="3"/>
  <c r="J2" i="3"/>
  <c r="K2" i="3"/>
  <c r="L2" i="3"/>
  <c r="M2" i="3"/>
  <c r="N2" i="3"/>
  <c r="O2" i="3"/>
  <c r="P2" i="3"/>
  <c r="Q2" i="3"/>
  <c r="R2" i="3"/>
  <c r="S2" i="3"/>
  <c r="T2" i="3"/>
  <c r="U2" i="3"/>
  <c r="V2" i="3"/>
  <c r="W2" i="3"/>
  <c r="X2" i="3"/>
  <c r="Y2" i="3"/>
  <c r="Z2" i="3"/>
  <c r="AA2" i="3"/>
  <c r="AB2" i="3"/>
  <c r="AC2" i="3"/>
  <c r="AD2" i="3"/>
  <c r="AE2" i="3"/>
  <c r="AF2" i="3"/>
  <c r="AG2" i="3"/>
  <c r="AH2" i="3"/>
  <c r="AI2" i="3"/>
  <c r="AJ2" i="3"/>
  <c r="AK2" i="3"/>
  <c r="AL2" i="3"/>
  <c r="AM2" i="3"/>
  <c r="AN2" i="3"/>
  <c r="AO2" i="3"/>
  <c r="AP2" i="3"/>
  <c r="AQ2" i="3"/>
  <c r="AR2" i="3"/>
  <c r="AS2" i="3"/>
  <c r="AT2" i="3"/>
  <c r="AU2" i="3"/>
  <c r="AV2" i="3"/>
  <c r="AW2" i="3"/>
  <c r="AX2" i="3"/>
  <c r="AY2" i="3"/>
  <c r="AZ2" i="3"/>
  <c r="BA2" i="3"/>
  <c r="BB2" i="3"/>
  <c r="BC2" i="3"/>
  <c r="BD2" i="3"/>
  <c r="BE2" i="3"/>
  <c r="BF2" i="3"/>
  <c r="BG2" i="3"/>
  <c r="BH2" i="3"/>
  <c r="BI2" i="3"/>
  <c r="BJ2" i="3"/>
  <c r="BK2" i="3"/>
  <c r="BL2" i="3"/>
  <c r="BM2" i="3"/>
  <c r="C3" i="3"/>
  <c r="D3" i="3"/>
  <c r="E3" i="3"/>
  <c r="F3" i="3"/>
  <c r="G3" i="3"/>
  <c r="H3" i="3"/>
  <c r="I3" i="3"/>
  <c r="J3" i="3"/>
  <c r="K3" i="3"/>
  <c r="L3" i="3"/>
  <c r="M3" i="3"/>
  <c r="N3" i="3"/>
  <c r="O3" i="3"/>
  <c r="P3" i="3"/>
  <c r="Q3" i="3"/>
  <c r="R3" i="3"/>
  <c r="S3" i="3"/>
  <c r="T3" i="3"/>
  <c r="U3" i="3"/>
  <c r="V3" i="3"/>
  <c r="W3" i="3"/>
  <c r="X3" i="3"/>
  <c r="Y3" i="3"/>
  <c r="Z3" i="3"/>
  <c r="AA3" i="3"/>
  <c r="AB3" i="3"/>
  <c r="AC3" i="3"/>
  <c r="AD3" i="3"/>
  <c r="AE3" i="3"/>
  <c r="AF3" i="3"/>
  <c r="AG3" i="3"/>
  <c r="AH3" i="3"/>
  <c r="AI3" i="3"/>
  <c r="AJ3" i="3"/>
  <c r="AK3" i="3"/>
  <c r="AL3" i="3"/>
  <c r="AM3" i="3"/>
  <c r="AN3" i="3"/>
  <c r="AO3" i="3"/>
  <c r="AP3" i="3"/>
  <c r="AQ3" i="3"/>
  <c r="AR3" i="3"/>
  <c r="AS3" i="3"/>
  <c r="AT3" i="3"/>
  <c r="AU3" i="3"/>
  <c r="AV3" i="3"/>
  <c r="AW3" i="3"/>
  <c r="AX3" i="3"/>
  <c r="AY3" i="3"/>
  <c r="AZ3" i="3"/>
  <c r="BA3" i="3"/>
  <c r="BB3" i="3"/>
  <c r="BC3" i="3"/>
  <c r="BD3" i="3"/>
  <c r="BE3" i="3"/>
  <c r="BF3" i="3"/>
  <c r="BG3" i="3"/>
  <c r="BH3" i="3"/>
  <c r="BI3" i="3"/>
  <c r="BJ3" i="3"/>
  <c r="BK3" i="3"/>
  <c r="BL3" i="3"/>
  <c r="BM3" i="3"/>
  <c r="C4" i="3"/>
  <c r="D4" i="3"/>
  <c r="E4" i="3"/>
  <c r="F4" i="3"/>
  <c r="G4" i="3"/>
  <c r="H4" i="3"/>
  <c r="I4" i="3"/>
  <c r="J4" i="3"/>
  <c r="K4" i="3"/>
  <c r="L4" i="3"/>
  <c r="M4" i="3"/>
  <c r="N4" i="3"/>
  <c r="O4" i="3"/>
  <c r="P4" i="3"/>
  <c r="Q4" i="3"/>
  <c r="R4" i="3"/>
  <c r="S4" i="3"/>
  <c r="T4" i="3"/>
  <c r="U4" i="3"/>
  <c r="V4" i="3"/>
  <c r="W4" i="3"/>
  <c r="X4" i="3"/>
  <c r="Y4" i="3"/>
  <c r="Z4" i="3"/>
  <c r="AA4" i="3"/>
  <c r="AB4" i="3"/>
  <c r="AC4" i="3"/>
  <c r="AD4" i="3"/>
  <c r="AE4" i="3"/>
  <c r="AF4" i="3"/>
  <c r="AG4" i="3"/>
  <c r="AH4" i="3"/>
  <c r="AI4" i="3"/>
  <c r="AJ4" i="3"/>
  <c r="AK4" i="3"/>
  <c r="AL4" i="3"/>
  <c r="AM4" i="3"/>
  <c r="AN4" i="3"/>
  <c r="AO4" i="3"/>
  <c r="AP4" i="3"/>
  <c r="AQ4" i="3"/>
  <c r="AR4" i="3"/>
  <c r="AS4" i="3"/>
  <c r="AT4" i="3"/>
  <c r="AU4" i="3"/>
  <c r="AV4" i="3"/>
  <c r="AW4" i="3"/>
  <c r="AX4" i="3"/>
  <c r="AY4" i="3"/>
  <c r="AZ4" i="3"/>
  <c r="BA4" i="3"/>
  <c r="BB4" i="3"/>
  <c r="BC4" i="3"/>
  <c r="BD4" i="3"/>
  <c r="BE4" i="3"/>
  <c r="BF4" i="3"/>
  <c r="BG4" i="3"/>
  <c r="BH4" i="3"/>
  <c r="BI4" i="3"/>
  <c r="BJ4" i="3"/>
  <c r="BK4" i="3"/>
  <c r="BL4" i="3"/>
  <c r="BM4" i="3"/>
  <c r="C5" i="3"/>
  <c r="D5" i="3"/>
  <c r="E5" i="3"/>
  <c r="F5" i="3"/>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AK5" i="3"/>
  <c r="AL5" i="3"/>
  <c r="AM5" i="3"/>
  <c r="AN5" i="3"/>
  <c r="AO5" i="3"/>
  <c r="AP5" i="3"/>
  <c r="AQ5" i="3"/>
  <c r="AR5" i="3"/>
  <c r="AS5" i="3"/>
  <c r="AT5" i="3"/>
  <c r="AU5" i="3"/>
  <c r="AV5" i="3"/>
  <c r="AW5" i="3"/>
  <c r="AX5" i="3"/>
  <c r="AY5" i="3"/>
  <c r="AZ5" i="3"/>
  <c r="BA5" i="3"/>
  <c r="BB5" i="3"/>
  <c r="BC5" i="3"/>
  <c r="BD5" i="3"/>
  <c r="BE5" i="3"/>
  <c r="BF5" i="3"/>
  <c r="BG5" i="3"/>
  <c r="BH5" i="3"/>
  <c r="BI5" i="3"/>
  <c r="BJ5" i="3"/>
  <c r="BK5" i="3"/>
  <c r="BL5" i="3"/>
  <c r="BM5" i="3"/>
  <c r="B2" i="3"/>
  <c r="B3" i="3"/>
  <c r="B4" i="3"/>
  <c r="B5" i="3"/>
  <c r="B1" i="3"/>
  <c r="L3" i="13"/>
  <c r="M3" i="13"/>
  <c r="L4" i="13"/>
  <c r="M4" i="13"/>
  <c r="L5" i="13"/>
  <c r="M5" i="13"/>
  <c r="L6" i="13"/>
  <c r="M6" i="13"/>
  <c r="L7" i="13"/>
  <c r="M7" i="13"/>
  <c r="L8" i="13"/>
  <c r="M8" i="13"/>
  <c r="L9" i="13"/>
  <c r="M9" i="13"/>
  <c r="L10" i="13"/>
  <c r="M10" i="13"/>
  <c r="L11" i="13"/>
  <c r="M11" i="13"/>
  <c r="L12" i="13"/>
  <c r="M12" i="13"/>
  <c r="L13" i="13"/>
  <c r="M13" i="13"/>
  <c r="L14" i="13"/>
  <c r="M14" i="13"/>
  <c r="L15" i="13"/>
  <c r="M15" i="13"/>
  <c r="L16" i="13"/>
  <c r="M16" i="13"/>
  <c r="L17" i="13"/>
  <c r="M17" i="13"/>
  <c r="L18" i="13"/>
  <c r="M18" i="13"/>
  <c r="L2" i="13"/>
  <c r="M2" i="13"/>
  <c r="H3" i="13"/>
  <c r="I3" i="13"/>
  <c r="H4" i="13"/>
  <c r="I4" i="13"/>
  <c r="H5" i="13"/>
  <c r="I5" i="13"/>
  <c r="H6" i="13"/>
  <c r="I6" i="13"/>
  <c r="H7" i="13"/>
  <c r="I7" i="13"/>
  <c r="H8" i="13"/>
  <c r="I8" i="13"/>
  <c r="H9" i="13"/>
  <c r="I9" i="13"/>
  <c r="H10" i="13"/>
  <c r="I10" i="13"/>
  <c r="H11" i="13"/>
  <c r="I11" i="13"/>
  <c r="H12" i="13"/>
  <c r="I12" i="13"/>
  <c r="H13" i="13"/>
  <c r="I13" i="13"/>
  <c r="H14" i="13"/>
  <c r="I14" i="13"/>
  <c r="H15" i="13"/>
  <c r="I15" i="13"/>
  <c r="H16" i="13"/>
  <c r="I16" i="13"/>
  <c r="H17" i="13"/>
  <c r="I17" i="13"/>
  <c r="H18" i="13"/>
  <c r="I18" i="13"/>
  <c r="H2" i="13"/>
  <c r="I2" i="13"/>
  <c r="D3" i="13"/>
  <c r="E3" i="13"/>
  <c r="D4" i="13"/>
  <c r="E4" i="13"/>
  <c r="D5" i="13"/>
  <c r="E5" i="13"/>
  <c r="D6" i="13"/>
  <c r="E6" i="13"/>
  <c r="D7" i="13"/>
  <c r="E7" i="13"/>
  <c r="D8" i="13"/>
  <c r="E8" i="13"/>
  <c r="D9" i="13"/>
  <c r="E9" i="13"/>
  <c r="D10" i="13"/>
  <c r="E10" i="13"/>
  <c r="D11" i="13"/>
  <c r="E11" i="13"/>
  <c r="D12" i="13"/>
  <c r="E12" i="13"/>
  <c r="D13" i="13"/>
  <c r="E13" i="13"/>
  <c r="D14" i="13"/>
  <c r="E14" i="13"/>
  <c r="D15" i="13"/>
  <c r="E15" i="13"/>
  <c r="D16" i="13"/>
  <c r="E16" i="13"/>
  <c r="D17" i="13"/>
  <c r="E17" i="13"/>
  <c r="D18" i="13"/>
  <c r="E18" i="13"/>
  <c r="E2" i="13"/>
  <c r="D2" i="13"/>
  <c r="B24" i="11"/>
  <c r="C24" i="11"/>
  <c r="K24" i="11"/>
  <c r="M24" i="11"/>
  <c r="B25" i="11"/>
  <c r="C25" i="11"/>
  <c r="K25" i="11"/>
  <c r="M25" i="11"/>
  <c r="B26" i="11"/>
  <c r="C26" i="11"/>
  <c r="K26" i="11"/>
  <c r="M26" i="11"/>
  <c r="B27" i="11"/>
  <c r="B8" i="11"/>
  <c r="C8" i="11"/>
  <c r="D8" i="11"/>
  <c r="E8" i="11"/>
  <c r="F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I8" i="11"/>
  <c r="AJ8" i="11"/>
  <c r="AK8" i="11"/>
  <c r="AL8" i="11"/>
  <c r="AM8" i="11"/>
  <c r="AN8" i="11"/>
  <c r="AO8" i="11"/>
  <c r="AP8" i="11"/>
  <c r="AQ8" i="11"/>
  <c r="AR8" i="11"/>
  <c r="AS8" i="11"/>
  <c r="AT8" i="11"/>
  <c r="AU8" i="11"/>
  <c r="AV8" i="11"/>
  <c r="AW8" i="11"/>
  <c r="AX8" i="11"/>
  <c r="AY8" i="11"/>
  <c r="AZ8" i="11"/>
  <c r="BA8" i="11"/>
  <c r="BC8" i="11"/>
  <c r="BD8" i="11"/>
  <c r="BE8" i="11"/>
  <c r="BF8" i="11"/>
  <c r="BG8" i="11"/>
  <c r="BH8" i="11"/>
  <c r="BI8" i="11"/>
  <c r="BJ8" i="11"/>
  <c r="BK8" i="11"/>
  <c r="BL8" i="11"/>
  <c r="BM8" i="11"/>
  <c r="BN8" i="11"/>
  <c r="BO8" i="11"/>
  <c r="BP8" i="11"/>
  <c r="BQ8" i="11"/>
  <c r="BR8" i="11"/>
  <c r="BS8" i="11"/>
  <c r="BT8" i="11"/>
  <c r="BU8" i="11"/>
  <c r="BV8" i="11"/>
  <c r="BW8" i="11"/>
  <c r="BX8" i="11"/>
  <c r="BY8" i="11"/>
  <c r="BZ8" i="11"/>
  <c r="CA8" i="11"/>
  <c r="CB8" i="11"/>
  <c r="CC8" i="11"/>
  <c r="CD8" i="11"/>
  <c r="B9" i="11"/>
  <c r="C9" i="11"/>
  <c r="D9" i="11"/>
  <c r="E9" i="11"/>
  <c r="F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I9" i="11"/>
  <c r="AJ9" i="11"/>
  <c r="AK9" i="11"/>
  <c r="AL9" i="11"/>
  <c r="AM9" i="11"/>
  <c r="AN9" i="11"/>
  <c r="AO9" i="11"/>
  <c r="AP9" i="11"/>
  <c r="AQ9" i="11"/>
  <c r="AR9" i="11"/>
  <c r="AS9" i="11"/>
  <c r="AT9" i="11"/>
  <c r="AU9" i="11"/>
  <c r="AV9" i="11"/>
  <c r="AW9" i="11"/>
  <c r="AX9" i="11"/>
  <c r="AY9" i="11"/>
  <c r="AZ9" i="11"/>
  <c r="BA9" i="11"/>
  <c r="BC9" i="11"/>
  <c r="BD9" i="11"/>
  <c r="BE9" i="11"/>
  <c r="BF9" i="11"/>
  <c r="BG9" i="11"/>
  <c r="BH9" i="11"/>
  <c r="BI9" i="11"/>
  <c r="BJ9" i="11"/>
  <c r="BK9" i="11"/>
  <c r="BL9" i="11"/>
  <c r="BM9" i="11"/>
  <c r="BN9" i="11"/>
  <c r="BO9" i="11"/>
  <c r="BP9" i="11"/>
  <c r="BQ9" i="11"/>
  <c r="BR9" i="11"/>
  <c r="BS9" i="11"/>
  <c r="BT9" i="11"/>
  <c r="BU9" i="11"/>
  <c r="BV9" i="11"/>
  <c r="BW9" i="11"/>
  <c r="BX9" i="11"/>
  <c r="BY9" i="11"/>
  <c r="BZ9" i="11"/>
  <c r="CA9" i="11"/>
  <c r="CB9" i="11"/>
  <c r="CC9" i="11"/>
  <c r="CD9" i="11"/>
  <c r="B10" i="11"/>
  <c r="C10" i="11"/>
  <c r="D10" i="11"/>
  <c r="E10" i="11"/>
  <c r="F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I10" i="11"/>
  <c r="AJ10" i="11"/>
  <c r="AK10" i="11"/>
  <c r="AL10" i="11"/>
  <c r="AM10" i="11"/>
  <c r="AN10" i="11"/>
  <c r="AO10" i="11"/>
  <c r="AP10" i="11"/>
  <c r="AQ10" i="11"/>
  <c r="AR10" i="11"/>
  <c r="AS10" i="11"/>
  <c r="AT10" i="11"/>
  <c r="AU10" i="11"/>
  <c r="AV10" i="11"/>
  <c r="AW10" i="11"/>
  <c r="AX10" i="11"/>
  <c r="AY10" i="11"/>
  <c r="AZ10" i="11"/>
  <c r="BA10" i="11"/>
  <c r="BC10" i="11"/>
  <c r="BD10" i="11"/>
  <c r="BE10" i="11"/>
  <c r="BF10" i="11"/>
  <c r="BG10" i="11"/>
  <c r="BH10" i="11"/>
  <c r="BI10" i="11"/>
  <c r="BK10" i="11"/>
  <c r="BL10" i="11"/>
  <c r="BM10" i="11"/>
  <c r="BN10" i="11"/>
  <c r="BO10" i="11"/>
  <c r="BP10" i="11"/>
  <c r="BQ10" i="11"/>
  <c r="BR10" i="11"/>
  <c r="BS10" i="11"/>
  <c r="BT10" i="11"/>
  <c r="BV10" i="11"/>
  <c r="BW10" i="11"/>
  <c r="BX10" i="11"/>
  <c r="BY10" i="11"/>
  <c r="BZ10" i="11"/>
  <c r="CA10" i="11"/>
  <c r="CB10" i="11"/>
  <c r="CC10" i="11"/>
  <c r="CD10" i="11"/>
  <c r="B11" i="11"/>
  <c r="C11" i="11"/>
  <c r="D11" i="11"/>
  <c r="E11" i="11"/>
  <c r="F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I11" i="11"/>
  <c r="AJ11" i="11"/>
  <c r="AK11" i="11"/>
  <c r="AL11" i="11"/>
  <c r="AM11" i="11"/>
  <c r="AN11" i="11"/>
  <c r="AO11" i="11"/>
  <c r="AP11" i="11"/>
  <c r="AQ11" i="11"/>
  <c r="AR11" i="11"/>
  <c r="AS11" i="11"/>
  <c r="AT11" i="11"/>
  <c r="AU11" i="11"/>
  <c r="AV11" i="11"/>
  <c r="AW11" i="11"/>
  <c r="AX11" i="11"/>
  <c r="AY11" i="11"/>
  <c r="AZ11" i="11"/>
  <c r="BA11" i="11"/>
  <c r="BC11" i="11"/>
  <c r="BD11" i="11"/>
  <c r="BE11" i="11"/>
  <c r="BF11" i="11"/>
  <c r="BG11" i="11"/>
  <c r="BH11" i="11"/>
  <c r="BI11" i="11"/>
  <c r="BJ11" i="11"/>
  <c r="BK11" i="11"/>
  <c r="BL11" i="11"/>
  <c r="BM11" i="11"/>
  <c r="CJ11" i="11" s="1"/>
  <c r="BN11" i="11"/>
  <c r="BO11" i="11"/>
  <c r="BP11" i="11"/>
  <c r="BQ11" i="11"/>
  <c r="BR11" i="11"/>
  <c r="BS11" i="11"/>
  <c r="BT11" i="11"/>
  <c r="BU11" i="11"/>
  <c r="BV11" i="11"/>
  <c r="BW11" i="11"/>
  <c r="BX11" i="11"/>
  <c r="BY11" i="11"/>
  <c r="BZ11" i="11"/>
  <c r="CA11" i="11"/>
  <c r="CB11" i="11"/>
  <c r="CC11" i="11"/>
  <c r="CD11" i="11"/>
  <c r="B12" i="11"/>
  <c r="C12" i="11"/>
  <c r="D12" i="11"/>
  <c r="E12" i="11"/>
  <c r="F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F12" i="11"/>
  <c r="AG12" i="11"/>
  <c r="AH12" i="11"/>
  <c r="AI12" i="11"/>
  <c r="AJ12" i="11"/>
  <c r="AK12" i="11"/>
  <c r="AL12" i="11"/>
  <c r="AM12" i="11"/>
  <c r="AN12" i="11"/>
  <c r="AO12" i="11"/>
  <c r="AP12" i="11"/>
  <c r="AQ12" i="11"/>
  <c r="AR12" i="11"/>
  <c r="AS12" i="11"/>
  <c r="AT12" i="11"/>
  <c r="AU12" i="11"/>
  <c r="AV12" i="11"/>
  <c r="AW12" i="11"/>
  <c r="AX12" i="11"/>
  <c r="AY12" i="11"/>
  <c r="AZ12" i="11"/>
  <c r="BA12" i="11"/>
  <c r="BC12" i="11"/>
  <c r="BD12" i="11"/>
  <c r="BE12" i="11"/>
  <c r="BF12" i="11"/>
  <c r="BG12" i="11"/>
  <c r="BH12" i="11"/>
  <c r="BI12" i="11"/>
  <c r="BJ12" i="11"/>
  <c r="BK12" i="11"/>
  <c r="BL12" i="11"/>
  <c r="BM12" i="11"/>
  <c r="BN12" i="11"/>
  <c r="BO12" i="11"/>
  <c r="BP12" i="11"/>
  <c r="BQ12" i="11"/>
  <c r="BR12" i="11"/>
  <c r="BS12" i="11"/>
  <c r="BT12" i="11"/>
  <c r="BU12" i="11"/>
  <c r="BV12" i="11"/>
  <c r="BW12" i="11"/>
  <c r="BX12" i="11"/>
  <c r="BY12" i="11"/>
  <c r="BZ12" i="11"/>
  <c r="CA12" i="11"/>
  <c r="CB12" i="11"/>
  <c r="CC12" i="11"/>
  <c r="CD12" i="11"/>
  <c r="B13" i="11"/>
  <c r="C13" i="11"/>
  <c r="D13" i="11"/>
  <c r="E13" i="11"/>
  <c r="F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I13" i="11"/>
  <c r="AJ13" i="11"/>
  <c r="AK13" i="11"/>
  <c r="AL13" i="11"/>
  <c r="AM13" i="11"/>
  <c r="AN13" i="11"/>
  <c r="AO13" i="11"/>
  <c r="AP13" i="11"/>
  <c r="AQ13" i="11"/>
  <c r="AR13" i="11"/>
  <c r="AS13" i="11"/>
  <c r="AT13" i="11"/>
  <c r="AU13" i="11"/>
  <c r="AV13" i="11"/>
  <c r="AW13" i="11"/>
  <c r="AX13" i="11"/>
  <c r="AY13" i="11"/>
  <c r="AZ13" i="11"/>
  <c r="BA13" i="11"/>
  <c r="BC13" i="11"/>
  <c r="BD13" i="11"/>
  <c r="BE13" i="11"/>
  <c r="BF13" i="11"/>
  <c r="BG13" i="11"/>
  <c r="BH13" i="11"/>
  <c r="BI13" i="11"/>
  <c r="BJ13" i="11"/>
  <c r="BK13" i="11"/>
  <c r="BL13" i="11"/>
  <c r="BM13" i="11"/>
  <c r="CJ13" i="11" s="1"/>
  <c r="BN13" i="11"/>
  <c r="BO13" i="11"/>
  <c r="BP13" i="11"/>
  <c r="BQ13" i="11"/>
  <c r="BR13" i="11"/>
  <c r="BS13" i="11"/>
  <c r="BT13" i="11"/>
  <c r="BU13" i="11"/>
  <c r="BV13" i="11"/>
  <c r="BW13" i="11"/>
  <c r="BX13" i="11"/>
  <c r="BY13" i="11"/>
  <c r="BZ13" i="11"/>
  <c r="CA13" i="11"/>
  <c r="CB13" i="11"/>
  <c r="CC13" i="11"/>
  <c r="CD13" i="11"/>
  <c r="B14" i="11"/>
  <c r="C14" i="11"/>
  <c r="D14" i="11"/>
  <c r="E14" i="11"/>
  <c r="F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I14" i="11"/>
  <c r="AJ14" i="11"/>
  <c r="AK14" i="11"/>
  <c r="AL14" i="11"/>
  <c r="AM14" i="11"/>
  <c r="AN14" i="11"/>
  <c r="AO14" i="11"/>
  <c r="AP14" i="11"/>
  <c r="AQ14" i="11"/>
  <c r="AR14" i="11"/>
  <c r="AS14" i="11"/>
  <c r="AT14" i="11"/>
  <c r="AU14" i="11"/>
  <c r="AV14" i="11"/>
  <c r="AW14" i="11"/>
  <c r="AX14" i="11"/>
  <c r="AY14" i="11"/>
  <c r="AZ14" i="11"/>
  <c r="BA14" i="11"/>
  <c r="BC14" i="11"/>
  <c r="BD14" i="11"/>
  <c r="BE14" i="11"/>
  <c r="BF14" i="11"/>
  <c r="BG14" i="11"/>
  <c r="BH14" i="11"/>
  <c r="BI14" i="11"/>
  <c r="BJ14" i="11"/>
  <c r="BK14" i="11"/>
  <c r="BL14" i="11"/>
  <c r="BM14" i="11"/>
  <c r="BN14" i="11"/>
  <c r="BO14" i="11"/>
  <c r="BP14" i="11"/>
  <c r="BQ14" i="11"/>
  <c r="BR14" i="11"/>
  <c r="BS14" i="11"/>
  <c r="BT14" i="11"/>
  <c r="BV14" i="11"/>
  <c r="BW14" i="11"/>
  <c r="BX14" i="11"/>
  <c r="BY14" i="11"/>
  <c r="BZ14" i="11"/>
  <c r="CA14" i="11"/>
  <c r="CB14" i="11"/>
  <c r="CC14" i="11"/>
  <c r="CD14" i="11"/>
  <c r="B15" i="11"/>
  <c r="C15" i="11"/>
  <c r="D15" i="11"/>
  <c r="E15" i="11"/>
  <c r="F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I15" i="11"/>
  <c r="AJ15" i="11"/>
  <c r="AK15" i="11"/>
  <c r="AL15" i="11"/>
  <c r="AM15" i="11"/>
  <c r="AN15" i="11"/>
  <c r="AO15" i="11"/>
  <c r="AP15" i="11"/>
  <c r="AQ15" i="11"/>
  <c r="AR15" i="11"/>
  <c r="AS15" i="11"/>
  <c r="AT15" i="11"/>
  <c r="AU15" i="11"/>
  <c r="AV15" i="11"/>
  <c r="AW15" i="11"/>
  <c r="AX15" i="11"/>
  <c r="AY15" i="11"/>
  <c r="AZ15" i="11"/>
  <c r="BA15" i="11"/>
  <c r="BC15" i="11"/>
  <c r="BD15" i="11"/>
  <c r="BE15" i="11"/>
  <c r="BF15" i="11"/>
  <c r="BG15" i="11"/>
  <c r="BH15" i="11"/>
  <c r="BI15" i="11"/>
  <c r="BJ15" i="11"/>
  <c r="BK15" i="11"/>
  <c r="BL15" i="11"/>
  <c r="BM15" i="11"/>
  <c r="BN15" i="11"/>
  <c r="CJ15" i="11" s="1"/>
  <c r="BO15" i="11"/>
  <c r="BP15" i="11"/>
  <c r="BQ15" i="11"/>
  <c r="BR15" i="11"/>
  <c r="BS15" i="11"/>
  <c r="BT15" i="11"/>
  <c r="BU15" i="11"/>
  <c r="BV15" i="11"/>
  <c r="BW15" i="11"/>
  <c r="BX15" i="11"/>
  <c r="BY15" i="11"/>
  <c r="BZ15" i="11"/>
  <c r="CA15" i="11"/>
  <c r="CB15" i="11"/>
  <c r="CC15" i="11"/>
  <c r="CD15" i="11"/>
  <c r="B16" i="11"/>
  <c r="C16" i="11"/>
  <c r="D16" i="11"/>
  <c r="E16" i="11"/>
  <c r="F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I16" i="11"/>
  <c r="AJ16" i="11"/>
  <c r="AK16" i="11"/>
  <c r="AL16" i="11"/>
  <c r="AM16" i="11"/>
  <c r="AN16" i="11"/>
  <c r="AO16" i="11"/>
  <c r="AP16" i="11"/>
  <c r="AQ16" i="11"/>
  <c r="AR16" i="11"/>
  <c r="AS16" i="11"/>
  <c r="AT16" i="11"/>
  <c r="AU16" i="11"/>
  <c r="AV16" i="11"/>
  <c r="AW16" i="11"/>
  <c r="AX16" i="11"/>
  <c r="AY16" i="11"/>
  <c r="AZ16" i="11"/>
  <c r="BA16" i="11"/>
  <c r="BC16" i="11"/>
  <c r="BD16" i="11"/>
  <c r="BE16" i="11"/>
  <c r="BF16" i="11"/>
  <c r="BG16" i="11"/>
  <c r="BH16" i="11"/>
  <c r="BI16" i="11"/>
  <c r="BJ16" i="11"/>
  <c r="BK16" i="11"/>
  <c r="BL16" i="11"/>
  <c r="BM16" i="11"/>
  <c r="BN16" i="11"/>
  <c r="BO16" i="11"/>
  <c r="BP16" i="11"/>
  <c r="BQ16" i="11"/>
  <c r="BR16" i="11"/>
  <c r="BS16" i="11"/>
  <c r="BT16" i="11"/>
  <c r="BU16" i="11"/>
  <c r="BV16" i="11"/>
  <c r="BW16" i="11"/>
  <c r="BX16" i="11"/>
  <c r="BY16" i="11"/>
  <c r="BZ16" i="11"/>
  <c r="CA16" i="11"/>
  <c r="CB16" i="11"/>
  <c r="CC16" i="11"/>
  <c r="CD16" i="11"/>
  <c r="B17" i="11"/>
  <c r="C17" i="11"/>
  <c r="D17" i="11"/>
  <c r="E17" i="11"/>
  <c r="F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I17" i="11"/>
  <c r="AJ17" i="11"/>
  <c r="AK17" i="11"/>
  <c r="AL17" i="11"/>
  <c r="AM17" i="11"/>
  <c r="AN17" i="11"/>
  <c r="AO17" i="11"/>
  <c r="AP17" i="11"/>
  <c r="AQ17" i="11"/>
  <c r="AR17" i="11"/>
  <c r="AS17" i="11"/>
  <c r="AT17" i="11"/>
  <c r="AU17" i="11"/>
  <c r="AV17" i="11"/>
  <c r="AW17" i="11"/>
  <c r="AX17" i="11"/>
  <c r="AY17" i="11"/>
  <c r="AZ17" i="11"/>
  <c r="BA17" i="11"/>
  <c r="BC17" i="11"/>
  <c r="BD17" i="11"/>
  <c r="BE17" i="11"/>
  <c r="BF17" i="11"/>
  <c r="BG17" i="11"/>
  <c r="BH17" i="11"/>
  <c r="BI17" i="11"/>
  <c r="BJ17" i="11"/>
  <c r="BK17" i="11"/>
  <c r="BL17" i="11"/>
  <c r="BM17" i="11"/>
  <c r="BN17" i="11"/>
  <c r="BO17" i="11"/>
  <c r="BP17" i="11"/>
  <c r="BQ17" i="11"/>
  <c r="BR17" i="11"/>
  <c r="BS17" i="11"/>
  <c r="BT17" i="11"/>
  <c r="BU17" i="11"/>
  <c r="BV17" i="11"/>
  <c r="BW17" i="11"/>
  <c r="BX17" i="11"/>
  <c r="BY17" i="11"/>
  <c r="BZ17" i="11"/>
  <c r="CA17" i="11"/>
  <c r="CB17" i="11"/>
  <c r="CC17" i="11"/>
  <c r="CD17" i="11"/>
  <c r="B18" i="11"/>
  <c r="C18" i="11"/>
  <c r="D18" i="11"/>
  <c r="E18" i="11"/>
  <c r="F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I18" i="11"/>
  <c r="AJ18" i="11"/>
  <c r="AK18" i="11"/>
  <c r="AL18" i="11"/>
  <c r="AM18" i="11"/>
  <c r="AO18" i="11"/>
  <c r="AP18" i="11"/>
  <c r="AQ18" i="11"/>
  <c r="AR18" i="11"/>
  <c r="AS18" i="11"/>
  <c r="AT18" i="11"/>
  <c r="AU18" i="11"/>
  <c r="AV18" i="11"/>
  <c r="AW18" i="11"/>
  <c r="AX18" i="11"/>
  <c r="AY18" i="11"/>
  <c r="AZ18" i="11"/>
  <c r="BA18" i="11"/>
  <c r="BC18" i="11"/>
  <c r="BD18" i="11"/>
  <c r="BE18" i="11"/>
  <c r="BF18" i="11"/>
  <c r="BG18" i="11"/>
  <c r="BH18" i="11"/>
  <c r="BI18" i="11"/>
  <c r="BJ18" i="11"/>
  <c r="BK18" i="11"/>
  <c r="BL18" i="11"/>
  <c r="BM18" i="11"/>
  <c r="BN18" i="11"/>
  <c r="BO18" i="11"/>
  <c r="BP18" i="11"/>
  <c r="BQ18" i="11"/>
  <c r="BR18" i="11"/>
  <c r="BS18" i="11"/>
  <c r="BT18" i="11"/>
  <c r="BU18" i="11"/>
  <c r="BV18" i="11"/>
  <c r="BW18" i="11"/>
  <c r="BX18" i="11"/>
  <c r="BZ18" i="11"/>
  <c r="CA18" i="11"/>
  <c r="CB18" i="11"/>
  <c r="CC18" i="11"/>
  <c r="CD18" i="11"/>
  <c r="B19" i="11"/>
  <c r="C19" i="11"/>
  <c r="D19" i="11"/>
  <c r="E19" i="11"/>
  <c r="F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I19" i="11"/>
  <c r="AJ19" i="11"/>
  <c r="AK19" i="11"/>
  <c r="AL19" i="11"/>
  <c r="AM19" i="11"/>
  <c r="AO19" i="11"/>
  <c r="AP19" i="11"/>
  <c r="AQ19" i="11"/>
  <c r="AR19" i="11"/>
  <c r="AS19" i="11"/>
  <c r="AT19" i="11"/>
  <c r="AU19" i="11"/>
  <c r="AV19" i="11"/>
  <c r="AW19" i="11"/>
  <c r="AX19" i="11"/>
  <c r="AY19" i="11"/>
  <c r="AZ19" i="11"/>
  <c r="BA19" i="11"/>
  <c r="BC19" i="11"/>
  <c r="BD19" i="11"/>
  <c r="BE19" i="11"/>
  <c r="BF19" i="11"/>
  <c r="BG19" i="11"/>
  <c r="BH19" i="11"/>
  <c r="BI19" i="11"/>
  <c r="BJ19" i="11"/>
  <c r="BK19" i="11"/>
  <c r="BL19" i="11"/>
  <c r="BM19" i="11"/>
  <c r="BN19" i="11"/>
  <c r="BO19" i="11"/>
  <c r="BP19" i="11"/>
  <c r="BQ19" i="11"/>
  <c r="BR19" i="11"/>
  <c r="BS19" i="11"/>
  <c r="BT19" i="11"/>
  <c r="BU19" i="11"/>
  <c r="BV19" i="11"/>
  <c r="BW19" i="11"/>
  <c r="BX19" i="11"/>
  <c r="BZ19" i="11"/>
  <c r="CA19" i="11"/>
  <c r="CB19" i="11"/>
  <c r="CC19" i="11"/>
  <c r="CD19" i="11"/>
  <c r="B20" i="11"/>
  <c r="C20" i="11"/>
  <c r="D20" i="11"/>
  <c r="E20" i="11"/>
  <c r="F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I20" i="11"/>
  <c r="AJ20" i="11"/>
  <c r="AK20" i="11"/>
  <c r="AL20" i="11"/>
  <c r="AM20" i="11"/>
  <c r="AO20" i="11"/>
  <c r="AP20" i="11"/>
  <c r="AQ20" i="11"/>
  <c r="AR20" i="11"/>
  <c r="AS20" i="11"/>
  <c r="AT20" i="11"/>
  <c r="AU20" i="11"/>
  <c r="AV20" i="11"/>
  <c r="AW20" i="11"/>
  <c r="AX20" i="11"/>
  <c r="AY20" i="11"/>
  <c r="AZ20" i="11"/>
  <c r="BA20" i="11"/>
  <c r="BC20" i="11"/>
  <c r="BD20" i="11"/>
  <c r="BE20" i="11"/>
  <c r="BF20" i="11"/>
  <c r="BG20" i="11"/>
  <c r="BH20" i="11"/>
  <c r="BI20" i="11"/>
  <c r="BJ20" i="11"/>
  <c r="BK20" i="11"/>
  <c r="BL20" i="11"/>
  <c r="BM20" i="11"/>
  <c r="BN20" i="11"/>
  <c r="BO20" i="11"/>
  <c r="BP20" i="11"/>
  <c r="BQ20" i="11"/>
  <c r="BR20" i="11"/>
  <c r="BS20" i="11"/>
  <c r="BT20" i="11"/>
  <c r="BU20" i="11"/>
  <c r="BV20" i="11"/>
  <c r="BW20" i="11"/>
  <c r="BX20" i="11"/>
  <c r="BZ20" i="11"/>
  <c r="CA20" i="11"/>
  <c r="CB20" i="11"/>
  <c r="CC20" i="11"/>
  <c r="CD20" i="11"/>
  <c r="B21" i="11"/>
  <c r="C21" i="11"/>
  <c r="D21" i="11"/>
  <c r="E21" i="11"/>
  <c r="F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I21" i="11"/>
  <c r="AJ21" i="11"/>
  <c r="AK21" i="11"/>
  <c r="AL21" i="11"/>
  <c r="AM21" i="11"/>
  <c r="AO21" i="11"/>
  <c r="AP21" i="11"/>
  <c r="AQ21" i="11"/>
  <c r="AR21" i="11"/>
  <c r="AS21" i="11"/>
  <c r="AT21" i="11"/>
  <c r="AU21" i="11"/>
  <c r="AV21" i="11"/>
  <c r="AW21" i="11"/>
  <c r="AX21" i="11"/>
  <c r="AY21" i="11"/>
  <c r="AZ21" i="11"/>
  <c r="BA21" i="11"/>
  <c r="BC21" i="11"/>
  <c r="BD21" i="11"/>
  <c r="BE21" i="11"/>
  <c r="BG21" i="11"/>
  <c r="BH21" i="11"/>
  <c r="BI21" i="11"/>
  <c r="BJ21" i="11"/>
  <c r="BK21" i="11"/>
  <c r="BL21" i="11"/>
  <c r="BM21" i="11"/>
  <c r="BN21" i="11"/>
  <c r="BO21" i="11"/>
  <c r="BP21" i="11"/>
  <c r="BQ21" i="11"/>
  <c r="BR21" i="11"/>
  <c r="BS21" i="11"/>
  <c r="BT21" i="11"/>
  <c r="BU21" i="11"/>
  <c r="BV21" i="11"/>
  <c r="BW21" i="11"/>
  <c r="BX21" i="11"/>
  <c r="BZ21" i="11"/>
  <c r="CA21" i="11"/>
  <c r="CB21" i="11"/>
  <c r="CC21" i="11"/>
  <c r="CD21" i="11"/>
  <c r="B22" i="11"/>
  <c r="C22" i="11"/>
  <c r="D22" i="11"/>
  <c r="E22" i="11"/>
  <c r="F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I22" i="11"/>
  <c r="AJ22" i="11"/>
  <c r="AK22" i="11"/>
  <c r="AL22" i="11"/>
  <c r="AM22" i="11"/>
  <c r="AO22" i="11"/>
  <c r="AP22" i="11"/>
  <c r="AQ22" i="11"/>
  <c r="AR22" i="11"/>
  <c r="AS22" i="11"/>
  <c r="AT22" i="11"/>
  <c r="AU22" i="11"/>
  <c r="AV22" i="11"/>
  <c r="AW22" i="11"/>
  <c r="AX22" i="11"/>
  <c r="AY22" i="11"/>
  <c r="AZ22" i="11"/>
  <c r="BA22" i="11"/>
  <c r="BC22" i="11"/>
  <c r="BD22" i="11"/>
  <c r="BE22" i="11"/>
  <c r="BF22" i="11"/>
  <c r="BG22" i="11"/>
  <c r="BH22" i="11"/>
  <c r="BI22" i="11"/>
  <c r="BJ22" i="11"/>
  <c r="BK22" i="11"/>
  <c r="BL22" i="11"/>
  <c r="BM22" i="11"/>
  <c r="BN22" i="11"/>
  <c r="BO22" i="11"/>
  <c r="BP22" i="11"/>
  <c r="BQ22" i="11"/>
  <c r="BR22" i="11"/>
  <c r="BS22" i="11"/>
  <c r="BT22" i="11"/>
  <c r="BU22" i="11"/>
  <c r="BV22" i="11"/>
  <c r="BW22" i="11"/>
  <c r="BX22" i="11"/>
  <c r="BZ22" i="11"/>
  <c r="CA22" i="11"/>
  <c r="CB22" i="11"/>
  <c r="CC22" i="11"/>
  <c r="CD22" i="11"/>
  <c r="B23" i="11"/>
  <c r="C23" i="11"/>
  <c r="D23" i="11"/>
  <c r="E23" i="11"/>
  <c r="F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I23" i="11"/>
  <c r="AJ23" i="11"/>
  <c r="AK23" i="11"/>
  <c r="AL23" i="11"/>
  <c r="AM23" i="11"/>
  <c r="AO23" i="11"/>
  <c r="AP23" i="11"/>
  <c r="AQ23" i="11"/>
  <c r="AR23" i="11"/>
  <c r="AS23" i="11"/>
  <c r="AT23" i="11"/>
  <c r="AU23" i="11"/>
  <c r="AV23" i="11"/>
  <c r="AW23" i="11"/>
  <c r="AX23" i="11"/>
  <c r="AY23" i="11"/>
  <c r="AZ23" i="11"/>
  <c r="BA23" i="11"/>
  <c r="BC23" i="11"/>
  <c r="BD23" i="11"/>
  <c r="BE23" i="11"/>
  <c r="BF23" i="11"/>
  <c r="BG23" i="11"/>
  <c r="BH23" i="11"/>
  <c r="BJ23" i="11"/>
  <c r="BK23" i="11"/>
  <c r="BL23" i="11"/>
  <c r="BM23" i="11"/>
  <c r="BN23" i="11"/>
  <c r="BO23" i="11"/>
  <c r="BP23" i="11"/>
  <c r="BQ23" i="11"/>
  <c r="BR23" i="11"/>
  <c r="BS23" i="11"/>
  <c r="BT23" i="11"/>
  <c r="BU23" i="11"/>
  <c r="BV23" i="11"/>
  <c r="BW23" i="11"/>
  <c r="BX23" i="11"/>
  <c r="BZ23" i="11"/>
  <c r="CA23" i="11"/>
  <c r="CB23" i="11"/>
  <c r="CC23" i="11"/>
  <c r="CD23"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I7" i="11"/>
  <c r="AJ7" i="11"/>
  <c r="AK7" i="11"/>
  <c r="AL7" i="11"/>
  <c r="AM7" i="11"/>
  <c r="AN7" i="11"/>
  <c r="AO7" i="11"/>
  <c r="AP7" i="11"/>
  <c r="AQ7" i="11"/>
  <c r="AR7" i="11"/>
  <c r="AS7" i="11"/>
  <c r="AT7" i="11"/>
  <c r="AU7" i="11"/>
  <c r="AV7" i="11"/>
  <c r="AW7" i="11"/>
  <c r="AX7" i="11"/>
  <c r="AY7" i="11"/>
  <c r="AZ7" i="11"/>
  <c r="BA7" i="11"/>
  <c r="BC7" i="11"/>
  <c r="BD7" i="11"/>
  <c r="BF7" i="11"/>
  <c r="BG7" i="11"/>
  <c r="BH7" i="11"/>
  <c r="BI7" i="11"/>
  <c r="BJ7" i="11"/>
  <c r="BJ7" i="3" s="1"/>
  <c r="BK7" i="11"/>
  <c r="BL7" i="11"/>
  <c r="BM7" i="11"/>
  <c r="BN7" i="11"/>
  <c r="BN7" i="3" s="1"/>
  <c r="BO7" i="11"/>
  <c r="BP7" i="11"/>
  <c r="BQ7" i="11"/>
  <c r="BR7" i="11"/>
  <c r="BR7" i="3" s="1"/>
  <c r="BS7" i="11"/>
  <c r="BT7" i="11"/>
  <c r="BU7" i="11"/>
  <c r="BV7" i="11"/>
  <c r="BV7" i="3" s="1"/>
  <c r="BW7" i="11"/>
  <c r="BX7" i="11"/>
  <c r="BY7" i="11"/>
  <c r="BZ7" i="11"/>
  <c r="BZ7" i="3" s="1"/>
  <c r="CA7" i="11"/>
  <c r="CB7" i="11"/>
  <c r="CC7" i="11"/>
  <c r="CD7" i="11"/>
  <c r="CD7" i="3" s="1"/>
  <c r="B28" i="11"/>
  <c r="B7" i="11"/>
  <c r="A3" i="13"/>
  <c r="A4" i="13" s="1"/>
  <c r="A5" i="13" s="1"/>
  <c r="A6" i="13" s="1"/>
  <c r="A7" i="13" s="1"/>
  <c r="A8" i="13" s="1"/>
  <c r="A9" i="13" s="1"/>
  <c r="A10" i="13" s="1"/>
  <c r="A11" i="13" s="1"/>
  <c r="A12" i="13" s="1"/>
  <c r="A13" i="13" s="1"/>
  <c r="A14" i="13" s="1"/>
  <c r="A15" i="13" s="1"/>
  <c r="A16" i="13" s="1"/>
  <c r="A17" i="13" s="1"/>
  <c r="A18" i="13" s="1"/>
  <c r="CJ9" i="11"/>
  <c r="CJ17" i="11"/>
  <c r="CE8" i="11"/>
  <c r="CE9" i="11" s="1"/>
  <c r="CE10" i="11" s="1"/>
  <c r="CE11" i="11" s="1"/>
  <c r="CE12" i="11" s="1"/>
  <c r="CE13" i="11" s="1"/>
  <c r="CE14" i="11" s="1"/>
  <c r="CE15" i="11" s="1"/>
  <c r="CE16" i="11" s="1"/>
  <c r="CE17" i="11" s="1"/>
  <c r="CE18" i="11" s="1"/>
  <c r="CE19" i="11" s="1"/>
  <c r="CE20" i="11" s="1"/>
  <c r="CE21" i="11" s="1"/>
  <c r="CE22" i="11" s="1"/>
  <c r="CE23" i="11" s="1"/>
  <c r="C1" i="11"/>
  <c r="D1" i="11"/>
  <c r="E1" i="11"/>
  <c r="F1" i="11"/>
  <c r="G1" i="11"/>
  <c r="H1" i="11"/>
  <c r="I1" i="11"/>
  <c r="J1" i="11"/>
  <c r="K1" i="11"/>
  <c r="L1" i="11"/>
  <c r="M1" i="11"/>
  <c r="N1" i="11"/>
  <c r="O1" i="11"/>
  <c r="P1" i="11"/>
  <c r="Q1" i="11"/>
  <c r="R1" i="11"/>
  <c r="S1" i="11"/>
  <c r="T1" i="11"/>
  <c r="U1" i="11"/>
  <c r="V1" i="11"/>
  <c r="W1" i="11"/>
  <c r="X1" i="11"/>
  <c r="Y1" i="11"/>
  <c r="Z1" i="11"/>
  <c r="AA1" i="11"/>
  <c r="AB1" i="11"/>
  <c r="AC1" i="11"/>
  <c r="AD1" i="11"/>
  <c r="AE1" i="11"/>
  <c r="AF1" i="11"/>
  <c r="AG1" i="11"/>
  <c r="AH1" i="11"/>
  <c r="AI1" i="11"/>
  <c r="AJ1" i="11"/>
  <c r="AK1" i="11"/>
  <c r="AL1" i="11"/>
  <c r="AM1" i="11"/>
  <c r="AN1" i="11"/>
  <c r="AO1" i="11"/>
  <c r="AP1" i="11"/>
  <c r="AQ1" i="11"/>
  <c r="AR1" i="11"/>
  <c r="AS1" i="11"/>
  <c r="AT1" i="11"/>
  <c r="AU1" i="11"/>
  <c r="AV1" i="11"/>
  <c r="AW1" i="11"/>
  <c r="AX1" i="11"/>
  <c r="AY1" i="11"/>
  <c r="AZ1" i="11"/>
  <c r="BA1" i="11"/>
  <c r="BB1" i="11"/>
  <c r="BC1" i="11"/>
  <c r="BD1" i="11"/>
  <c r="BE1" i="11"/>
  <c r="BF1" i="11"/>
  <c r="BG1" i="11"/>
  <c r="BH1" i="11"/>
  <c r="BI1" i="11"/>
  <c r="BJ1" i="11"/>
  <c r="BK1" i="11"/>
  <c r="BL1" i="11"/>
  <c r="BM1" i="11"/>
  <c r="BN1" i="11"/>
  <c r="BO1" i="11"/>
  <c r="BP1" i="11"/>
  <c r="BQ1" i="11"/>
  <c r="BR1" i="11"/>
  <c r="BS1" i="11"/>
  <c r="BT1" i="11"/>
  <c r="BU1" i="11"/>
  <c r="BV1" i="11"/>
  <c r="BW1" i="11"/>
  <c r="BX1" i="11"/>
  <c r="BY1" i="11"/>
  <c r="BZ1" i="11"/>
  <c r="CA1" i="11"/>
  <c r="CB1" i="11"/>
  <c r="CC1" i="11"/>
  <c r="CD1" i="11"/>
  <c r="C2" i="11"/>
  <c r="D2" i="11"/>
  <c r="E2" i="11"/>
  <c r="F2" i="11"/>
  <c r="G2" i="11"/>
  <c r="H2" i="11"/>
  <c r="I2" i="11"/>
  <c r="J2" i="11"/>
  <c r="K2" i="11"/>
  <c r="L2" i="11"/>
  <c r="M2" i="11"/>
  <c r="N2" i="11"/>
  <c r="O2" i="11"/>
  <c r="P2" i="11"/>
  <c r="Q2" i="11"/>
  <c r="R2" i="11"/>
  <c r="S2" i="11"/>
  <c r="T2" i="11"/>
  <c r="U2" i="11"/>
  <c r="V2" i="11"/>
  <c r="W2" i="11"/>
  <c r="X2" i="11"/>
  <c r="Y2" i="11"/>
  <c r="Z2" i="11"/>
  <c r="AA2" i="11"/>
  <c r="AB2" i="11"/>
  <c r="AC2" i="11"/>
  <c r="AD2" i="11"/>
  <c r="AE2" i="11"/>
  <c r="AF2" i="11"/>
  <c r="AG2" i="11"/>
  <c r="AH2" i="11"/>
  <c r="AI2" i="11"/>
  <c r="AJ2" i="11"/>
  <c r="AK2" i="11"/>
  <c r="AL2" i="11"/>
  <c r="AM2" i="11"/>
  <c r="AN2" i="11"/>
  <c r="AO2" i="11"/>
  <c r="AP2" i="11"/>
  <c r="AQ2" i="11"/>
  <c r="AR2" i="11"/>
  <c r="AS2" i="11"/>
  <c r="AT2" i="11"/>
  <c r="AU2" i="11"/>
  <c r="AV2" i="11"/>
  <c r="AW2" i="11"/>
  <c r="AX2" i="11"/>
  <c r="AY2" i="11"/>
  <c r="AZ2" i="11"/>
  <c r="BA2" i="11"/>
  <c r="BB2" i="11"/>
  <c r="BC2" i="11"/>
  <c r="BD2" i="11"/>
  <c r="BE2" i="11"/>
  <c r="BF2" i="11"/>
  <c r="BG2" i="11"/>
  <c r="BH2" i="11"/>
  <c r="BI2" i="11"/>
  <c r="BJ2" i="11"/>
  <c r="BK2" i="11"/>
  <c r="BL2" i="11"/>
  <c r="BM2" i="11"/>
  <c r="BN2" i="11"/>
  <c r="BO2" i="11"/>
  <c r="BP2" i="11"/>
  <c r="BQ2" i="11"/>
  <c r="BR2" i="11"/>
  <c r="BS2" i="11"/>
  <c r="BT2" i="11"/>
  <c r="BU2" i="11"/>
  <c r="BV2" i="11"/>
  <c r="BW2" i="11"/>
  <c r="BX2" i="11"/>
  <c r="BY2" i="11"/>
  <c r="BZ2" i="11"/>
  <c r="CA2" i="11"/>
  <c r="CB2" i="11"/>
  <c r="CC2" i="11"/>
  <c r="CD2" i="11"/>
  <c r="C3" i="11"/>
  <c r="D3" i="11"/>
  <c r="E3" i="11"/>
  <c r="F3" i="11"/>
  <c r="G3" i="11"/>
  <c r="H3" i="11"/>
  <c r="I3" i="11"/>
  <c r="J3" i="11"/>
  <c r="K3" i="11"/>
  <c r="L3" i="11"/>
  <c r="M3" i="11"/>
  <c r="N3" i="11"/>
  <c r="O3" i="11"/>
  <c r="P3" i="11"/>
  <c r="Q3" i="11"/>
  <c r="R3" i="11"/>
  <c r="S3" i="11"/>
  <c r="T3" i="11"/>
  <c r="U3" i="11"/>
  <c r="V3" i="11"/>
  <c r="W3" i="11"/>
  <c r="X3" i="11"/>
  <c r="Y3" i="11"/>
  <c r="Z3" i="11"/>
  <c r="AA3" i="11"/>
  <c r="AB3" i="11"/>
  <c r="AC3" i="11"/>
  <c r="AD3" i="11"/>
  <c r="AE3" i="11"/>
  <c r="AF3" i="11"/>
  <c r="AG3" i="11"/>
  <c r="AH3" i="11"/>
  <c r="AI3" i="11"/>
  <c r="AJ3" i="11"/>
  <c r="AK3" i="11"/>
  <c r="AL3" i="11"/>
  <c r="AM3" i="11"/>
  <c r="AN3" i="11"/>
  <c r="AO3" i="11"/>
  <c r="AP3" i="11"/>
  <c r="AQ3" i="11"/>
  <c r="AR3" i="11"/>
  <c r="AS3" i="11"/>
  <c r="AT3" i="11"/>
  <c r="AU3" i="11"/>
  <c r="AV3" i="11"/>
  <c r="AW3" i="11"/>
  <c r="AX3" i="11"/>
  <c r="AY3" i="11"/>
  <c r="AZ3" i="11"/>
  <c r="BA3" i="11"/>
  <c r="BB3" i="11"/>
  <c r="BC3" i="11"/>
  <c r="BD3" i="11"/>
  <c r="BE3" i="11"/>
  <c r="BF3" i="11"/>
  <c r="BG3" i="11"/>
  <c r="BH3" i="11"/>
  <c r="BI3" i="11"/>
  <c r="BJ3" i="11"/>
  <c r="BK3" i="11"/>
  <c r="BL3" i="11"/>
  <c r="BM3" i="11"/>
  <c r="BN3" i="11"/>
  <c r="BO3" i="11"/>
  <c r="BP3" i="11"/>
  <c r="BQ3" i="11"/>
  <c r="BR3" i="11"/>
  <c r="BS3" i="11"/>
  <c r="BT3" i="11"/>
  <c r="BU3" i="11"/>
  <c r="BV3" i="11"/>
  <c r="BW3" i="11"/>
  <c r="BX3" i="11"/>
  <c r="BY3" i="11"/>
  <c r="BZ3" i="11"/>
  <c r="CA3" i="11"/>
  <c r="CB3" i="11"/>
  <c r="CC3" i="11"/>
  <c r="CD3" i="11"/>
  <c r="C4" i="11"/>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AG4" i="11"/>
  <c r="AH4" i="11"/>
  <c r="AI4" i="11"/>
  <c r="AJ4" i="11"/>
  <c r="AK4" i="11"/>
  <c r="AL4" i="11"/>
  <c r="AM4" i="11"/>
  <c r="AN4" i="11"/>
  <c r="AO4" i="11"/>
  <c r="AP4" i="11"/>
  <c r="AQ4" i="11"/>
  <c r="AR4" i="11"/>
  <c r="AS4" i="11"/>
  <c r="AT4" i="11"/>
  <c r="AU4" i="11"/>
  <c r="AV4" i="11"/>
  <c r="AW4" i="11"/>
  <c r="AX4" i="11"/>
  <c r="AY4" i="11"/>
  <c r="AZ4" i="11"/>
  <c r="BA4" i="11"/>
  <c r="BB4" i="11"/>
  <c r="BC4" i="11"/>
  <c r="BD4" i="11"/>
  <c r="BE4" i="11"/>
  <c r="BF4" i="11"/>
  <c r="BG4" i="11"/>
  <c r="BH4" i="11"/>
  <c r="BI4" i="11"/>
  <c r="BJ4" i="11"/>
  <c r="BK4" i="11"/>
  <c r="BL4" i="11"/>
  <c r="BM4" i="11"/>
  <c r="BN4" i="11"/>
  <c r="BO4" i="11"/>
  <c r="BP4" i="11"/>
  <c r="BQ4" i="11"/>
  <c r="BR4" i="11"/>
  <c r="BS4" i="11"/>
  <c r="BT4" i="11"/>
  <c r="BU4" i="11"/>
  <c r="BV4" i="11"/>
  <c r="BW4" i="11"/>
  <c r="BX4" i="11"/>
  <c r="BY4" i="11"/>
  <c r="BZ4" i="11"/>
  <c r="CA4" i="11"/>
  <c r="CB4" i="11"/>
  <c r="CC4" i="11"/>
  <c r="CD4"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I5" i="11"/>
  <c r="AJ5" i="11"/>
  <c r="AK5" i="11"/>
  <c r="AL5" i="11"/>
  <c r="AM5" i="11"/>
  <c r="AN5" i="11"/>
  <c r="AO5" i="11"/>
  <c r="AP5" i="11"/>
  <c r="AQ5" i="11"/>
  <c r="AR5" i="11"/>
  <c r="AS5" i="11"/>
  <c r="AT5" i="11"/>
  <c r="AU5" i="11"/>
  <c r="AV5" i="11"/>
  <c r="AW5" i="11"/>
  <c r="AX5" i="11"/>
  <c r="AY5" i="11"/>
  <c r="AZ5" i="11"/>
  <c r="BA5" i="11"/>
  <c r="BB5" i="11"/>
  <c r="BC5" i="11"/>
  <c r="BD5" i="11"/>
  <c r="BE5" i="11"/>
  <c r="BF5" i="11"/>
  <c r="BG5" i="11"/>
  <c r="BH5" i="11"/>
  <c r="BI5" i="11"/>
  <c r="BJ5" i="11"/>
  <c r="BK5" i="11"/>
  <c r="BL5" i="11"/>
  <c r="BM5" i="11"/>
  <c r="BN5" i="11"/>
  <c r="BO5" i="11"/>
  <c r="BP5" i="11"/>
  <c r="BQ5" i="11"/>
  <c r="BR5" i="11"/>
  <c r="BS5" i="11"/>
  <c r="BT5" i="11"/>
  <c r="BU5" i="11"/>
  <c r="BV5" i="11"/>
  <c r="BW5" i="11"/>
  <c r="BX5" i="11"/>
  <c r="BY5" i="11"/>
  <c r="BZ5" i="11"/>
  <c r="CA5" i="11"/>
  <c r="CB5" i="11"/>
  <c r="CC5" i="11"/>
  <c r="CD5" i="11"/>
  <c r="B2" i="11"/>
  <c r="B3" i="11"/>
  <c r="B4" i="11"/>
  <c r="B5" i="11"/>
  <c r="B1" i="11"/>
  <c r="B8" i="12"/>
  <c r="C8" i="12"/>
  <c r="D8" i="12"/>
  <c r="E8" i="12"/>
  <c r="F8" i="12"/>
  <c r="H8" i="12"/>
  <c r="I8" i="12"/>
  <c r="J8" i="12"/>
  <c r="K8" i="12"/>
  <c r="L8" i="12"/>
  <c r="M8" i="12"/>
  <c r="N8" i="12"/>
  <c r="O8" i="12"/>
  <c r="P8" i="12"/>
  <c r="Q8" i="12"/>
  <c r="R8" i="12"/>
  <c r="S8" i="12"/>
  <c r="T8" i="12"/>
  <c r="U8" i="12"/>
  <c r="V8" i="12"/>
  <c r="W8" i="12"/>
  <c r="X8" i="12"/>
  <c r="Y8" i="12"/>
  <c r="Z8" i="12"/>
  <c r="AA8" i="12"/>
  <c r="AB8" i="12"/>
  <c r="AC8" i="12"/>
  <c r="AD8" i="12"/>
  <c r="AE8" i="12"/>
  <c r="AF8" i="12"/>
  <c r="AG8" i="12"/>
  <c r="AH8" i="12"/>
  <c r="AI8" i="12"/>
  <c r="AJ8" i="12"/>
  <c r="AK8" i="12"/>
  <c r="AL8" i="12"/>
  <c r="AM8" i="12"/>
  <c r="AN8" i="12"/>
  <c r="AO8" i="12"/>
  <c r="AP8" i="12"/>
  <c r="AQ8" i="12"/>
  <c r="AR8" i="12"/>
  <c r="AS8" i="12"/>
  <c r="AT8" i="12"/>
  <c r="AU8" i="12"/>
  <c r="AV8" i="12"/>
  <c r="AW8" i="12"/>
  <c r="AX8" i="12"/>
  <c r="AY8" i="12"/>
  <c r="AZ8" i="12"/>
  <c r="BA8" i="12"/>
  <c r="BB8" i="12"/>
  <c r="BC8" i="12"/>
  <c r="BD8" i="12"/>
  <c r="BE8" i="12"/>
  <c r="BF8" i="12"/>
  <c r="BG8" i="12"/>
  <c r="BH8" i="12"/>
  <c r="BI8" i="12"/>
  <c r="BJ8" i="12"/>
  <c r="BK8" i="12"/>
  <c r="BL8" i="12"/>
  <c r="BM8" i="12"/>
  <c r="BN8" i="12"/>
  <c r="BO8" i="12"/>
  <c r="BP8" i="12"/>
  <c r="BQ8" i="12"/>
  <c r="BR8" i="12"/>
  <c r="BS8" i="12"/>
  <c r="BT8" i="12"/>
  <c r="BU8" i="12"/>
  <c r="BV8" i="12"/>
  <c r="BW8" i="12"/>
  <c r="BX8" i="12"/>
  <c r="BY8" i="12"/>
  <c r="BZ8" i="12"/>
  <c r="CA8" i="12"/>
  <c r="CB8" i="12"/>
  <c r="CC8" i="12"/>
  <c r="CD8" i="12"/>
  <c r="B9" i="12"/>
  <c r="C9" i="12"/>
  <c r="D9" i="12"/>
  <c r="E9" i="12"/>
  <c r="F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AJ9" i="12"/>
  <c r="AK9" i="12"/>
  <c r="AL9" i="12"/>
  <c r="AM9" i="12"/>
  <c r="AN9" i="12"/>
  <c r="AO9" i="12"/>
  <c r="AP9" i="12"/>
  <c r="AQ9" i="12"/>
  <c r="AR9" i="12"/>
  <c r="AS9" i="12"/>
  <c r="AT9" i="12"/>
  <c r="AU9" i="12"/>
  <c r="AV9" i="12"/>
  <c r="AW9" i="12"/>
  <c r="AX9" i="12"/>
  <c r="AY9" i="12"/>
  <c r="AZ9" i="12"/>
  <c r="BA9" i="12"/>
  <c r="BB9" i="12"/>
  <c r="BC9" i="12"/>
  <c r="BD9" i="12"/>
  <c r="BE9" i="12"/>
  <c r="BF9" i="12"/>
  <c r="BG9" i="12"/>
  <c r="BH9" i="12"/>
  <c r="BI9" i="12"/>
  <c r="BJ9" i="12"/>
  <c r="BK9" i="12"/>
  <c r="BL9" i="12"/>
  <c r="BM9" i="12"/>
  <c r="BN9" i="12"/>
  <c r="BO9" i="12"/>
  <c r="BP9" i="12"/>
  <c r="BQ9" i="12"/>
  <c r="BR9" i="12"/>
  <c r="BS9" i="12"/>
  <c r="BT9" i="12"/>
  <c r="BU9" i="12"/>
  <c r="BV9" i="12"/>
  <c r="BW9" i="12"/>
  <c r="BX9" i="12"/>
  <c r="BY9" i="12"/>
  <c r="BZ9" i="12"/>
  <c r="CA9" i="12"/>
  <c r="CB9" i="12"/>
  <c r="CC9" i="12"/>
  <c r="CD9" i="12"/>
  <c r="B10" i="12"/>
  <c r="C10" i="12"/>
  <c r="D10" i="12"/>
  <c r="E10" i="12"/>
  <c r="F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AJ10" i="12"/>
  <c r="AK10" i="12"/>
  <c r="AL10" i="12"/>
  <c r="AM10" i="12"/>
  <c r="AN10" i="12"/>
  <c r="AO10" i="12"/>
  <c r="AP10" i="12"/>
  <c r="AQ10" i="12"/>
  <c r="AR10" i="12"/>
  <c r="AS10" i="12"/>
  <c r="AT10" i="12"/>
  <c r="AU10" i="12"/>
  <c r="AV10" i="12"/>
  <c r="AW10" i="12"/>
  <c r="AX10" i="12"/>
  <c r="AY10" i="12"/>
  <c r="AZ10" i="12"/>
  <c r="BA10" i="12"/>
  <c r="BB10" i="12"/>
  <c r="BC10" i="12"/>
  <c r="BD10" i="12"/>
  <c r="BE10" i="12"/>
  <c r="BF10" i="12"/>
  <c r="BG10" i="12"/>
  <c r="BH10" i="12"/>
  <c r="BI10" i="12"/>
  <c r="BJ10" i="12"/>
  <c r="BK10" i="12"/>
  <c r="BL10" i="12"/>
  <c r="BM10" i="12"/>
  <c r="BN10" i="12"/>
  <c r="BO10" i="12"/>
  <c r="BP10" i="12"/>
  <c r="BQ10" i="12"/>
  <c r="BR10" i="12"/>
  <c r="BS10" i="12"/>
  <c r="BT10" i="12"/>
  <c r="BU10" i="12"/>
  <c r="BV10" i="12"/>
  <c r="BW10" i="12"/>
  <c r="BX10" i="12"/>
  <c r="BY10" i="12"/>
  <c r="BZ10" i="12"/>
  <c r="CA10" i="12"/>
  <c r="CB10" i="12"/>
  <c r="CC10" i="12"/>
  <c r="CD10" i="12"/>
  <c r="B11" i="12"/>
  <c r="C11" i="12"/>
  <c r="D11" i="12"/>
  <c r="E11" i="12"/>
  <c r="F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AH11" i="12"/>
  <c r="AI11" i="12"/>
  <c r="AJ11" i="12"/>
  <c r="AK11" i="12"/>
  <c r="AL11" i="12"/>
  <c r="AM11" i="12"/>
  <c r="AN11" i="12"/>
  <c r="AO11" i="12"/>
  <c r="AP11" i="12"/>
  <c r="AQ11" i="12"/>
  <c r="AR11" i="12"/>
  <c r="AS11" i="12"/>
  <c r="AT11" i="12"/>
  <c r="AU11" i="12"/>
  <c r="AV11" i="12"/>
  <c r="AW11" i="12"/>
  <c r="AX11" i="12"/>
  <c r="AY11" i="12"/>
  <c r="AZ11" i="12"/>
  <c r="BA11" i="12"/>
  <c r="BB11" i="12"/>
  <c r="BC11" i="12"/>
  <c r="BD11" i="12"/>
  <c r="BE11" i="12"/>
  <c r="BF11" i="12"/>
  <c r="BG11" i="12"/>
  <c r="BH11" i="12"/>
  <c r="BI11" i="12"/>
  <c r="BJ11" i="12"/>
  <c r="BK11" i="12"/>
  <c r="BL11" i="12"/>
  <c r="BM11" i="12"/>
  <c r="BN11" i="12"/>
  <c r="BO11" i="12"/>
  <c r="BP11" i="12"/>
  <c r="BQ11" i="12"/>
  <c r="BR11" i="12"/>
  <c r="BS11" i="12"/>
  <c r="BT11" i="12"/>
  <c r="BU11" i="12"/>
  <c r="BV11" i="12"/>
  <c r="BW11" i="12"/>
  <c r="BX11" i="12"/>
  <c r="BY11" i="12"/>
  <c r="BZ11" i="12"/>
  <c r="CA11" i="12"/>
  <c r="CB11" i="12"/>
  <c r="CC11" i="12"/>
  <c r="CD11" i="12"/>
  <c r="B12" i="12"/>
  <c r="C12" i="12"/>
  <c r="D12" i="12"/>
  <c r="E12" i="12"/>
  <c r="F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AG12" i="12"/>
  <c r="AH12" i="12"/>
  <c r="AI12" i="12"/>
  <c r="AJ12" i="12"/>
  <c r="AK12" i="12"/>
  <c r="AL12" i="12"/>
  <c r="AM12" i="12"/>
  <c r="AN12" i="12"/>
  <c r="AO12" i="12"/>
  <c r="AP12" i="12"/>
  <c r="AQ12" i="12"/>
  <c r="AR12" i="12"/>
  <c r="AS12" i="12"/>
  <c r="AT12" i="12"/>
  <c r="AU12" i="12"/>
  <c r="AV12" i="12"/>
  <c r="AW12" i="12"/>
  <c r="AX12" i="12"/>
  <c r="AY12" i="12"/>
  <c r="AZ12" i="12"/>
  <c r="BA12" i="12"/>
  <c r="BB12" i="12"/>
  <c r="BC12" i="12"/>
  <c r="BD12" i="12"/>
  <c r="BE12" i="12"/>
  <c r="BF12" i="12"/>
  <c r="BG12" i="12"/>
  <c r="BH12" i="12"/>
  <c r="BI12" i="12"/>
  <c r="BJ12" i="12"/>
  <c r="BK12" i="12"/>
  <c r="BL12" i="12"/>
  <c r="BM12" i="12"/>
  <c r="BN12" i="12"/>
  <c r="BO12" i="12"/>
  <c r="BP12" i="12"/>
  <c r="BQ12" i="12"/>
  <c r="BR12" i="12"/>
  <c r="BS12" i="12"/>
  <c r="BT12" i="12"/>
  <c r="BU12" i="12"/>
  <c r="BV12" i="12"/>
  <c r="BW12" i="12"/>
  <c r="BX12" i="12"/>
  <c r="BY12" i="12"/>
  <c r="BZ12" i="12"/>
  <c r="CA12" i="12"/>
  <c r="CB12" i="12"/>
  <c r="CC12" i="12"/>
  <c r="CD12" i="12"/>
  <c r="B13" i="12"/>
  <c r="C13" i="12"/>
  <c r="D13" i="12"/>
  <c r="E13" i="12"/>
  <c r="F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AG13" i="12"/>
  <c r="AH13" i="12"/>
  <c r="AI13" i="12"/>
  <c r="AJ13" i="12"/>
  <c r="AK13" i="12"/>
  <c r="AL13" i="12"/>
  <c r="AM13" i="12"/>
  <c r="AN13" i="12"/>
  <c r="AO13" i="12"/>
  <c r="AP13" i="12"/>
  <c r="AQ13" i="12"/>
  <c r="AR13" i="12"/>
  <c r="AS13" i="12"/>
  <c r="AT13" i="12"/>
  <c r="AU13" i="12"/>
  <c r="AV13" i="12"/>
  <c r="AW13" i="12"/>
  <c r="AX13" i="12"/>
  <c r="AY13" i="12"/>
  <c r="AZ13" i="12"/>
  <c r="BA13" i="12"/>
  <c r="BB13" i="12"/>
  <c r="BC13" i="12"/>
  <c r="BD13" i="12"/>
  <c r="BE13" i="12"/>
  <c r="BF13" i="12"/>
  <c r="BG13" i="12"/>
  <c r="BH13" i="12"/>
  <c r="BI13" i="12"/>
  <c r="BJ13" i="12"/>
  <c r="BK13" i="12"/>
  <c r="BL13" i="12"/>
  <c r="BM13" i="12"/>
  <c r="BN13" i="12"/>
  <c r="BO13" i="12"/>
  <c r="BP13" i="12"/>
  <c r="BQ13" i="12"/>
  <c r="BR13" i="12"/>
  <c r="BS13" i="12"/>
  <c r="BT13" i="12"/>
  <c r="BU13" i="12"/>
  <c r="BV13" i="12"/>
  <c r="BW13" i="12"/>
  <c r="BX13" i="12"/>
  <c r="BY13" i="12"/>
  <c r="BZ13" i="12"/>
  <c r="CA13" i="12"/>
  <c r="CB13" i="12"/>
  <c r="CC13" i="12"/>
  <c r="CD13" i="12"/>
  <c r="B14" i="12"/>
  <c r="C14" i="12"/>
  <c r="D14" i="12"/>
  <c r="E14" i="12"/>
  <c r="F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AG14" i="12"/>
  <c r="AH14" i="12"/>
  <c r="AI14" i="12"/>
  <c r="AJ14" i="12"/>
  <c r="AK14" i="12"/>
  <c r="AL14" i="12"/>
  <c r="AM14" i="12"/>
  <c r="AN14" i="12"/>
  <c r="AO14" i="12"/>
  <c r="AP14" i="12"/>
  <c r="AQ14" i="12"/>
  <c r="AR14" i="12"/>
  <c r="AS14" i="12"/>
  <c r="AT14" i="12"/>
  <c r="AU14" i="12"/>
  <c r="AV14" i="12"/>
  <c r="AW14" i="12"/>
  <c r="AX14" i="12"/>
  <c r="AY14" i="12"/>
  <c r="AZ14" i="12"/>
  <c r="BA14" i="12"/>
  <c r="BB14" i="12"/>
  <c r="BC14" i="12"/>
  <c r="BD14" i="12"/>
  <c r="BE14" i="12"/>
  <c r="BF14" i="12"/>
  <c r="BG14" i="12"/>
  <c r="BH14" i="12"/>
  <c r="BI14" i="12"/>
  <c r="BJ14" i="12"/>
  <c r="BK14" i="12"/>
  <c r="BL14" i="12"/>
  <c r="BM14" i="12"/>
  <c r="BN14" i="12"/>
  <c r="BO14" i="12"/>
  <c r="BP14" i="12"/>
  <c r="BQ14" i="12"/>
  <c r="BR14" i="12"/>
  <c r="BS14" i="12"/>
  <c r="BT14" i="12"/>
  <c r="BU14" i="12"/>
  <c r="BV14" i="12"/>
  <c r="BW14" i="12"/>
  <c r="BX14" i="12"/>
  <c r="BY14" i="12"/>
  <c r="BZ14" i="12"/>
  <c r="CA14" i="12"/>
  <c r="CB14" i="12"/>
  <c r="CC14" i="12"/>
  <c r="CD14" i="12"/>
  <c r="B15" i="12"/>
  <c r="C15" i="12"/>
  <c r="D15" i="12"/>
  <c r="E15" i="12"/>
  <c r="F15" i="12"/>
  <c r="H15" i="12"/>
  <c r="I15" i="12"/>
  <c r="J15" i="12"/>
  <c r="K15" i="12"/>
  <c r="L15" i="12"/>
  <c r="M15" i="12"/>
  <c r="N15" i="12"/>
  <c r="O15" i="12"/>
  <c r="P15" i="12"/>
  <c r="Q15" i="12"/>
  <c r="R15" i="12"/>
  <c r="S15" i="12"/>
  <c r="T15" i="12"/>
  <c r="U15" i="12"/>
  <c r="V15" i="12"/>
  <c r="W15" i="12"/>
  <c r="X15" i="12"/>
  <c r="Y15" i="12"/>
  <c r="Z15" i="12"/>
  <c r="AA15" i="12"/>
  <c r="AB15" i="12"/>
  <c r="AC15" i="12"/>
  <c r="AD15" i="12"/>
  <c r="AE15" i="12"/>
  <c r="AF15" i="12"/>
  <c r="AG15" i="12"/>
  <c r="AH15" i="12"/>
  <c r="AI15" i="12"/>
  <c r="AJ15" i="12"/>
  <c r="AK15" i="12"/>
  <c r="AL15" i="12"/>
  <c r="AM15" i="12"/>
  <c r="AN15" i="12"/>
  <c r="AO15" i="12"/>
  <c r="AP15" i="12"/>
  <c r="AQ15" i="12"/>
  <c r="AR15" i="12"/>
  <c r="AS15" i="12"/>
  <c r="AT15" i="12"/>
  <c r="AU15" i="12"/>
  <c r="AV15" i="12"/>
  <c r="AW15" i="12"/>
  <c r="AX15" i="12"/>
  <c r="AY15" i="12"/>
  <c r="AZ15" i="12"/>
  <c r="BA15" i="12"/>
  <c r="BB15" i="12"/>
  <c r="BC15" i="12"/>
  <c r="BD15" i="12"/>
  <c r="BE15" i="12"/>
  <c r="BF15" i="12"/>
  <c r="BG15" i="12"/>
  <c r="BH15" i="12"/>
  <c r="BI15" i="12"/>
  <c r="BJ15" i="12"/>
  <c r="BK15" i="12"/>
  <c r="BL15" i="12"/>
  <c r="BM15" i="12"/>
  <c r="BN15" i="12"/>
  <c r="BO15" i="12"/>
  <c r="BP15" i="12"/>
  <c r="BQ15" i="12"/>
  <c r="BR15" i="12"/>
  <c r="BS15" i="12"/>
  <c r="BT15" i="12"/>
  <c r="BU15" i="12"/>
  <c r="BV15" i="12"/>
  <c r="BW15" i="12"/>
  <c r="BX15" i="12"/>
  <c r="BY15" i="12"/>
  <c r="BZ15" i="12"/>
  <c r="CA15" i="12"/>
  <c r="CB15" i="12"/>
  <c r="CC15" i="12"/>
  <c r="CD15" i="12"/>
  <c r="B16" i="12"/>
  <c r="C16" i="12"/>
  <c r="D16" i="12"/>
  <c r="E16" i="12"/>
  <c r="F16" i="12"/>
  <c r="H16" i="12"/>
  <c r="I16" i="12"/>
  <c r="J16" i="12"/>
  <c r="K16" i="12"/>
  <c r="L16" i="12"/>
  <c r="M16" i="12"/>
  <c r="N16" i="12"/>
  <c r="O16" i="12"/>
  <c r="P16" i="12"/>
  <c r="Q16" i="12"/>
  <c r="R16" i="12"/>
  <c r="S16" i="12"/>
  <c r="T16" i="12"/>
  <c r="U16" i="12"/>
  <c r="V16" i="12"/>
  <c r="W16" i="12"/>
  <c r="X16" i="12"/>
  <c r="Y16" i="12"/>
  <c r="Z16" i="12"/>
  <c r="AA16" i="12"/>
  <c r="AB16" i="12"/>
  <c r="AC16" i="12"/>
  <c r="AD16" i="12"/>
  <c r="AE16" i="12"/>
  <c r="AF16" i="12"/>
  <c r="AG16" i="12"/>
  <c r="AH16" i="12"/>
  <c r="AI16" i="12"/>
  <c r="AJ16" i="12"/>
  <c r="AK16" i="12"/>
  <c r="AL16" i="12"/>
  <c r="AM16" i="12"/>
  <c r="AN16" i="12"/>
  <c r="AO16" i="12"/>
  <c r="AP16" i="12"/>
  <c r="AQ16" i="12"/>
  <c r="AR16" i="12"/>
  <c r="AS16" i="12"/>
  <c r="AT16" i="12"/>
  <c r="AU16" i="12"/>
  <c r="AV16" i="12"/>
  <c r="AW16" i="12"/>
  <c r="AX16" i="12"/>
  <c r="AY16" i="12"/>
  <c r="AZ16" i="12"/>
  <c r="BA16" i="12"/>
  <c r="BB16" i="12"/>
  <c r="BC16" i="12"/>
  <c r="BD16" i="12"/>
  <c r="BE16" i="12"/>
  <c r="BF16" i="12"/>
  <c r="BG16" i="12"/>
  <c r="BH16" i="12"/>
  <c r="BI16" i="12"/>
  <c r="BJ16" i="12"/>
  <c r="BK16" i="12"/>
  <c r="BL16" i="12"/>
  <c r="BM16" i="12"/>
  <c r="BN16" i="12"/>
  <c r="BO16" i="12"/>
  <c r="BP16" i="12"/>
  <c r="BQ16" i="12"/>
  <c r="BR16" i="12"/>
  <c r="BS16" i="12"/>
  <c r="BT16" i="12"/>
  <c r="BU16" i="12"/>
  <c r="BV16" i="12"/>
  <c r="BW16" i="12"/>
  <c r="BX16" i="12"/>
  <c r="BY16" i="12"/>
  <c r="BZ16" i="12"/>
  <c r="CA16" i="12"/>
  <c r="CB16" i="12"/>
  <c r="CC16" i="12"/>
  <c r="CD16" i="12"/>
  <c r="B17" i="12"/>
  <c r="C17" i="12"/>
  <c r="D17" i="12"/>
  <c r="E17" i="12"/>
  <c r="F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AG17" i="12"/>
  <c r="AH17" i="12"/>
  <c r="AI17" i="12"/>
  <c r="AJ17" i="12"/>
  <c r="AK17" i="12"/>
  <c r="AL17" i="12"/>
  <c r="AM17" i="12"/>
  <c r="AN17" i="12"/>
  <c r="AO17" i="12"/>
  <c r="AP17" i="12"/>
  <c r="AQ17" i="12"/>
  <c r="AR17" i="12"/>
  <c r="AS17" i="12"/>
  <c r="AT17" i="12"/>
  <c r="AU17" i="12"/>
  <c r="AV17" i="12"/>
  <c r="AW17" i="12"/>
  <c r="AX17" i="12"/>
  <c r="AY17" i="12"/>
  <c r="AZ17" i="12"/>
  <c r="BA17" i="12"/>
  <c r="BB17" i="12"/>
  <c r="BC17" i="12"/>
  <c r="BD17" i="12"/>
  <c r="BE17" i="12"/>
  <c r="BF17" i="12"/>
  <c r="BG17" i="12"/>
  <c r="BH17" i="12"/>
  <c r="BI17" i="12"/>
  <c r="BJ17" i="12"/>
  <c r="BK17" i="12"/>
  <c r="BL17" i="12"/>
  <c r="BM17" i="12"/>
  <c r="BN17" i="12"/>
  <c r="BO17" i="12"/>
  <c r="BP17" i="12"/>
  <c r="BQ17" i="12"/>
  <c r="BR17" i="12"/>
  <c r="BS17" i="12"/>
  <c r="BT17" i="12"/>
  <c r="BU17" i="12"/>
  <c r="BV17" i="12"/>
  <c r="BW17" i="12"/>
  <c r="BX17" i="12"/>
  <c r="BY17" i="12"/>
  <c r="BZ17" i="12"/>
  <c r="CA17" i="12"/>
  <c r="CB17" i="12"/>
  <c r="CC17" i="12"/>
  <c r="CD17" i="12"/>
  <c r="B18" i="12"/>
  <c r="C18" i="12"/>
  <c r="D18" i="12"/>
  <c r="E18" i="12"/>
  <c r="F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AH18" i="12"/>
  <c r="AI18" i="12"/>
  <c r="AJ18" i="12"/>
  <c r="AK18" i="12"/>
  <c r="AL18" i="12"/>
  <c r="AM18" i="12"/>
  <c r="AN18" i="12"/>
  <c r="AO18" i="12"/>
  <c r="AP18" i="12"/>
  <c r="AQ18" i="12"/>
  <c r="AR18" i="12"/>
  <c r="AS18" i="12"/>
  <c r="AT18" i="12"/>
  <c r="AU18" i="12"/>
  <c r="AV18" i="12"/>
  <c r="AW18" i="12"/>
  <c r="AX18" i="12"/>
  <c r="AY18" i="12"/>
  <c r="AZ18" i="12"/>
  <c r="BA18" i="12"/>
  <c r="BB18" i="12"/>
  <c r="BC18" i="12"/>
  <c r="BD18" i="12"/>
  <c r="BE18" i="12"/>
  <c r="BF18" i="12"/>
  <c r="BG18" i="12"/>
  <c r="BH18" i="12"/>
  <c r="BI18" i="12"/>
  <c r="BJ18" i="12"/>
  <c r="BK18" i="12"/>
  <c r="BL18" i="12"/>
  <c r="BM18" i="12"/>
  <c r="BN18" i="12"/>
  <c r="BO18" i="12"/>
  <c r="BP18" i="12"/>
  <c r="BQ18" i="12"/>
  <c r="BR18" i="12"/>
  <c r="BS18" i="12"/>
  <c r="BT18" i="12"/>
  <c r="BU18" i="12"/>
  <c r="BV18" i="12"/>
  <c r="BW18" i="12"/>
  <c r="BX18" i="12"/>
  <c r="BY18" i="12"/>
  <c r="BZ18" i="12"/>
  <c r="CA18" i="12"/>
  <c r="CB18" i="12"/>
  <c r="CC18" i="12"/>
  <c r="CD18" i="12"/>
  <c r="B19" i="12"/>
  <c r="C19" i="12"/>
  <c r="D19" i="12"/>
  <c r="E19" i="12"/>
  <c r="F19" i="12"/>
  <c r="H19" i="12"/>
  <c r="I19" i="12"/>
  <c r="J19" i="12"/>
  <c r="K19" i="12"/>
  <c r="L19" i="12"/>
  <c r="M19" i="12"/>
  <c r="N19" i="12"/>
  <c r="O19" i="12"/>
  <c r="P19" i="12"/>
  <c r="Q19" i="12"/>
  <c r="R19" i="12"/>
  <c r="S19" i="12"/>
  <c r="T19" i="12"/>
  <c r="U19" i="12"/>
  <c r="V19" i="12"/>
  <c r="W19" i="12"/>
  <c r="X19" i="12"/>
  <c r="Y19" i="12"/>
  <c r="Z19" i="12"/>
  <c r="AA19" i="12"/>
  <c r="AB19" i="12"/>
  <c r="AC19" i="12"/>
  <c r="AD19" i="12"/>
  <c r="AE19" i="12"/>
  <c r="AF19" i="12"/>
  <c r="AG19" i="12"/>
  <c r="AH19" i="12"/>
  <c r="AI19" i="12"/>
  <c r="AJ19" i="12"/>
  <c r="AK19" i="12"/>
  <c r="AL19" i="12"/>
  <c r="AM19" i="12"/>
  <c r="AN19" i="12"/>
  <c r="AO19" i="12"/>
  <c r="AP19" i="12"/>
  <c r="AQ19" i="12"/>
  <c r="AR19" i="12"/>
  <c r="AS19" i="12"/>
  <c r="AT19" i="12"/>
  <c r="AU19" i="12"/>
  <c r="AV19" i="12"/>
  <c r="AW19" i="12"/>
  <c r="AX19" i="12"/>
  <c r="AY19" i="12"/>
  <c r="AZ19" i="12"/>
  <c r="BA19" i="12"/>
  <c r="BB19" i="12"/>
  <c r="BC19" i="12"/>
  <c r="BD19" i="12"/>
  <c r="BE19" i="12"/>
  <c r="BF19" i="12"/>
  <c r="BG19" i="12"/>
  <c r="BH19" i="12"/>
  <c r="BI19" i="12"/>
  <c r="BJ19" i="12"/>
  <c r="BK19" i="12"/>
  <c r="BL19" i="12"/>
  <c r="BM19" i="12"/>
  <c r="BN19" i="12"/>
  <c r="BO19" i="12"/>
  <c r="BP19" i="12"/>
  <c r="BQ19" i="12"/>
  <c r="BR19" i="12"/>
  <c r="BS19" i="12"/>
  <c r="BT19" i="12"/>
  <c r="BU19" i="12"/>
  <c r="BV19" i="12"/>
  <c r="BW19" i="12"/>
  <c r="BX19" i="12"/>
  <c r="BY19" i="12"/>
  <c r="BZ19" i="12"/>
  <c r="CA19" i="12"/>
  <c r="CB19" i="12"/>
  <c r="CC19" i="12"/>
  <c r="CD19" i="12"/>
  <c r="B20" i="12"/>
  <c r="C20" i="12"/>
  <c r="D20" i="12"/>
  <c r="E20" i="12"/>
  <c r="F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AH20" i="12"/>
  <c r="AI20" i="12"/>
  <c r="AJ20" i="12"/>
  <c r="AK20" i="12"/>
  <c r="AL20" i="12"/>
  <c r="AM20" i="12"/>
  <c r="AN20" i="12"/>
  <c r="AO20" i="12"/>
  <c r="AP20" i="12"/>
  <c r="AQ20" i="12"/>
  <c r="AR20" i="12"/>
  <c r="AS20" i="12"/>
  <c r="AT20" i="12"/>
  <c r="AU20" i="12"/>
  <c r="AV20" i="12"/>
  <c r="AW20" i="12"/>
  <c r="AX20" i="12"/>
  <c r="AY20" i="12"/>
  <c r="AZ20" i="12"/>
  <c r="BA20" i="12"/>
  <c r="BB20" i="12"/>
  <c r="BC20" i="12"/>
  <c r="BD20" i="12"/>
  <c r="BE20" i="12"/>
  <c r="BF20" i="12"/>
  <c r="BG20" i="12"/>
  <c r="BH20" i="12"/>
  <c r="BI20" i="12"/>
  <c r="BJ20" i="12"/>
  <c r="BK20" i="12"/>
  <c r="BL20" i="12"/>
  <c r="BM20" i="12"/>
  <c r="BN20" i="12"/>
  <c r="BO20" i="12"/>
  <c r="BP20" i="12"/>
  <c r="BQ20" i="12"/>
  <c r="BR20" i="12"/>
  <c r="BS20" i="12"/>
  <c r="BT20" i="12"/>
  <c r="BU20" i="12"/>
  <c r="BV20" i="12"/>
  <c r="BW20" i="12"/>
  <c r="BX20" i="12"/>
  <c r="BY20" i="12"/>
  <c r="BZ20" i="12"/>
  <c r="CA20" i="12"/>
  <c r="CB20" i="12"/>
  <c r="CC20" i="12"/>
  <c r="CD20" i="12"/>
  <c r="B21" i="12"/>
  <c r="C21" i="12"/>
  <c r="D21" i="12"/>
  <c r="E21" i="12"/>
  <c r="F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AJ21" i="12"/>
  <c r="AK21" i="12"/>
  <c r="AL21" i="12"/>
  <c r="AM21" i="12"/>
  <c r="AN21" i="12"/>
  <c r="AO21" i="12"/>
  <c r="AP21" i="12"/>
  <c r="AQ21" i="12"/>
  <c r="AR21" i="12"/>
  <c r="AS21" i="12"/>
  <c r="AT21" i="12"/>
  <c r="AU21" i="12"/>
  <c r="AV21" i="12"/>
  <c r="AW21" i="12"/>
  <c r="AX21" i="12"/>
  <c r="AY21" i="12"/>
  <c r="AZ21" i="12"/>
  <c r="BA21" i="12"/>
  <c r="BB21" i="12"/>
  <c r="BC21" i="12"/>
  <c r="BD21" i="12"/>
  <c r="BE21" i="12"/>
  <c r="BF21" i="12"/>
  <c r="BG21" i="12"/>
  <c r="BH21" i="12"/>
  <c r="BI21" i="12"/>
  <c r="BJ21" i="12"/>
  <c r="BK21" i="12"/>
  <c r="BL21" i="12"/>
  <c r="BM21" i="12"/>
  <c r="BN21" i="12"/>
  <c r="BO21" i="12"/>
  <c r="BP21" i="12"/>
  <c r="BQ21" i="12"/>
  <c r="BR21" i="12"/>
  <c r="BS21" i="12"/>
  <c r="BT21" i="12"/>
  <c r="BU21" i="12"/>
  <c r="BV21" i="12"/>
  <c r="BW21" i="12"/>
  <c r="BX21" i="12"/>
  <c r="BY21" i="12"/>
  <c r="BZ21" i="12"/>
  <c r="CA21" i="12"/>
  <c r="CB21" i="12"/>
  <c r="CC21" i="12"/>
  <c r="CD21" i="12"/>
  <c r="B22" i="12"/>
  <c r="C22" i="12"/>
  <c r="D22" i="12"/>
  <c r="E22" i="12"/>
  <c r="F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AJ22" i="12"/>
  <c r="AK22" i="12"/>
  <c r="AL22" i="12"/>
  <c r="AM22" i="12"/>
  <c r="AN22" i="12"/>
  <c r="AO22" i="12"/>
  <c r="AP22" i="12"/>
  <c r="AQ22" i="12"/>
  <c r="AR22" i="12"/>
  <c r="AS22" i="12"/>
  <c r="AT22" i="12"/>
  <c r="AU22" i="12"/>
  <c r="AV22" i="12"/>
  <c r="AW22" i="12"/>
  <c r="AX22" i="12"/>
  <c r="AY22" i="12"/>
  <c r="AZ22" i="12"/>
  <c r="BA22" i="12"/>
  <c r="BB22" i="12"/>
  <c r="BC22" i="12"/>
  <c r="BD22" i="12"/>
  <c r="BE22" i="12"/>
  <c r="BF22" i="12"/>
  <c r="BG22" i="12"/>
  <c r="BH22" i="12"/>
  <c r="BI22" i="12"/>
  <c r="BJ22" i="12"/>
  <c r="BK22" i="12"/>
  <c r="BL22" i="12"/>
  <c r="BM22" i="12"/>
  <c r="BN22" i="12"/>
  <c r="BO22" i="12"/>
  <c r="BP22" i="12"/>
  <c r="BQ22" i="12"/>
  <c r="BR22" i="12"/>
  <c r="BS22" i="12"/>
  <c r="BT22" i="12"/>
  <c r="BU22" i="12"/>
  <c r="BV22" i="12"/>
  <c r="BW22" i="12"/>
  <c r="BX22" i="12"/>
  <c r="BY22" i="12"/>
  <c r="BZ22" i="12"/>
  <c r="CA22" i="12"/>
  <c r="CB22" i="12"/>
  <c r="CC22" i="12"/>
  <c r="CD22" i="12"/>
  <c r="B23" i="12"/>
  <c r="C23" i="12"/>
  <c r="D23" i="12"/>
  <c r="E23" i="12"/>
  <c r="F23" i="12"/>
  <c r="H23" i="12"/>
  <c r="I23" i="12"/>
  <c r="J23" i="12"/>
  <c r="K23" i="12"/>
  <c r="L23" i="12"/>
  <c r="M23" i="12"/>
  <c r="N23" i="12"/>
  <c r="O23" i="12"/>
  <c r="P23" i="12"/>
  <c r="Q23" i="12"/>
  <c r="R23" i="12"/>
  <c r="S23" i="12"/>
  <c r="T23" i="12"/>
  <c r="U23" i="12"/>
  <c r="V23" i="12"/>
  <c r="W23" i="12"/>
  <c r="X23" i="12"/>
  <c r="Y23" i="12"/>
  <c r="Z23" i="12"/>
  <c r="AA23" i="12"/>
  <c r="AB23" i="12"/>
  <c r="AC23" i="12"/>
  <c r="AD23" i="12"/>
  <c r="AE23" i="12"/>
  <c r="AF23" i="12"/>
  <c r="AG23" i="12"/>
  <c r="AH23" i="12"/>
  <c r="AI23" i="12"/>
  <c r="AJ23" i="12"/>
  <c r="AK23" i="12"/>
  <c r="AL23" i="12"/>
  <c r="AM23" i="12"/>
  <c r="AN23" i="12"/>
  <c r="AO23" i="12"/>
  <c r="AP23" i="12"/>
  <c r="AQ23" i="12"/>
  <c r="AR23" i="12"/>
  <c r="AS23" i="12"/>
  <c r="AT23" i="12"/>
  <c r="AU23" i="12"/>
  <c r="AV23" i="12"/>
  <c r="AW23" i="12"/>
  <c r="AX23" i="12"/>
  <c r="AY23" i="12"/>
  <c r="AZ23" i="12"/>
  <c r="BA23" i="12"/>
  <c r="BB23" i="12"/>
  <c r="BC23" i="12"/>
  <c r="BD23" i="12"/>
  <c r="BE23" i="12"/>
  <c r="BF23" i="12"/>
  <c r="BG23" i="12"/>
  <c r="BH23" i="12"/>
  <c r="BI23" i="12"/>
  <c r="BJ23" i="12"/>
  <c r="BK23" i="12"/>
  <c r="BL23" i="12"/>
  <c r="BM23" i="12"/>
  <c r="BN23" i="12"/>
  <c r="BO23" i="12"/>
  <c r="BP23" i="12"/>
  <c r="BQ23" i="12"/>
  <c r="BR23" i="12"/>
  <c r="BS23" i="12"/>
  <c r="BT23" i="12"/>
  <c r="BU23" i="12"/>
  <c r="BV23" i="12"/>
  <c r="BW23" i="12"/>
  <c r="BX23" i="12"/>
  <c r="BY23" i="12"/>
  <c r="BZ23" i="12"/>
  <c r="CA23" i="12"/>
  <c r="CB23" i="12"/>
  <c r="CC23" i="12"/>
  <c r="CD23" i="12"/>
  <c r="B24" i="12"/>
  <c r="C24" i="12"/>
  <c r="K24" i="12"/>
  <c r="M24" i="12"/>
  <c r="AC24" i="12"/>
  <c r="B25" i="12"/>
  <c r="C25" i="12"/>
  <c r="K25" i="12"/>
  <c r="M25" i="12"/>
  <c r="AC25" i="12"/>
  <c r="B26" i="12"/>
  <c r="C26" i="12"/>
  <c r="K26" i="12"/>
  <c r="M26" i="12"/>
  <c r="AC26" i="12"/>
  <c r="B27" i="12"/>
  <c r="B28" i="12"/>
  <c r="C7" i="12"/>
  <c r="D7" i="12"/>
  <c r="E7" i="12"/>
  <c r="F7" i="12"/>
  <c r="G7" i="12"/>
  <c r="H7" i="12"/>
  <c r="I7" i="12"/>
  <c r="J7" i="12"/>
  <c r="K7" i="12"/>
  <c r="L7" i="12"/>
  <c r="M7" i="12"/>
  <c r="N7" i="12"/>
  <c r="O7" i="12"/>
  <c r="P7" i="12"/>
  <c r="Q7" i="12"/>
  <c r="R7" i="12"/>
  <c r="S7" i="12"/>
  <c r="T7" i="12"/>
  <c r="U7" i="12"/>
  <c r="V7" i="12"/>
  <c r="W7" i="12"/>
  <c r="X7" i="12"/>
  <c r="Y7" i="12"/>
  <c r="Z7" i="12"/>
  <c r="AA7" i="12"/>
  <c r="AB7" i="12"/>
  <c r="AC7" i="12"/>
  <c r="AD7" i="12"/>
  <c r="AE7" i="12"/>
  <c r="AF7" i="12"/>
  <c r="AG7" i="12"/>
  <c r="AH7" i="12"/>
  <c r="AI7" i="12"/>
  <c r="AJ7" i="12"/>
  <c r="AK7" i="12"/>
  <c r="AL7" i="12"/>
  <c r="AM7" i="12"/>
  <c r="AN7" i="12"/>
  <c r="AO7" i="12"/>
  <c r="AP7" i="12"/>
  <c r="AQ7" i="12"/>
  <c r="AR7" i="12"/>
  <c r="AS7" i="12"/>
  <c r="AT7" i="12"/>
  <c r="AU7" i="12"/>
  <c r="AV7" i="12"/>
  <c r="AW7" i="12"/>
  <c r="AX7" i="12"/>
  <c r="AY7" i="12"/>
  <c r="AZ7" i="12"/>
  <c r="BA7" i="12"/>
  <c r="BB7" i="12"/>
  <c r="BC7" i="12"/>
  <c r="BD7" i="12"/>
  <c r="BE7" i="12"/>
  <c r="BF7" i="12"/>
  <c r="BG7" i="12"/>
  <c r="BH7" i="12"/>
  <c r="BI7" i="12"/>
  <c r="BJ7" i="12"/>
  <c r="BK7" i="12"/>
  <c r="BL7" i="12"/>
  <c r="BM7" i="12"/>
  <c r="BN7" i="12"/>
  <c r="BO7" i="12"/>
  <c r="BP7" i="12"/>
  <c r="BQ7" i="12"/>
  <c r="BR7" i="12"/>
  <c r="BS7" i="12"/>
  <c r="BT7" i="12"/>
  <c r="BU7" i="12"/>
  <c r="BV7" i="12"/>
  <c r="BW7" i="12"/>
  <c r="BX7" i="12"/>
  <c r="BY7" i="12"/>
  <c r="BZ7" i="12"/>
  <c r="CA7" i="12"/>
  <c r="CB7" i="12"/>
  <c r="CC7" i="12"/>
  <c r="CD7" i="12"/>
  <c r="B7" i="12"/>
  <c r="CA1" i="12"/>
  <c r="CB1" i="12"/>
  <c r="CC1" i="12"/>
  <c r="CD1" i="12"/>
  <c r="CA2" i="12"/>
  <c r="CB2" i="12"/>
  <c r="CC2" i="12"/>
  <c r="CD2" i="12"/>
  <c r="CA3" i="12"/>
  <c r="CB3" i="12"/>
  <c r="CC3" i="12"/>
  <c r="CD3" i="12"/>
  <c r="CA4" i="12"/>
  <c r="CB4" i="12"/>
  <c r="CC4" i="12"/>
  <c r="CD4" i="12"/>
  <c r="CA5" i="12"/>
  <c r="CB5" i="12"/>
  <c r="CC5" i="12"/>
  <c r="CD5" i="12"/>
  <c r="AU1" i="12"/>
  <c r="AV1" i="12"/>
  <c r="AW1" i="12"/>
  <c r="AX1" i="12"/>
  <c r="AY1" i="12"/>
  <c r="AZ1" i="12"/>
  <c r="BA1" i="12"/>
  <c r="BB1" i="12"/>
  <c r="BC1" i="12"/>
  <c r="BD1" i="12"/>
  <c r="BE1" i="12"/>
  <c r="BF1" i="12"/>
  <c r="BG1" i="12"/>
  <c r="BH1" i="12"/>
  <c r="BI1" i="12"/>
  <c r="BJ1" i="12"/>
  <c r="BK1" i="12"/>
  <c r="BL1" i="12"/>
  <c r="BM1" i="12"/>
  <c r="BN1" i="12"/>
  <c r="BO1" i="12"/>
  <c r="BP1" i="12"/>
  <c r="BQ1" i="12"/>
  <c r="BR1" i="12"/>
  <c r="BS1" i="12"/>
  <c r="BT1" i="12"/>
  <c r="BU1" i="12"/>
  <c r="BV1" i="12"/>
  <c r="BW1" i="12"/>
  <c r="BX1" i="12"/>
  <c r="BY1" i="12"/>
  <c r="BZ1" i="12"/>
  <c r="AU2" i="12"/>
  <c r="AV2" i="12"/>
  <c r="AW2" i="12"/>
  <c r="AX2" i="12"/>
  <c r="AY2" i="12"/>
  <c r="AZ2" i="12"/>
  <c r="BA2" i="12"/>
  <c r="BB2" i="12"/>
  <c r="BC2" i="12"/>
  <c r="BD2" i="12"/>
  <c r="BE2" i="12"/>
  <c r="BF2" i="12"/>
  <c r="BG2" i="12"/>
  <c r="BH2" i="12"/>
  <c r="BI2" i="12"/>
  <c r="BJ2" i="12"/>
  <c r="BK2" i="12"/>
  <c r="BL2" i="12"/>
  <c r="BM2" i="12"/>
  <c r="BN2" i="12"/>
  <c r="BO2" i="12"/>
  <c r="BP2" i="12"/>
  <c r="BQ2" i="12"/>
  <c r="BR2" i="12"/>
  <c r="BS2" i="12"/>
  <c r="BT2" i="12"/>
  <c r="BU2" i="12"/>
  <c r="BV2" i="12"/>
  <c r="BW2" i="12"/>
  <c r="BX2" i="12"/>
  <c r="BY2" i="12"/>
  <c r="BZ2" i="12"/>
  <c r="AU3" i="12"/>
  <c r="AV3" i="12"/>
  <c r="AW3" i="12"/>
  <c r="AX3" i="12"/>
  <c r="AY3" i="12"/>
  <c r="AZ3" i="12"/>
  <c r="BA3" i="12"/>
  <c r="BB3" i="12"/>
  <c r="BC3" i="12"/>
  <c r="BD3" i="12"/>
  <c r="BE3" i="12"/>
  <c r="BF3" i="12"/>
  <c r="BG3" i="12"/>
  <c r="BH3" i="12"/>
  <c r="BI3" i="12"/>
  <c r="BJ3" i="12"/>
  <c r="BK3" i="12"/>
  <c r="BL3" i="12"/>
  <c r="BM3" i="12"/>
  <c r="BN3" i="12"/>
  <c r="BO3" i="12"/>
  <c r="BP3" i="12"/>
  <c r="BQ3" i="12"/>
  <c r="BR3" i="12"/>
  <c r="BS3" i="12"/>
  <c r="BT3" i="12"/>
  <c r="BU3" i="12"/>
  <c r="BV3" i="12"/>
  <c r="BW3" i="12"/>
  <c r="BX3" i="12"/>
  <c r="BY3" i="12"/>
  <c r="BZ3" i="12"/>
  <c r="AU4" i="12"/>
  <c r="AV4" i="12"/>
  <c r="AW4" i="12"/>
  <c r="AX4" i="12"/>
  <c r="AY4" i="12"/>
  <c r="AZ4" i="12"/>
  <c r="BA4" i="12"/>
  <c r="BB4" i="12"/>
  <c r="BC4" i="12"/>
  <c r="BD4" i="12"/>
  <c r="BE4" i="12"/>
  <c r="BF4" i="12"/>
  <c r="BG4" i="12"/>
  <c r="BH4" i="12"/>
  <c r="BI4" i="12"/>
  <c r="BJ4" i="12"/>
  <c r="BK4" i="12"/>
  <c r="BL4" i="12"/>
  <c r="BM4" i="12"/>
  <c r="BN4" i="12"/>
  <c r="BO4" i="12"/>
  <c r="BP4" i="12"/>
  <c r="BQ4" i="12"/>
  <c r="BR4" i="12"/>
  <c r="BS4" i="12"/>
  <c r="BT4" i="12"/>
  <c r="BU4" i="12"/>
  <c r="BV4" i="12"/>
  <c r="BW4" i="12"/>
  <c r="BX4" i="12"/>
  <c r="BY4" i="12"/>
  <c r="BZ4" i="12"/>
  <c r="AU5" i="12"/>
  <c r="AV5" i="12"/>
  <c r="AW5" i="12"/>
  <c r="AX5" i="12"/>
  <c r="AY5" i="12"/>
  <c r="AZ5" i="12"/>
  <c r="BA5" i="12"/>
  <c r="BB5" i="12"/>
  <c r="BC5" i="12"/>
  <c r="BD5" i="12"/>
  <c r="BE5" i="12"/>
  <c r="BF5" i="12"/>
  <c r="BG5" i="12"/>
  <c r="BH5" i="12"/>
  <c r="BI5" i="12"/>
  <c r="BJ5" i="12"/>
  <c r="BK5" i="12"/>
  <c r="BL5" i="12"/>
  <c r="BM5" i="12"/>
  <c r="BN5" i="12"/>
  <c r="BO5" i="12"/>
  <c r="BP5" i="12"/>
  <c r="BQ5" i="12"/>
  <c r="BR5" i="12"/>
  <c r="BS5" i="12"/>
  <c r="BT5" i="12"/>
  <c r="BU5" i="12"/>
  <c r="BV5" i="12"/>
  <c r="BW5" i="12"/>
  <c r="BX5" i="12"/>
  <c r="BY5" i="12"/>
  <c r="BZ5" i="12"/>
  <c r="C1" i="12"/>
  <c r="D1" i="12"/>
  <c r="E1" i="12"/>
  <c r="F1" i="12"/>
  <c r="G1" i="12"/>
  <c r="H1" i="12"/>
  <c r="I1" i="12"/>
  <c r="J1" i="12"/>
  <c r="K1" i="12"/>
  <c r="L1" i="12"/>
  <c r="M1" i="12"/>
  <c r="N1" i="12"/>
  <c r="O1" i="12"/>
  <c r="P1" i="12"/>
  <c r="Q1" i="12"/>
  <c r="R1" i="12"/>
  <c r="S1" i="12"/>
  <c r="T1" i="12"/>
  <c r="U1" i="12"/>
  <c r="V1" i="12"/>
  <c r="W1" i="12"/>
  <c r="X1" i="12"/>
  <c r="Y1" i="12"/>
  <c r="Z1" i="12"/>
  <c r="AA1" i="12"/>
  <c r="AB1" i="12"/>
  <c r="AC1" i="12"/>
  <c r="AD1" i="12"/>
  <c r="AE1" i="12"/>
  <c r="AF1" i="12"/>
  <c r="AG1" i="12"/>
  <c r="AH1" i="12"/>
  <c r="AI1" i="12"/>
  <c r="AJ1" i="12"/>
  <c r="AK1" i="12"/>
  <c r="AL1" i="12"/>
  <c r="AM1" i="12"/>
  <c r="AN1" i="12"/>
  <c r="AO1" i="12"/>
  <c r="AP1" i="12"/>
  <c r="AQ1" i="12"/>
  <c r="AR1" i="12"/>
  <c r="AS1" i="12"/>
  <c r="AT1" i="12"/>
  <c r="C2" i="12"/>
  <c r="D2" i="12"/>
  <c r="E2" i="12"/>
  <c r="F2" i="12"/>
  <c r="G2" i="12"/>
  <c r="H2" i="12"/>
  <c r="I2" i="12"/>
  <c r="J2" i="12"/>
  <c r="K2" i="12"/>
  <c r="L2" i="12"/>
  <c r="M2" i="12"/>
  <c r="N2" i="12"/>
  <c r="O2" i="12"/>
  <c r="P2" i="12"/>
  <c r="Q2" i="12"/>
  <c r="R2" i="12"/>
  <c r="S2" i="12"/>
  <c r="T2" i="12"/>
  <c r="U2" i="12"/>
  <c r="V2" i="12"/>
  <c r="W2" i="12"/>
  <c r="X2" i="12"/>
  <c r="Y2" i="12"/>
  <c r="Z2" i="12"/>
  <c r="AA2" i="12"/>
  <c r="AB2" i="12"/>
  <c r="AC2" i="12"/>
  <c r="AD2" i="12"/>
  <c r="AE2" i="12"/>
  <c r="AF2" i="12"/>
  <c r="AG2" i="12"/>
  <c r="AH2" i="12"/>
  <c r="AI2" i="12"/>
  <c r="AJ2" i="12"/>
  <c r="AK2" i="12"/>
  <c r="AL2" i="12"/>
  <c r="AM2" i="12"/>
  <c r="AN2" i="12"/>
  <c r="AO2" i="12"/>
  <c r="AP2" i="12"/>
  <c r="AQ2" i="12"/>
  <c r="AR2" i="12"/>
  <c r="AS2" i="12"/>
  <c r="AT2" i="12"/>
  <c r="C3" i="12"/>
  <c r="D3"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AH3" i="12"/>
  <c r="AI3" i="12"/>
  <c r="AJ3" i="12"/>
  <c r="AK3" i="12"/>
  <c r="AL3" i="12"/>
  <c r="AM3" i="12"/>
  <c r="AN3" i="12"/>
  <c r="AO3" i="12"/>
  <c r="AP3" i="12"/>
  <c r="AQ3" i="12"/>
  <c r="AR3" i="12"/>
  <c r="AS3" i="12"/>
  <c r="AT3" i="12"/>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AH4" i="12"/>
  <c r="AI4" i="12"/>
  <c r="AJ4" i="12"/>
  <c r="AK4" i="12"/>
  <c r="AL4" i="12"/>
  <c r="AM4" i="12"/>
  <c r="AN4" i="12"/>
  <c r="AO4" i="12"/>
  <c r="AP4" i="12"/>
  <c r="AQ4" i="12"/>
  <c r="AR4" i="12"/>
  <c r="AS4" i="12"/>
  <c r="AT4" i="12"/>
  <c r="C5" i="12"/>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AH5" i="12"/>
  <c r="AI5" i="12"/>
  <c r="AJ5" i="12"/>
  <c r="AK5" i="12"/>
  <c r="AL5" i="12"/>
  <c r="AM5" i="12"/>
  <c r="AN5" i="12"/>
  <c r="AO5" i="12"/>
  <c r="AP5" i="12"/>
  <c r="AQ5" i="12"/>
  <c r="AR5" i="12"/>
  <c r="AS5" i="12"/>
  <c r="AT5" i="12"/>
  <c r="B2" i="12"/>
  <c r="B3" i="12"/>
  <c r="B4" i="12"/>
  <c r="B5" i="12"/>
  <c r="B1" i="12"/>
  <c r="CJ23" i="11" l="1"/>
  <c r="AZ7" i="3"/>
  <c r="AV7" i="3"/>
  <c r="AR7" i="3"/>
  <c r="AN7" i="3"/>
  <c r="AJ7" i="3"/>
  <c r="AF7" i="3"/>
  <c r="AB7" i="3"/>
  <c r="X7" i="3"/>
  <c r="T7" i="3"/>
  <c r="P7" i="3"/>
  <c r="L7" i="3"/>
  <c r="D7" i="3"/>
  <c r="CB23" i="3"/>
  <c r="BW23" i="3"/>
  <c r="BS23" i="3"/>
  <c r="BO23" i="3"/>
  <c r="BF23" i="3"/>
  <c r="AJ23" i="3"/>
  <c r="AF23" i="3"/>
  <c r="AB23" i="3"/>
  <c r="X23" i="3"/>
  <c r="T23" i="3"/>
  <c r="P23" i="3"/>
  <c r="L23" i="3"/>
  <c r="H23" i="3"/>
  <c r="D23" i="3"/>
  <c r="BX22" i="3"/>
  <c r="BT22" i="3"/>
  <c r="BP22" i="3"/>
  <c r="BL22" i="3"/>
  <c r="BH22" i="3"/>
  <c r="BD22" i="3"/>
  <c r="AY22" i="3"/>
  <c r="AU22" i="3"/>
  <c r="AQ22" i="3"/>
  <c r="AL22" i="3"/>
  <c r="AH22" i="3"/>
  <c r="AD22" i="3"/>
  <c r="Z22" i="3"/>
  <c r="V22" i="3"/>
  <c r="R22" i="3"/>
  <c r="N22" i="3"/>
  <c r="J22" i="3"/>
  <c r="F22" i="3"/>
  <c r="CA21" i="3"/>
  <c r="BV21" i="3"/>
  <c r="BR21" i="3"/>
  <c r="BN21" i="3"/>
  <c r="BJ21" i="3"/>
  <c r="AZ21" i="3"/>
  <c r="AV21" i="3"/>
  <c r="AR21" i="3"/>
  <c r="AM21" i="3"/>
  <c r="AI21" i="3"/>
  <c r="AE21" i="3"/>
  <c r="AA21" i="3"/>
  <c r="W21" i="3"/>
  <c r="S21" i="3"/>
  <c r="O21" i="3"/>
  <c r="K21" i="3"/>
  <c r="C21" i="3"/>
  <c r="CB20" i="3"/>
  <c r="BW20" i="3"/>
  <c r="BS20" i="3"/>
  <c r="BO20" i="3"/>
  <c r="BG20" i="3"/>
  <c r="BC20" i="3"/>
  <c r="AX20" i="3"/>
  <c r="AT20" i="3"/>
  <c r="AP20" i="3"/>
  <c r="CD19" i="3"/>
  <c r="BZ19" i="3"/>
  <c r="CJ19" i="11"/>
  <c r="BQ19" i="3"/>
  <c r="CN6" i="11"/>
  <c r="AX7" i="3"/>
  <c r="AT7" i="3"/>
  <c r="AP7" i="3"/>
  <c r="AL7" i="3"/>
  <c r="AH7" i="3"/>
  <c r="AD7" i="3"/>
  <c r="Z7" i="3"/>
  <c r="CZ13" i="11"/>
  <c r="CY12" i="11"/>
  <c r="CX11" i="11"/>
  <c r="CY8" i="11"/>
  <c r="CM6" i="11"/>
  <c r="H7" i="3"/>
  <c r="BA23" i="3"/>
  <c r="B22" i="3"/>
  <c r="BK20" i="3"/>
  <c r="CZ20" i="11"/>
  <c r="CK20" i="11"/>
  <c r="CX20" i="11"/>
  <c r="CY20" i="11"/>
  <c r="AC20" i="3"/>
  <c r="U20" i="3"/>
  <c r="Q20" i="3"/>
  <c r="E20" i="3"/>
  <c r="CJ21" i="11"/>
  <c r="CC7" i="3"/>
  <c r="BY7" i="3"/>
  <c r="BU7" i="3"/>
  <c r="BQ7" i="3"/>
  <c r="CJ6" i="11"/>
  <c r="BM7" i="3"/>
  <c r="BI7" i="3"/>
  <c r="BD7" i="3"/>
  <c r="AY7" i="3"/>
  <c r="AU7" i="3"/>
  <c r="AQ7" i="3"/>
  <c r="AM7" i="3"/>
  <c r="AI7" i="3"/>
  <c r="AE7" i="3"/>
  <c r="AA7" i="3"/>
  <c r="W7" i="3"/>
  <c r="S7" i="3"/>
  <c r="O7" i="3"/>
  <c r="K7" i="3"/>
  <c r="G7" i="3"/>
  <c r="C7" i="3"/>
  <c r="CA23" i="3"/>
  <c r="CO6" i="11"/>
  <c r="BF7" i="3"/>
  <c r="AO23" i="3"/>
  <c r="AK20" i="3"/>
  <c r="Y20" i="3"/>
  <c r="M20" i="3"/>
  <c r="I20" i="3"/>
  <c r="B7" i="3"/>
  <c r="CQ6" i="11"/>
  <c r="CB7" i="3"/>
  <c r="BX7" i="3"/>
  <c r="BT7" i="3"/>
  <c r="BP7" i="3"/>
  <c r="BL7" i="3"/>
  <c r="BH7" i="3"/>
  <c r="BC7" i="3"/>
  <c r="V7" i="3"/>
  <c r="R7" i="3"/>
  <c r="N7" i="3"/>
  <c r="J7" i="3"/>
  <c r="F7" i="3"/>
  <c r="CD23" i="3"/>
  <c r="BZ23" i="3"/>
  <c r="BU23" i="3"/>
  <c r="BQ23" i="3"/>
  <c r="BM23" i="3"/>
  <c r="BH23" i="3"/>
  <c r="BD23" i="3"/>
  <c r="AY23" i="3"/>
  <c r="AU23" i="3"/>
  <c r="AQ23" i="3"/>
  <c r="AL23" i="3"/>
  <c r="AH23" i="3"/>
  <c r="AD23" i="3"/>
  <c r="Z23" i="3"/>
  <c r="V23" i="3"/>
  <c r="R23" i="3"/>
  <c r="CY23" i="11"/>
  <c r="CZ23" i="11"/>
  <c r="BK23" i="3"/>
  <c r="CX23" i="11"/>
  <c r="CK23" i="11"/>
  <c r="AW23" i="3"/>
  <c r="CV23" i="11"/>
  <c r="CW23" i="11"/>
  <c r="CH23" i="11"/>
  <c r="CU23" i="11"/>
  <c r="CI23" i="11"/>
  <c r="AS23" i="3"/>
  <c r="CC22" i="3"/>
  <c r="BE21" i="3"/>
  <c r="AG20" i="3"/>
  <c r="BU19" i="3"/>
  <c r="BB11" i="3"/>
  <c r="BB12" i="3"/>
  <c r="BB15" i="3"/>
  <c r="BB16" i="3"/>
  <c r="BB17" i="3"/>
  <c r="BB13" i="3"/>
  <c r="BB14" i="3"/>
  <c r="BB19" i="3"/>
  <c r="BB20" i="3"/>
  <c r="BB21" i="3"/>
  <c r="BB18" i="3"/>
  <c r="BB22" i="3"/>
  <c r="BM19" i="3"/>
  <c r="BI19" i="3"/>
  <c r="BE19" i="3"/>
  <c r="AZ19" i="3"/>
  <c r="AV19" i="3"/>
  <c r="AR19" i="3"/>
  <c r="AM19" i="3"/>
  <c r="AI19" i="3"/>
  <c r="AE19" i="3"/>
  <c r="AA19" i="3"/>
  <c r="W19" i="3"/>
  <c r="S19" i="3"/>
  <c r="O19" i="3"/>
  <c r="K19" i="3"/>
  <c r="C19" i="3"/>
  <c r="CB18" i="3"/>
  <c r="BW18" i="3"/>
  <c r="BS18" i="3"/>
  <c r="BO18" i="3"/>
  <c r="CJ18" i="11"/>
  <c r="BK18" i="3"/>
  <c r="CX18" i="11"/>
  <c r="CY18" i="11"/>
  <c r="CZ18" i="11"/>
  <c r="CK18" i="11"/>
  <c r="BG18" i="3"/>
  <c r="BC18" i="3"/>
  <c r="AX18" i="3"/>
  <c r="AT18" i="3"/>
  <c r="AP18" i="3"/>
  <c r="AK18" i="3"/>
  <c r="AG18" i="3"/>
  <c r="AC18" i="3"/>
  <c r="Y18" i="3"/>
  <c r="U18" i="3"/>
  <c r="Q18" i="3"/>
  <c r="M18" i="3"/>
  <c r="I18" i="3"/>
  <c r="E18" i="3"/>
  <c r="CD17" i="3"/>
  <c r="BZ17" i="3"/>
  <c r="BV17" i="3"/>
  <c r="BR17" i="3"/>
  <c r="BN17" i="3"/>
  <c r="BJ17" i="3"/>
  <c r="BF17" i="3"/>
  <c r="BA17" i="3"/>
  <c r="AW17" i="3"/>
  <c r="CU17" i="11"/>
  <c r="CI17" i="11"/>
  <c r="CH17" i="11"/>
  <c r="CV17" i="11"/>
  <c r="CW17" i="11"/>
  <c r="AS17" i="3"/>
  <c r="AO17" i="3"/>
  <c r="AK17" i="3"/>
  <c r="AG17" i="3"/>
  <c r="AC17" i="3"/>
  <c r="Y17" i="3"/>
  <c r="U17" i="3"/>
  <c r="Q17" i="3"/>
  <c r="M17" i="3"/>
  <c r="I17" i="3"/>
  <c r="E17" i="3"/>
  <c r="CD16" i="3"/>
  <c r="BZ16" i="3"/>
  <c r="BV16" i="3"/>
  <c r="BR16" i="3"/>
  <c r="BN16" i="3"/>
  <c r="BJ16" i="3"/>
  <c r="BF16" i="3"/>
  <c r="BA16" i="3"/>
  <c r="AW16" i="3"/>
  <c r="CW16" i="11"/>
  <c r="CI16" i="11"/>
  <c r="CH16" i="11"/>
  <c r="CN16" i="11" s="1"/>
  <c r="CU16" i="11"/>
  <c r="CV16" i="11"/>
  <c r="AS16" i="3"/>
  <c r="AO16" i="3"/>
  <c r="AK16" i="3"/>
  <c r="AG16" i="3"/>
  <c r="AC16" i="3"/>
  <c r="Y16" i="3"/>
  <c r="U16" i="3"/>
  <c r="Q16" i="3"/>
  <c r="M16" i="3"/>
  <c r="I16" i="3"/>
  <c r="E16" i="3"/>
  <c r="CD15" i="3"/>
  <c r="BZ15" i="3"/>
  <c r="BV15" i="3"/>
  <c r="BR15" i="3"/>
  <c r="BN15" i="3"/>
  <c r="BJ15" i="3"/>
  <c r="BF15" i="3"/>
  <c r="BA15" i="3"/>
  <c r="AW15" i="3"/>
  <c r="CV15" i="11"/>
  <c r="CW15" i="11"/>
  <c r="CU15" i="11"/>
  <c r="CI15" i="11"/>
  <c r="CH15" i="11"/>
  <c r="AS15" i="3"/>
  <c r="AO15" i="3"/>
  <c r="AK15" i="3"/>
  <c r="AG15" i="3"/>
  <c r="AC15" i="3"/>
  <c r="Y15" i="3"/>
  <c r="U15" i="3"/>
  <c r="Q15" i="3"/>
  <c r="M15" i="3"/>
  <c r="I15" i="3"/>
  <c r="E15" i="3"/>
  <c r="CD14" i="3"/>
  <c r="BZ14" i="3"/>
  <c r="BV23" i="3"/>
  <c r="BR23" i="3"/>
  <c r="BN23" i="3"/>
  <c r="BJ23" i="3"/>
  <c r="BE23" i="3"/>
  <c r="AZ23" i="3"/>
  <c r="AV23" i="3"/>
  <c r="AR23" i="3"/>
  <c r="AM23" i="3"/>
  <c r="AI23" i="3"/>
  <c r="AE23" i="3"/>
  <c r="AA23" i="3"/>
  <c r="W23" i="3"/>
  <c r="S23" i="3"/>
  <c r="O23" i="3"/>
  <c r="K23" i="3"/>
  <c r="C23" i="3"/>
  <c r="CB22" i="3"/>
  <c r="BW22" i="3"/>
  <c r="BS22" i="3"/>
  <c r="BO22" i="3"/>
  <c r="CJ22" i="11"/>
  <c r="CX22" i="11"/>
  <c r="CY22" i="11"/>
  <c r="BK22" i="3"/>
  <c r="CZ22" i="11"/>
  <c r="CK22" i="11"/>
  <c r="BG22" i="3"/>
  <c r="BC22" i="3"/>
  <c r="AX22" i="3"/>
  <c r="AT22" i="3"/>
  <c r="AP22" i="3"/>
  <c r="AK22" i="3"/>
  <c r="AG22" i="3"/>
  <c r="AC22" i="3"/>
  <c r="Y22" i="3"/>
  <c r="U22" i="3"/>
  <c r="Q22" i="3"/>
  <c r="M22" i="3"/>
  <c r="I22" i="3"/>
  <c r="E22" i="3"/>
  <c r="CD21" i="3"/>
  <c r="BZ21" i="3"/>
  <c r="BU21" i="3"/>
  <c r="BQ21" i="3"/>
  <c r="BM21" i="3"/>
  <c r="BI21" i="3"/>
  <c r="BD21" i="3"/>
  <c r="AY21" i="3"/>
  <c r="AU21" i="3"/>
  <c r="AQ21" i="3"/>
  <c r="AL21" i="3"/>
  <c r="AH21" i="3"/>
  <c r="AD21" i="3"/>
  <c r="Z21" i="3"/>
  <c r="V21" i="3"/>
  <c r="R21" i="3"/>
  <c r="N21" i="3"/>
  <c r="J21" i="3"/>
  <c r="F21" i="3"/>
  <c r="B21" i="3"/>
  <c r="CA20" i="3"/>
  <c r="BV20" i="3"/>
  <c r="BR20" i="3"/>
  <c r="BN20" i="3"/>
  <c r="BJ20" i="3"/>
  <c r="BF20" i="3"/>
  <c r="BA20" i="3"/>
  <c r="AW20" i="3"/>
  <c r="CW20" i="11"/>
  <c r="CI20" i="11"/>
  <c r="CH20" i="11"/>
  <c r="CU20" i="11"/>
  <c r="CV20" i="11"/>
  <c r="AS20" i="3"/>
  <c r="AO20" i="3"/>
  <c r="AJ20" i="3"/>
  <c r="AF20" i="3"/>
  <c r="AB20" i="3"/>
  <c r="X20" i="3"/>
  <c r="T20" i="3"/>
  <c r="P20" i="3"/>
  <c r="L20" i="3"/>
  <c r="H20" i="3"/>
  <c r="D20" i="3"/>
  <c r="CC19" i="3"/>
  <c r="BX19" i="3"/>
  <c r="BT19" i="3"/>
  <c r="BP19" i="3"/>
  <c r="BL19" i="3"/>
  <c r="BH19" i="3"/>
  <c r="BD19" i="3"/>
  <c r="AY19" i="3"/>
  <c r="AU19" i="3"/>
  <c r="AQ19" i="3"/>
  <c r="AL19" i="3"/>
  <c r="AH19" i="3"/>
  <c r="AD19" i="3"/>
  <c r="Z19" i="3"/>
  <c r="V19" i="3"/>
  <c r="R19" i="3"/>
  <c r="N19" i="3"/>
  <c r="J19" i="3"/>
  <c r="F19" i="3"/>
  <c r="B19" i="3"/>
  <c r="CA18" i="3"/>
  <c r="BV18" i="3"/>
  <c r="BR18" i="3"/>
  <c r="BN18" i="3"/>
  <c r="BJ18" i="3"/>
  <c r="BF18" i="3"/>
  <c r="BA18" i="3"/>
  <c r="AW18" i="3"/>
  <c r="CU18" i="11"/>
  <c r="CV18" i="11"/>
  <c r="CW18" i="11"/>
  <c r="CI18" i="11"/>
  <c r="CH18" i="11"/>
  <c r="AS18" i="3"/>
  <c r="AO18" i="3"/>
  <c r="AJ18" i="3"/>
  <c r="AF18" i="3"/>
  <c r="AB18" i="3"/>
  <c r="X18" i="3"/>
  <c r="T18" i="3"/>
  <c r="P18" i="3"/>
  <c r="L18" i="3"/>
  <c r="H18" i="3"/>
  <c r="D18" i="3"/>
  <c r="CC17" i="3"/>
  <c r="BY17" i="3"/>
  <c r="BU17" i="3"/>
  <c r="BQ17" i="3"/>
  <c r="BM17" i="3"/>
  <c r="BI17" i="3"/>
  <c r="BE17" i="3"/>
  <c r="AZ17" i="3"/>
  <c r="AV17" i="3"/>
  <c r="AR17" i="3"/>
  <c r="AN17" i="3"/>
  <c r="AJ17" i="3"/>
  <c r="AF17" i="3"/>
  <c r="AB17" i="3"/>
  <c r="X17" i="3"/>
  <c r="T17" i="3"/>
  <c r="P17" i="3"/>
  <c r="L17" i="3"/>
  <c r="H17" i="3"/>
  <c r="D17" i="3"/>
  <c r="CC16" i="3"/>
  <c r="BY16" i="3"/>
  <c r="BU16" i="3"/>
  <c r="BQ16" i="3"/>
  <c r="BM16" i="3"/>
  <c r="BI16" i="3"/>
  <c r="BE16" i="3"/>
  <c r="AZ16" i="3"/>
  <c r="AV16" i="3"/>
  <c r="AR16" i="3"/>
  <c r="AN16" i="3"/>
  <c r="AJ16" i="3"/>
  <c r="AF16" i="3"/>
  <c r="AB16" i="3"/>
  <c r="X16" i="3"/>
  <c r="T16" i="3"/>
  <c r="P16" i="3"/>
  <c r="L16" i="3"/>
  <c r="H16" i="3"/>
  <c r="D16" i="3"/>
  <c r="CC15" i="3"/>
  <c r="BY15" i="3"/>
  <c r="BU15" i="3"/>
  <c r="N23" i="3"/>
  <c r="J23" i="3"/>
  <c r="F23" i="3"/>
  <c r="B23" i="3"/>
  <c r="CA22" i="3"/>
  <c r="BV22" i="3"/>
  <c r="BR22" i="3"/>
  <c r="BN22" i="3"/>
  <c r="BJ22" i="3"/>
  <c r="BF22" i="3"/>
  <c r="BA22" i="3"/>
  <c r="AW22" i="3"/>
  <c r="CU22" i="11"/>
  <c r="CV22" i="11"/>
  <c r="CW22" i="11"/>
  <c r="CI22" i="11"/>
  <c r="CH22" i="11"/>
  <c r="AS22" i="3"/>
  <c r="AO22" i="3"/>
  <c r="AJ22" i="3"/>
  <c r="AF22" i="3"/>
  <c r="AB22" i="3"/>
  <c r="X22" i="3"/>
  <c r="T22" i="3"/>
  <c r="P22" i="3"/>
  <c r="L22" i="3"/>
  <c r="H22" i="3"/>
  <c r="D22" i="3"/>
  <c r="CC21" i="3"/>
  <c r="BX21" i="3"/>
  <c r="BT21" i="3"/>
  <c r="BP21" i="3"/>
  <c r="BL21" i="3"/>
  <c r="BH21" i="3"/>
  <c r="BC21" i="3"/>
  <c r="AX21" i="3"/>
  <c r="AT21" i="3"/>
  <c r="AP21" i="3"/>
  <c r="AK21" i="3"/>
  <c r="AG21" i="3"/>
  <c r="AC21" i="3"/>
  <c r="Y21" i="3"/>
  <c r="U21" i="3"/>
  <c r="Q21" i="3"/>
  <c r="M21" i="3"/>
  <c r="I21" i="3"/>
  <c r="E21" i="3"/>
  <c r="CD20" i="3"/>
  <c r="BZ20" i="3"/>
  <c r="BU20" i="3"/>
  <c r="BQ20" i="3"/>
  <c r="BM20" i="3"/>
  <c r="BI20" i="3"/>
  <c r="BE20" i="3"/>
  <c r="AZ20" i="3"/>
  <c r="AV20" i="3"/>
  <c r="AR20" i="3"/>
  <c r="AM20" i="3"/>
  <c r="AI20" i="3"/>
  <c r="AE20" i="3"/>
  <c r="AA20" i="3"/>
  <c r="W20" i="3"/>
  <c r="S20" i="3"/>
  <c r="O20" i="3"/>
  <c r="K20" i="3"/>
  <c r="C20" i="3"/>
  <c r="CB19" i="3"/>
  <c r="BW19" i="3"/>
  <c r="BS19" i="3"/>
  <c r="BO19" i="3"/>
  <c r="BK19" i="3"/>
  <c r="CY19" i="11"/>
  <c r="CZ19" i="11"/>
  <c r="CK19" i="11"/>
  <c r="CX19" i="11"/>
  <c r="BG19" i="3"/>
  <c r="BC19" i="3"/>
  <c r="AX19" i="3"/>
  <c r="AT19" i="3"/>
  <c r="AP19" i="3"/>
  <c r="AK19" i="3"/>
  <c r="AG19" i="3"/>
  <c r="AC19" i="3"/>
  <c r="Y19" i="3"/>
  <c r="U19" i="3"/>
  <c r="Q19" i="3"/>
  <c r="M19" i="3"/>
  <c r="I19" i="3"/>
  <c r="E19" i="3"/>
  <c r="CD18" i="3"/>
  <c r="BZ18" i="3"/>
  <c r="BU18" i="3"/>
  <c r="BQ18" i="3"/>
  <c r="BM18" i="3"/>
  <c r="BI18" i="3"/>
  <c r="BE18" i="3"/>
  <c r="AZ18" i="3"/>
  <c r="AV18" i="3"/>
  <c r="AR18" i="3"/>
  <c r="AM18" i="3"/>
  <c r="AI18" i="3"/>
  <c r="AE18" i="3"/>
  <c r="AA18" i="3"/>
  <c r="W18" i="3"/>
  <c r="S18" i="3"/>
  <c r="O18" i="3"/>
  <c r="K18" i="3"/>
  <c r="C18" i="3"/>
  <c r="CB17" i="3"/>
  <c r="BX17" i="3"/>
  <c r="BT17" i="3"/>
  <c r="BP17" i="3"/>
  <c r="BL17" i="3"/>
  <c r="BH17" i="3"/>
  <c r="BD17" i="3"/>
  <c r="AY17" i="3"/>
  <c r="AU17" i="3"/>
  <c r="AQ17" i="3"/>
  <c r="AM17" i="3"/>
  <c r="AI17" i="3"/>
  <c r="AE17" i="3"/>
  <c r="AA17" i="3"/>
  <c r="W17" i="3"/>
  <c r="S17" i="3"/>
  <c r="O17" i="3"/>
  <c r="K17" i="3"/>
  <c r="C17" i="3"/>
  <c r="CB16" i="3"/>
  <c r="BX16" i="3"/>
  <c r="BT16" i="3"/>
  <c r="BP16" i="3"/>
  <c r="CJ16" i="11"/>
  <c r="BL16" i="3"/>
  <c r="BH16" i="3"/>
  <c r="BD16" i="3"/>
  <c r="AY16" i="3"/>
  <c r="AU16" i="3"/>
  <c r="AQ16" i="3"/>
  <c r="AM16" i="3"/>
  <c r="AI16" i="3"/>
  <c r="AE16" i="3"/>
  <c r="AA16" i="3"/>
  <c r="W16" i="3"/>
  <c r="S16" i="3"/>
  <c r="O16" i="3"/>
  <c r="K16" i="3"/>
  <c r="C16" i="3"/>
  <c r="CB15" i="3"/>
  <c r="BX15" i="3"/>
  <c r="BT15" i="3"/>
  <c r="BP15" i="3"/>
  <c r="BL15" i="3"/>
  <c r="BH15" i="3"/>
  <c r="BD15" i="3"/>
  <c r="AY15" i="3"/>
  <c r="AU15" i="3"/>
  <c r="AQ15" i="3"/>
  <c r="AM15" i="3"/>
  <c r="AI15" i="3"/>
  <c r="AE15" i="3"/>
  <c r="AA15" i="3"/>
  <c r="W15" i="3"/>
  <c r="S15" i="3"/>
  <c r="O15" i="3"/>
  <c r="K15" i="3"/>
  <c r="C15" i="3"/>
  <c r="CB14" i="3"/>
  <c r="BX14" i="3"/>
  <c r="BS14" i="3"/>
  <c r="BO14" i="3"/>
  <c r="CJ14" i="11"/>
  <c r="BK14" i="3"/>
  <c r="CX14" i="11"/>
  <c r="CY14" i="11"/>
  <c r="CZ14" i="11"/>
  <c r="CK14" i="11"/>
  <c r="BG14" i="3"/>
  <c r="BC14" i="3"/>
  <c r="AX14" i="3"/>
  <c r="AT14" i="3"/>
  <c r="AP14" i="3"/>
  <c r="AL14" i="3"/>
  <c r="AH14" i="3"/>
  <c r="AD14" i="3"/>
  <c r="B28" i="3"/>
  <c r="CA7" i="3"/>
  <c r="BW7" i="3"/>
  <c r="BS7" i="3"/>
  <c r="BO7" i="3"/>
  <c r="CX7" i="11"/>
  <c r="CK7" i="11"/>
  <c r="CJ7" i="11"/>
  <c r="CZ7" i="11"/>
  <c r="BK7" i="3"/>
  <c r="CY7" i="11"/>
  <c r="BG7" i="3"/>
  <c r="BA7" i="3"/>
  <c r="CI6" i="11"/>
  <c r="CU7" i="11"/>
  <c r="DF16" i="11" s="1"/>
  <c r="AW7" i="3"/>
  <c r="CH7" i="11"/>
  <c r="CI7" i="11"/>
  <c r="CW7" i="11"/>
  <c r="CV7" i="11"/>
  <c r="AS7" i="3"/>
  <c r="AO7" i="3"/>
  <c r="AK7" i="3"/>
  <c r="AG7" i="3"/>
  <c r="AC7" i="3"/>
  <c r="Y7" i="3"/>
  <c r="U7" i="3"/>
  <c r="Q7" i="3"/>
  <c r="M7" i="3"/>
  <c r="CL6" i="11"/>
  <c r="I7" i="3"/>
  <c r="E7" i="3"/>
  <c r="CC23" i="3"/>
  <c r="BX23" i="3"/>
  <c r="BT23" i="3"/>
  <c r="BP23" i="3"/>
  <c r="BL23" i="3"/>
  <c r="BG23" i="3"/>
  <c r="BC23" i="3"/>
  <c r="AX23" i="3"/>
  <c r="AT23" i="3"/>
  <c r="AP23" i="3"/>
  <c r="AK23" i="3"/>
  <c r="AG23" i="3"/>
  <c r="AC23" i="3"/>
  <c r="Y23" i="3"/>
  <c r="U23" i="3"/>
  <c r="Q23" i="3"/>
  <c r="M23" i="3"/>
  <c r="I23" i="3"/>
  <c r="E23" i="3"/>
  <c r="CD22" i="3"/>
  <c r="BZ22" i="3"/>
  <c r="BU22" i="3"/>
  <c r="BQ22" i="3"/>
  <c r="BM22" i="3"/>
  <c r="BI22" i="3"/>
  <c r="BE22" i="3"/>
  <c r="AZ22" i="3"/>
  <c r="AV22" i="3"/>
  <c r="AR22" i="3"/>
  <c r="AM22" i="3"/>
  <c r="AI22" i="3"/>
  <c r="AE22" i="3"/>
  <c r="AA22" i="3"/>
  <c r="W22" i="3"/>
  <c r="S22" i="3"/>
  <c r="O22" i="3"/>
  <c r="K22" i="3"/>
  <c r="C22" i="3"/>
  <c r="CB21" i="3"/>
  <c r="BW21" i="3"/>
  <c r="BS21" i="3"/>
  <c r="BO21" i="3"/>
  <c r="BK21" i="3"/>
  <c r="CX21" i="11"/>
  <c r="CK21" i="11"/>
  <c r="CY21" i="11"/>
  <c r="CZ21" i="11"/>
  <c r="BG21" i="3"/>
  <c r="BA21" i="3"/>
  <c r="AW21" i="3"/>
  <c r="CU21" i="11"/>
  <c r="CI21" i="11"/>
  <c r="CH21" i="11"/>
  <c r="CV21" i="11"/>
  <c r="CW21" i="11"/>
  <c r="AS21" i="3"/>
  <c r="AO21" i="3"/>
  <c r="AJ21" i="3"/>
  <c r="AF21" i="3"/>
  <c r="AB21" i="3"/>
  <c r="X21" i="3"/>
  <c r="T21" i="3"/>
  <c r="P21" i="3"/>
  <c r="L21" i="3"/>
  <c r="H21" i="3"/>
  <c r="D21" i="3"/>
  <c r="CC20" i="3"/>
  <c r="BX20" i="3"/>
  <c r="BT20" i="3"/>
  <c r="BP20" i="3"/>
  <c r="CJ20" i="11"/>
  <c r="BL20" i="3"/>
  <c r="BH20" i="3"/>
  <c r="BD20" i="3"/>
  <c r="AY20" i="3"/>
  <c r="AU20" i="3"/>
  <c r="AQ20" i="3"/>
  <c r="AL20" i="3"/>
  <c r="AH20" i="3"/>
  <c r="AD20" i="3"/>
  <c r="Z20" i="3"/>
  <c r="V20" i="3"/>
  <c r="R20" i="3"/>
  <c r="N20" i="3"/>
  <c r="J20" i="3"/>
  <c r="F20" i="3"/>
  <c r="B20" i="3"/>
  <c r="CA19" i="3"/>
  <c r="BV19" i="3"/>
  <c r="BR19" i="3"/>
  <c r="BN19" i="3"/>
  <c r="BJ19" i="3"/>
  <c r="BF19" i="3"/>
  <c r="BA19" i="3"/>
  <c r="AW19" i="3"/>
  <c r="CV19" i="11"/>
  <c r="CW19" i="11"/>
  <c r="CU19" i="11"/>
  <c r="CI19" i="11"/>
  <c r="CH19" i="11"/>
  <c r="AS19" i="3"/>
  <c r="AO19" i="3"/>
  <c r="AJ19" i="3"/>
  <c r="AF19" i="3"/>
  <c r="AB19" i="3"/>
  <c r="X19" i="3"/>
  <c r="T19" i="3"/>
  <c r="P19" i="3"/>
  <c r="L19" i="3"/>
  <c r="H19" i="3"/>
  <c r="D19" i="3"/>
  <c r="CC18" i="3"/>
  <c r="BX18" i="3"/>
  <c r="BT18" i="3"/>
  <c r="BP18" i="3"/>
  <c r="BL18" i="3"/>
  <c r="BH18" i="3"/>
  <c r="BD18" i="3"/>
  <c r="AY18" i="3"/>
  <c r="AU18" i="3"/>
  <c r="AQ18" i="3"/>
  <c r="AL18" i="3"/>
  <c r="AH18" i="3"/>
  <c r="AD18" i="3"/>
  <c r="Z18" i="3"/>
  <c r="V18" i="3"/>
  <c r="R18" i="3"/>
  <c r="N18" i="3"/>
  <c r="J18" i="3"/>
  <c r="F18" i="3"/>
  <c r="B18" i="3"/>
  <c r="CA17" i="3"/>
  <c r="BW17" i="3"/>
  <c r="BS17" i="3"/>
  <c r="BO17" i="3"/>
  <c r="BK17" i="3"/>
  <c r="CX17" i="11"/>
  <c r="CK17" i="11"/>
  <c r="CY17" i="11"/>
  <c r="CZ17" i="11"/>
  <c r="BG17" i="3"/>
  <c r="BC17" i="3"/>
  <c r="AX17" i="3"/>
  <c r="AT17" i="3"/>
  <c r="AP17" i="3"/>
  <c r="AL17" i="3"/>
  <c r="AH17" i="3"/>
  <c r="AD17" i="3"/>
  <c r="Z17" i="3"/>
  <c r="V17" i="3"/>
  <c r="R17" i="3"/>
  <c r="N17" i="3"/>
  <c r="J17" i="3"/>
  <c r="F17" i="3"/>
  <c r="B17" i="3"/>
  <c r="CA16" i="3"/>
  <c r="BW16" i="3"/>
  <c r="BS16" i="3"/>
  <c r="BO16" i="3"/>
  <c r="BK16" i="3"/>
  <c r="CZ16" i="11"/>
  <c r="CK16" i="11"/>
  <c r="CX16" i="11"/>
  <c r="CY16" i="11"/>
  <c r="BG16" i="3"/>
  <c r="BC16" i="3"/>
  <c r="AX16" i="3"/>
  <c r="AT16" i="3"/>
  <c r="AP16" i="3"/>
  <c r="AL16" i="3"/>
  <c r="AH16" i="3"/>
  <c r="AD16" i="3"/>
  <c r="Z16" i="3"/>
  <c r="V16" i="3"/>
  <c r="R16" i="3"/>
  <c r="N16" i="3"/>
  <c r="J16" i="3"/>
  <c r="F16" i="3"/>
  <c r="B16" i="3"/>
  <c r="CA15" i="3"/>
  <c r="BW15" i="3"/>
  <c r="BS15" i="3"/>
  <c r="BO15" i="3"/>
  <c r="BK15" i="3"/>
  <c r="CY15" i="11"/>
  <c r="CZ15" i="11"/>
  <c r="BG15" i="3"/>
  <c r="BC15" i="3"/>
  <c r="AX15" i="3"/>
  <c r="AT15" i="3"/>
  <c r="AP15" i="3"/>
  <c r="AL15" i="3"/>
  <c r="AH15" i="3"/>
  <c r="AD15" i="3"/>
  <c r="Z15" i="3"/>
  <c r="V15" i="3"/>
  <c r="R15" i="3"/>
  <c r="N15" i="3"/>
  <c r="J15" i="3"/>
  <c r="F15" i="3"/>
  <c r="B15" i="3"/>
  <c r="CA14" i="3"/>
  <c r="BW14" i="3"/>
  <c r="BR14" i="3"/>
  <c r="BN14" i="3"/>
  <c r="BJ14" i="3"/>
  <c r="BF14" i="3"/>
  <c r="BA14" i="3"/>
  <c r="AW14" i="3"/>
  <c r="CU14" i="11"/>
  <c r="CV14" i="11"/>
  <c r="CW14" i="11"/>
  <c r="CI14" i="11"/>
  <c r="CH14" i="11"/>
  <c r="AS14" i="3"/>
  <c r="AO14" i="3"/>
  <c r="AK14" i="3"/>
  <c r="AG14" i="3"/>
  <c r="AC14" i="3"/>
  <c r="Y14" i="3"/>
  <c r="U14" i="3"/>
  <c r="Q14" i="3"/>
  <c r="M14" i="3"/>
  <c r="I14" i="3"/>
  <c r="E14" i="3"/>
  <c r="CD13" i="3"/>
  <c r="BZ13" i="3"/>
  <c r="BV13" i="3"/>
  <c r="BR13" i="3"/>
  <c r="BN13" i="3"/>
  <c r="BJ13" i="3"/>
  <c r="BF13" i="3"/>
  <c r="BA13" i="3"/>
  <c r="AW13" i="3"/>
  <c r="CU13" i="11"/>
  <c r="CI13" i="11"/>
  <c r="CH13" i="11"/>
  <c r="CV13" i="11"/>
  <c r="AS13" i="3"/>
  <c r="AO13" i="3"/>
  <c r="AK13" i="3"/>
  <c r="AG13" i="3"/>
  <c r="AC13" i="3"/>
  <c r="Y13" i="3"/>
  <c r="U13" i="3"/>
  <c r="Q13" i="3"/>
  <c r="M13" i="3"/>
  <c r="I13" i="3"/>
  <c r="E13" i="3"/>
  <c r="CD12" i="3"/>
  <c r="BZ12" i="3"/>
  <c r="BV12" i="3"/>
  <c r="BR12" i="3"/>
  <c r="BN12" i="3"/>
  <c r="BJ12" i="3"/>
  <c r="BF12" i="3"/>
  <c r="BA12" i="3"/>
  <c r="AW12" i="3"/>
  <c r="CW12" i="11"/>
  <c r="CI12" i="11"/>
  <c r="CH12" i="11"/>
  <c r="CU12" i="11"/>
  <c r="AS12" i="3"/>
  <c r="AO12" i="3"/>
  <c r="AK12" i="3"/>
  <c r="AG12" i="3"/>
  <c r="AC12" i="3"/>
  <c r="Y12" i="3"/>
  <c r="U12" i="3"/>
  <c r="Q12" i="3"/>
  <c r="M12" i="3"/>
  <c r="I12" i="3"/>
  <c r="E12" i="3"/>
  <c r="CD11" i="3"/>
  <c r="BZ11" i="3"/>
  <c r="BV11" i="3"/>
  <c r="BR11" i="3"/>
  <c r="BN11" i="3"/>
  <c r="BJ11" i="3"/>
  <c r="BF11" i="3"/>
  <c r="BA11" i="3"/>
  <c r="AW11" i="3"/>
  <c r="CV11" i="11"/>
  <c r="CW11" i="11"/>
  <c r="AS11" i="3"/>
  <c r="AO11" i="3"/>
  <c r="AK11" i="3"/>
  <c r="AG11" i="3"/>
  <c r="AC11" i="3"/>
  <c r="Y11" i="3"/>
  <c r="U11" i="3"/>
  <c r="Q11" i="3"/>
  <c r="M11" i="3"/>
  <c r="I11" i="3"/>
  <c r="E11" i="3"/>
  <c r="CD10" i="3"/>
  <c r="BZ10" i="3"/>
  <c r="BV10" i="3"/>
  <c r="BQ10" i="3"/>
  <c r="BM10" i="3"/>
  <c r="BH10" i="3"/>
  <c r="BD10" i="3"/>
  <c r="AY10" i="3"/>
  <c r="AU10" i="3"/>
  <c r="AQ10" i="3"/>
  <c r="AM10" i="3"/>
  <c r="AI10" i="3"/>
  <c r="AE10" i="3"/>
  <c r="AA10" i="3"/>
  <c r="W10" i="3"/>
  <c r="S10" i="3"/>
  <c r="O10" i="3"/>
  <c r="K10" i="3"/>
  <c r="C10" i="3"/>
  <c r="CB9" i="3"/>
  <c r="BX9" i="3"/>
  <c r="BT9" i="3"/>
  <c r="BP9" i="3"/>
  <c r="BL9" i="3"/>
  <c r="K26" i="3"/>
  <c r="K25" i="3"/>
  <c r="K24" i="3"/>
  <c r="CV12" i="11"/>
  <c r="BV14" i="3"/>
  <c r="BQ14" i="3"/>
  <c r="BM14" i="3"/>
  <c r="BI14" i="3"/>
  <c r="BE14" i="3"/>
  <c r="AZ14" i="3"/>
  <c r="AV14" i="3"/>
  <c r="AR14" i="3"/>
  <c r="AN14" i="3"/>
  <c r="AJ14" i="3"/>
  <c r="AF14" i="3"/>
  <c r="AB14" i="3"/>
  <c r="X14" i="3"/>
  <c r="T14" i="3"/>
  <c r="P14" i="3"/>
  <c r="L14" i="3"/>
  <c r="H14" i="3"/>
  <c r="D14" i="3"/>
  <c r="CC13" i="3"/>
  <c r="BY13" i="3"/>
  <c r="BU13" i="3"/>
  <c r="BQ13" i="3"/>
  <c r="BM13" i="3"/>
  <c r="BI13" i="3"/>
  <c r="BE13" i="3"/>
  <c r="AZ13" i="3"/>
  <c r="AV13" i="3"/>
  <c r="AR13" i="3"/>
  <c r="AN13" i="3"/>
  <c r="AJ13" i="3"/>
  <c r="AF13" i="3"/>
  <c r="AB13" i="3"/>
  <c r="X13" i="3"/>
  <c r="T13" i="3"/>
  <c r="P13" i="3"/>
  <c r="L13" i="3"/>
  <c r="H13" i="3"/>
  <c r="D13" i="3"/>
  <c r="CC12" i="3"/>
  <c r="BY12" i="3"/>
  <c r="BU12" i="3"/>
  <c r="BQ12" i="3"/>
  <c r="BM12" i="3"/>
  <c r="BI12" i="3"/>
  <c r="BE12" i="3"/>
  <c r="AZ12" i="3"/>
  <c r="AV12" i="3"/>
  <c r="AR12" i="3"/>
  <c r="AN12" i="3"/>
  <c r="AJ12" i="3"/>
  <c r="AF12" i="3"/>
  <c r="AB12" i="3"/>
  <c r="X12" i="3"/>
  <c r="T12" i="3"/>
  <c r="P12" i="3"/>
  <c r="L12" i="3"/>
  <c r="H12" i="3"/>
  <c r="D12" i="3"/>
  <c r="CC11" i="3"/>
  <c r="BY11" i="3"/>
  <c r="BU11" i="3"/>
  <c r="BQ11" i="3"/>
  <c r="BM11" i="3"/>
  <c r="BI11" i="3"/>
  <c r="BE11" i="3"/>
  <c r="AZ11" i="3"/>
  <c r="AV11" i="3"/>
  <c r="AR11" i="3"/>
  <c r="AN11" i="3"/>
  <c r="AJ11" i="3"/>
  <c r="AF11" i="3"/>
  <c r="AB11" i="3"/>
  <c r="X11" i="3"/>
  <c r="T11" i="3"/>
  <c r="P11" i="3"/>
  <c r="L11" i="3"/>
  <c r="H11" i="3"/>
  <c r="D11" i="3"/>
  <c r="CC10" i="3"/>
  <c r="BY10" i="3"/>
  <c r="BT10" i="3"/>
  <c r="BP10" i="3"/>
  <c r="BL10" i="3"/>
  <c r="BG10" i="3"/>
  <c r="BC10" i="3"/>
  <c r="AX10" i="3"/>
  <c r="AT10" i="3"/>
  <c r="AP10" i="3"/>
  <c r="AL10" i="3"/>
  <c r="AH10" i="3"/>
  <c r="AD10" i="3"/>
  <c r="Z10" i="3"/>
  <c r="V10" i="3"/>
  <c r="R10" i="3"/>
  <c r="N10" i="3"/>
  <c r="J10" i="3"/>
  <c r="F10" i="3"/>
  <c r="B10" i="3"/>
  <c r="CA9" i="3"/>
  <c r="BW9" i="3"/>
  <c r="BS9" i="3"/>
  <c r="BO9" i="3"/>
  <c r="BK9" i="3"/>
  <c r="CX9" i="11"/>
  <c r="CK9" i="11"/>
  <c r="CY9" i="11"/>
  <c r="BG9" i="3"/>
  <c r="AX9" i="3"/>
  <c r="AT9" i="3"/>
  <c r="AP9" i="3"/>
  <c r="AL9" i="3"/>
  <c r="AH9" i="3"/>
  <c r="AD9" i="3"/>
  <c r="Z9" i="3"/>
  <c r="V9" i="3"/>
  <c r="R9" i="3"/>
  <c r="N9" i="3"/>
  <c r="J9" i="3"/>
  <c r="F9" i="3"/>
  <c r="B9" i="3"/>
  <c r="CA8" i="3"/>
  <c r="BW8" i="3"/>
  <c r="BS8" i="3"/>
  <c r="BO8" i="3"/>
  <c r="BK8" i="3"/>
  <c r="CZ8" i="11"/>
  <c r="CK8" i="11"/>
  <c r="CX8" i="11"/>
  <c r="BG8" i="3"/>
  <c r="BC8" i="3"/>
  <c r="AX8" i="3"/>
  <c r="AT8" i="3"/>
  <c r="AP8" i="3"/>
  <c r="AL8" i="3"/>
  <c r="AH8" i="3"/>
  <c r="AD8" i="3"/>
  <c r="Z8" i="3"/>
  <c r="C26" i="3"/>
  <c r="C25" i="3"/>
  <c r="C24" i="3"/>
  <c r="CU11" i="11"/>
  <c r="BQ15" i="3"/>
  <c r="BM15" i="3"/>
  <c r="BI15" i="3"/>
  <c r="BE15" i="3"/>
  <c r="AZ15" i="3"/>
  <c r="AV15" i="3"/>
  <c r="AR15" i="3"/>
  <c r="AN15" i="3"/>
  <c r="AJ15" i="3"/>
  <c r="AF15" i="3"/>
  <c r="AB15" i="3"/>
  <c r="X15" i="3"/>
  <c r="T15" i="3"/>
  <c r="P15" i="3"/>
  <c r="L15" i="3"/>
  <c r="H15" i="3"/>
  <c r="D15" i="3"/>
  <c r="CC14" i="3"/>
  <c r="BY14" i="3"/>
  <c r="BT14" i="3"/>
  <c r="BP14" i="3"/>
  <c r="BL14" i="3"/>
  <c r="BH14" i="3"/>
  <c r="BD14" i="3"/>
  <c r="AY14" i="3"/>
  <c r="AU14" i="3"/>
  <c r="AQ14" i="3"/>
  <c r="AM14" i="3"/>
  <c r="AI14" i="3"/>
  <c r="AE14" i="3"/>
  <c r="AA14" i="3"/>
  <c r="W14" i="3"/>
  <c r="S14" i="3"/>
  <c r="O14" i="3"/>
  <c r="K14" i="3"/>
  <c r="C14" i="3"/>
  <c r="CB13" i="3"/>
  <c r="BX13" i="3"/>
  <c r="BT13" i="3"/>
  <c r="BP13" i="3"/>
  <c r="BL13" i="3"/>
  <c r="BH13" i="3"/>
  <c r="BD13" i="3"/>
  <c r="AY13" i="3"/>
  <c r="AU13" i="3"/>
  <c r="AQ13" i="3"/>
  <c r="AM13" i="3"/>
  <c r="AI13" i="3"/>
  <c r="AE13" i="3"/>
  <c r="AA13" i="3"/>
  <c r="W13" i="3"/>
  <c r="S13" i="3"/>
  <c r="O13" i="3"/>
  <c r="K13" i="3"/>
  <c r="C13" i="3"/>
  <c r="CB12" i="3"/>
  <c r="BX12" i="3"/>
  <c r="BT12" i="3"/>
  <c r="BP12" i="3"/>
  <c r="CJ12" i="11"/>
  <c r="BL12" i="3"/>
  <c r="BH12" i="3"/>
  <c r="BD12" i="3"/>
  <c r="AY12" i="3"/>
  <c r="AU12" i="3"/>
  <c r="AQ12" i="3"/>
  <c r="AM12" i="3"/>
  <c r="AI12" i="3"/>
  <c r="AE12" i="3"/>
  <c r="AA12" i="3"/>
  <c r="W12" i="3"/>
  <c r="S12" i="3"/>
  <c r="O12" i="3"/>
  <c r="K12" i="3"/>
  <c r="C12" i="3"/>
  <c r="CB11" i="3"/>
  <c r="BX11" i="3"/>
  <c r="BT11" i="3"/>
  <c r="BP11" i="3"/>
  <c r="BL11" i="3"/>
  <c r="BH11" i="3"/>
  <c r="BD11" i="3"/>
  <c r="AY11" i="3"/>
  <c r="AU11" i="3"/>
  <c r="AQ11" i="3"/>
  <c r="AM11" i="3"/>
  <c r="AI11" i="3"/>
  <c r="AE11" i="3"/>
  <c r="AA11" i="3"/>
  <c r="W11" i="3"/>
  <c r="S11" i="3"/>
  <c r="O11" i="3"/>
  <c r="K11" i="3"/>
  <c r="C11" i="3"/>
  <c r="CB10" i="3"/>
  <c r="BX10" i="3"/>
  <c r="BS10" i="3"/>
  <c r="BO10" i="3"/>
  <c r="CJ10" i="11"/>
  <c r="BK10" i="3"/>
  <c r="CX10" i="11"/>
  <c r="DG22" i="11" s="1"/>
  <c r="CY10" i="11"/>
  <c r="CZ10" i="11"/>
  <c r="CK10" i="11"/>
  <c r="BF10" i="3"/>
  <c r="BA10" i="3"/>
  <c r="AW10" i="3"/>
  <c r="CU10" i="11"/>
  <c r="CV10" i="11"/>
  <c r="CW10" i="11"/>
  <c r="CI10" i="11"/>
  <c r="CH10" i="11"/>
  <c r="AS10" i="3"/>
  <c r="AO10" i="3"/>
  <c r="AK10" i="3"/>
  <c r="AG10" i="3"/>
  <c r="AC10" i="3"/>
  <c r="Y10" i="3"/>
  <c r="U10" i="3"/>
  <c r="Q10" i="3"/>
  <c r="M10" i="3"/>
  <c r="I10" i="3"/>
  <c r="E10" i="3"/>
  <c r="CD9" i="3"/>
  <c r="BZ9" i="3"/>
  <c r="BV9" i="3"/>
  <c r="BR9" i="3"/>
  <c r="BN9" i="3"/>
  <c r="BJ9" i="3"/>
  <c r="BF9" i="3"/>
  <c r="BA9" i="3"/>
  <c r="AW9" i="3"/>
  <c r="CU9" i="11"/>
  <c r="CI9" i="11"/>
  <c r="CH9" i="11"/>
  <c r="CV9" i="11"/>
  <c r="AS9" i="3"/>
  <c r="AO9" i="3"/>
  <c r="AK9" i="3"/>
  <c r="AG9" i="3"/>
  <c r="AC9" i="3"/>
  <c r="Y9" i="3"/>
  <c r="U9" i="3"/>
  <c r="Q9" i="3"/>
  <c r="M9" i="3"/>
  <c r="I9" i="3"/>
  <c r="E9" i="3"/>
  <c r="CD8" i="3"/>
  <c r="BZ8" i="3"/>
  <c r="BV8" i="3"/>
  <c r="BR8" i="3"/>
  <c r="BN8" i="3"/>
  <c r="BJ8" i="3"/>
  <c r="BF8" i="3"/>
  <c r="BA8" i="3"/>
  <c r="AW8" i="3"/>
  <c r="CW8" i="11"/>
  <c r="CI8" i="11"/>
  <c r="CH8" i="11"/>
  <c r="CU8" i="11"/>
  <c r="AS8" i="3"/>
  <c r="AO8" i="3"/>
  <c r="AK8" i="3"/>
  <c r="AG8" i="3"/>
  <c r="AC8" i="3"/>
  <c r="Y8" i="3"/>
  <c r="B27" i="3"/>
  <c r="B26" i="3"/>
  <c r="B25" i="3"/>
  <c r="B24" i="3"/>
  <c r="CH11" i="11"/>
  <c r="CK15" i="11"/>
  <c r="CW9" i="11"/>
  <c r="Z14" i="3"/>
  <c r="V14" i="3"/>
  <c r="R14" i="3"/>
  <c r="N14" i="3"/>
  <c r="J14" i="3"/>
  <c r="F14" i="3"/>
  <c r="B14" i="3"/>
  <c r="CA13" i="3"/>
  <c r="BW13" i="3"/>
  <c r="BS13" i="3"/>
  <c r="BO13" i="3"/>
  <c r="BK13" i="3"/>
  <c r="CX13" i="11"/>
  <c r="CK13" i="11"/>
  <c r="CY13" i="11"/>
  <c r="BG13" i="3"/>
  <c r="BC13" i="3"/>
  <c r="AX13" i="3"/>
  <c r="AT13" i="3"/>
  <c r="AP13" i="3"/>
  <c r="AL13" i="3"/>
  <c r="AH13" i="3"/>
  <c r="AD13" i="3"/>
  <c r="Z13" i="3"/>
  <c r="V13" i="3"/>
  <c r="R13" i="3"/>
  <c r="N13" i="3"/>
  <c r="J13" i="3"/>
  <c r="F13" i="3"/>
  <c r="B13" i="3"/>
  <c r="CA12" i="3"/>
  <c r="BW12" i="3"/>
  <c r="BS12" i="3"/>
  <c r="BO12" i="3"/>
  <c r="BK12" i="3"/>
  <c r="CZ12" i="11"/>
  <c r="CK12" i="11"/>
  <c r="CX12" i="11"/>
  <c r="DG12" i="11" s="1"/>
  <c r="BG12" i="3"/>
  <c r="BC12" i="3"/>
  <c r="AX12" i="3"/>
  <c r="AT12" i="3"/>
  <c r="AP12" i="3"/>
  <c r="AL12" i="3"/>
  <c r="AH12" i="3"/>
  <c r="AD12" i="3"/>
  <c r="Z12" i="3"/>
  <c r="V12" i="3"/>
  <c r="R12" i="3"/>
  <c r="N12" i="3"/>
  <c r="J12" i="3"/>
  <c r="F12" i="3"/>
  <c r="B12" i="3"/>
  <c r="CA11" i="3"/>
  <c r="BW11" i="3"/>
  <c r="BS11" i="3"/>
  <c r="BO11" i="3"/>
  <c r="BK11" i="3"/>
  <c r="CY11" i="11"/>
  <c r="CZ11" i="11"/>
  <c r="BG11" i="3"/>
  <c r="BC11" i="3"/>
  <c r="AX11" i="3"/>
  <c r="AT11" i="3"/>
  <c r="AP11" i="3"/>
  <c r="AL11" i="3"/>
  <c r="AH11" i="3"/>
  <c r="AD11" i="3"/>
  <c r="Z11" i="3"/>
  <c r="V11" i="3"/>
  <c r="R11" i="3"/>
  <c r="N11" i="3"/>
  <c r="J11" i="3"/>
  <c r="F11" i="3"/>
  <c r="B11" i="3"/>
  <c r="CA10" i="3"/>
  <c r="BW10" i="3"/>
  <c r="BR10" i="3"/>
  <c r="BN10" i="3"/>
  <c r="BI10" i="3"/>
  <c r="BE10" i="3"/>
  <c r="AZ10" i="3"/>
  <c r="AV10" i="3"/>
  <c r="AR10" i="3"/>
  <c r="AN10" i="3"/>
  <c r="AJ10" i="3"/>
  <c r="AF10" i="3"/>
  <c r="AB10" i="3"/>
  <c r="X10" i="3"/>
  <c r="T10" i="3"/>
  <c r="P10" i="3"/>
  <c r="L10" i="3"/>
  <c r="H10" i="3"/>
  <c r="D10" i="3"/>
  <c r="CC9" i="3"/>
  <c r="BY9" i="3"/>
  <c r="BU9" i="3"/>
  <c r="BQ9" i="3"/>
  <c r="BM9" i="3"/>
  <c r="BI9" i="3"/>
  <c r="BE9" i="3"/>
  <c r="AZ9" i="3"/>
  <c r="AV9" i="3"/>
  <c r="AR9" i="3"/>
  <c r="AN9" i="3"/>
  <c r="AJ9" i="3"/>
  <c r="AF9" i="3"/>
  <c r="AB9" i="3"/>
  <c r="X9" i="3"/>
  <c r="T9" i="3"/>
  <c r="P9" i="3"/>
  <c r="L9" i="3"/>
  <c r="H9" i="3"/>
  <c r="D9" i="3"/>
  <c r="CC8" i="3"/>
  <c r="BY8" i="3"/>
  <c r="BU8" i="3"/>
  <c r="BQ8" i="3"/>
  <c r="CJ8" i="11"/>
  <c r="CP23" i="11" s="1"/>
  <c r="BM8" i="3"/>
  <c r="BI8" i="3"/>
  <c r="BE8" i="3"/>
  <c r="AZ8" i="3"/>
  <c r="AV8" i="3"/>
  <c r="AR8" i="3"/>
  <c r="AN8" i="3"/>
  <c r="AJ8" i="3"/>
  <c r="AF8" i="3"/>
  <c r="AB8" i="3"/>
  <c r="X8" i="3"/>
  <c r="T8" i="3"/>
  <c r="P8" i="3"/>
  <c r="L8" i="3"/>
  <c r="H8" i="3"/>
  <c r="D8" i="3"/>
  <c r="M26" i="3"/>
  <c r="M25" i="3"/>
  <c r="M24" i="3"/>
  <c r="CI11" i="11"/>
  <c r="CK11" i="11"/>
  <c r="CW13" i="11"/>
  <c r="CV8" i="11"/>
  <c r="CX15" i="11"/>
  <c r="CZ9" i="11"/>
  <c r="BH9" i="3"/>
  <c r="BD9" i="3"/>
  <c r="AY9" i="3"/>
  <c r="AU9" i="3"/>
  <c r="AQ9" i="3"/>
  <c r="AM9" i="3"/>
  <c r="AI9" i="3"/>
  <c r="AE9" i="3"/>
  <c r="AA9" i="3"/>
  <c r="W9" i="3"/>
  <c r="S9" i="3"/>
  <c r="O9" i="3"/>
  <c r="K9" i="3"/>
  <c r="C9" i="3"/>
  <c r="CB8" i="3"/>
  <c r="BX8" i="3"/>
  <c r="BT8" i="3"/>
  <c r="BP8" i="3"/>
  <c r="BL8" i="3"/>
  <c r="BH8" i="3"/>
  <c r="BD8" i="3"/>
  <c r="AY8" i="3"/>
  <c r="AU8" i="3"/>
  <c r="AQ8" i="3"/>
  <c r="AM8" i="3"/>
  <c r="AI8" i="3"/>
  <c r="AE8" i="3"/>
  <c r="AA8" i="3"/>
  <c r="W8" i="3"/>
  <c r="S8" i="3"/>
  <c r="O8" i="3"/>
  <c r="K8" i="3"/>
  <c r="C8" i="3"/>
  <c r="V8" i="3"/>
  <c r="R8" i="3"/>
  <c r="N8" i="3"/>
  <c r="J8" i="3"/>
  <c r="F8" i="3"/>
  <c r="B8" i="3"/>
  <c r="U8" i="3"/>
  <c r="Q8" i="3"/>
  <c r="M8" i="3"/>
  <c r="I8" i="3"/>
  <c r="E8" i="3"/>
  <c r="DI23" i="11"/>
  <c r="DH19" i="11"/>
  <c r="DG14" i="11"/>
  <c r="DG7" i="11"/>
  <c r="DG19" i="11"/>
  <c r="DI13" i="11"/>
  <c r="DH8" i="11"/>
  <c r="DG20" i="11"/>
  <c r="DH13" i="11"/>
  <c r="DH7" i="11"/>
  <c r="DH18" i="11"/>
  <c r="DI11" i="11"/>
  <c r="CN9" i="11"/>
  <c r="DE21" i="11"/>
  <c r="CN15" i="11"/>
  <c r="DD17" i="11"/>
  <c r="CN22" i="11"/>
  <c r="CN17" i="11"/>
  <c r="CH6" i="11"/>
  <c r="CK6" i="1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8" i="11"/>
  <c r="A9" i="11" s="1"/>
  <c r="A10" i="11" s="1"/>
  <c r="A11" i="11" s="1"/>
  <c r="A12" i="11" s="1"/>
  <c r="A13" i="11" s="1"/>
  <c r="A14" i="11" s="1"/>
  <c r="A15" i="11" s="1"/>
  <c r="A16" i="11" s="1"/>
  <c r="A17" i="11" s="1"/>
  <c r="A18" i="11" s="1"/>
  <c r="A19" i="11" s="1"/>
  <c r="A20" i="11" s="1"/>
  <c r="A21" i="11" s="1"/>
  <c r="A22" i="11" s="1"/>
  <c r="A23" i="11" s="1"/>
  <c r="A24" i="11" s="1"/>
  <c r="A25" i="11" s="1"/>
  <c r="A26" i="11" s="1"/>
  <c r="A27" i="11" s="1"/>
  <c r="CP6" i="11" l="1"/>
  <c r="DF21" i="11"/>
  <c r="DD22" i="11"/>
  <c r="DF11" i="11"/>
  <c r="DF10" i="11"/>
  <c r="DH10" i="11"/>
  <c r="DG17" i="11"/>
  <c r="DH22" i="11"/>
  <c r="DI10" i="11"/>
  <c r="DI18" i="11"/>
  <c r="DI7" i="11"/>
  <c r="DH12" i="11"/>
  <c r="DI17" i="11"/>
  <c r="DG23" i="11"/>
  <c r="DH11" i="11"/>
  <c r="DG18" i="11"/>
  <c r="DH23" i="11"/>
  <c r="DD11" i="11"/>
  <c r="DE11" i="11"/>
  <c r="DE17" i="11"/>
  <c r="DE22" i="11"/>
  <c r="DH14" i="11"/>
  <c r="DI19" i="11"/>
  <c r="DG8" i="11"/>
  <c r="DI14" i="11"/>
  <c r="DH21" i="11"/>
  <c r="DI9" i="11"/>
  <c r="DG15" i="11"/>
  <c r="DH20" i="11"/>
  <c r="DI8" i="11"/>
  <c r="DH15" i="11"/>
  <c r="DI20" i="11"/>
  <c r="DG13" i="11"/>
  <c r="DE16" i="11"/>
  <c r="DG9" i="11"/>
  <c r="DI15" i="11"/>
  <c r="DG21" i="11"/>
  <c r="DH9" i="11"/>
  <c r="DG16" i="11"/>
  <c r="DI22" i="11"/>
  <c r="DG11" i="11"/>
  <c r="DH16" i="11"/>
  <c r="DI21" i="11"/>
  <c r="DG10" i="11"/>
  <c r="DI16" i="11"/>
  <c r="DE8" i="11"/>
  <c r="CN7" i="11"/>
  <c r="DH17" i="11"/>
  <c r="CL18" i="11"/>
  <c r="DF9" i="11"/>
  <c r="DD15" i="11"/>
  <c r="DE20" i="11"/>
  <c r="CN13" i="11"/>
  <c r="DD10" i="11"/>
  <c r="DE15" i="11"/>
  <c r="DF20" i="11"/>
  <c r="CN18" i="11"/>
  <c r="DF14" i="11"/>
  <c r="CN12" i="11"/>
  <c r="DE10" i="11"/>
  <c r="DF15" i="11"/>
  <c r="DD21" i="11"/>
  <c r="CN11" i="11"/>
  <c r="DD8" i="11"/>
  <c r="DF18" i="11"/>
  <c r="CN10" i="11"/>
  <c r="CP14" i="11"/>
  <c r="CP11" i="11"/>
  <c r="CL20" i="11"/>
  <c r="CL19" i="11"/>
  <c r="DB19" i="11"/>
  <c r="DI12" i="11"/>
  <c r="CL23" i="11"/>
  <c r="DB23" i="11"/>
  <c r="DC21" i="11"/>
  <c r="CL10" i="11"/>
  <c r="CL14" i="11"/>
  <c r="CL7" i="11"/>
  <c r="CL11" i="11"/>
  <c r="CL15" i="11"/>
  <c r="CL8" i="11"/>
  <c r="CL12" i="11"/>
  <c r="CL16" i="11"/>
  <c r="CL17" i="11"/>
  <c r="CL9" i="11"/>
  <c r="CL13" i="11"/>
  <c r="CP21" i="11"/>
  <c r="DA18" i="11"/>
  <c r="CN21" i="11"/>
  <c r="DF7" i="11"/>
  <c r="DD13" i="11"/>
  <c r="CP10" i="11"/>
  <c r="DB20" i="11"/>
  <c r="DC20" i="11"/>
  <c r="DA23" i="11"/>
  <c r="DA19" i="11"/>
  <c r="DC7" i="11"/>
  <c r="DA9" i="11"/>
  <c r="DB10" i="11"/>
  <c r="DC11" i="11"/>
  <c r="DA13" i="11"/>
  <c r="DB14" i="11"/>
  <c r="DC15" i="11"/>
  <c r="DA17" i="11"/>
  <c r="DC18" i="11"/>
  <c r="DB21" i="11"/>
  <c r="DA7" i="11"/>
  <c r="DA8" i="11"/>
  <c r="DB9" i="11"/>
  <c r="DC10" i="11"/>
  <c r="DA12" i="11"/>
  <c r="DB13" i="11"/>
  <c r="DC14" i="11"/>
  <c r="DA16" i="11"/>
  <c r="DB17" i="11"/>
  <c r="DC19" i="11"/>
  <c r="DB22" i="11"/>
  <c r="DB8" i="11"/>
  <c r="DC9" i="11"/>
  <c r="DA11" i="11"/>
  <c r="DB12" i="11"/>
  <c r="DC13" i="11"/>
  <c r="DA15" i="11"/>
  <c r="DB16" i="11"/>
  <c r="DC17" i="11"/>
  <c r="DA20" i="11"/>
  <c r="DC22" i="11"/>
  <c r="DC12" i="11"/>
  <c r="DB18" i="11"/>
  <c r="DC8" i="11"/>
  <c r="DA14" i="11"/>
  <c r="DA21" i="11"/>
  <c r="DA10" i="11"/>
  <c r="DB15" i="11"/>
  <c r="DB7" i="11"/>
  <c r="DB11" i="11"/>
  <c r="DC16" i="11"/>
  <c r="CP18" i="11"/>
  <c r="CP15" i="11"/>
  <c r="DE12" i="11"/>
  <c r="DF17" i="11"/>
  <c r="DE7" i="11"/>
  <c r="DF12" i="11"/>
  <c r="DD18" i="11"/>
  <c r="DE9" i="11"/>
  <c r="DD20" i="11"/>
  <c r="CN20" i="11"/>
  <c r="DE18" i="11"/>
  <c r="DD7" i="11"/>
  <c r="CN19" i="11"/>
  <c r="DE13" i="11"/>
  <c r="DE23" i="11"/>
  <c r="CN8" i="11"/>
  <c r="CP22" i="11"/>
  <c r="CP19" i="11"/>
  <c r="DF13" i="11"/>
  <c r="DD19" i="11"/>
  <c r="DF23" i="11"/>
  <c r="DF8" i="11"/>
  <c r="DD14" i="11"/>
  <c r="DE19" i="11"/>
  <c r="CN14" i="11"/>
  <c r="DD12" i="11"/>
  <c r="DF22" i="11"/>
  <c r="DD9" i="11"/>
  <c r="DE14" i="11"/>
  <c r="DF19" i="11"/>
  <c r="DD23" i="11"/>
  <c r="CN23" i="11"/>
  <c r="DD16" i="11"/>
  <c r="CP20" i="11"/>
  <c r="CP9" i="11"/>
  <c r="CP17" i="11"/>
  <c r="CP12" i="11"/>
  <c r="CP7" i="11"/>
  <c r="CP13" i="11"/>
  <c r="CP8" i="11"/>
  <c r="CP16" i="11"/>
  <c r="DC23" i="11"/>
  <c r="CL21" i="11"/>
  <c r="CL22" i="11"/>
  <c r="DA22" i="11"/>
  <c r="A9" i="9" l="1"/>
  <c r="A10" i="9" s="1"/>
  <c r="A11" i="9" s="1"/>
  <c r="A12" i="9" s="1"/>
  <c r="A13" i="9" s="1"/>
  <c r="A14" i="9" s="1"/>
  <c r="A15" i="9" s="1"/>
  <c r="A16" i="9" s="1"/>
  <c r="A17" i="9" s="1"/>
  <c r="A18" i="9" s="1"/>
  <c r="A19" i="9" s="1"/>
  <c r="A20" i="9" s="1"/>
  <c r="A21" i="9" s="1"/>
  <c r="A22" i="9" s="1"/>
  <c r="A23" i="9" s="1"/>
  <c r="A24" i="9" s="1"/>
  <c r="A25" i="9" s="1"/>
  <c r="A26" i="9" s="1"/>
  <c r="A27" i="9" s="1"/>
  <c r="A28" i="9" s="1"/>
  <c r="A10" i="7" l="1"/>
  <c r="A11" i="7" s="1"/>
  <c r="A12" i="7" s="1"/>
  <c r="A13" i="7" s="1"/>
  <c r="A14" i="7" s="1"/>
  <c r="A15" i="7" s="1"/>
  <c r="A16" i="7" s="1"/>
  <c r="A17" i="7" s="1"/>
  <c r="A18" i="7" s="1"/>
  <c r="A19" i="7" s="1"/>
  <c r="A20" i="7" s="1"/>
  <c r="A21" i="7" s="1"/>
  <c r="A22" i="7" s="1"/>
  <c r="A23" i="7" s="1"/>
  <c r="A24" i="7" s="1"/>
  <c r="A25" i="7" s="1"/>
  <c r="A26" i="7" s="1"/>
  <c r="A27" i="7" s="1"/>
  <c r="A28" i="7" s="1"/>
  <c r="A29" i="7" s="1"/>
  <c r="A10" i="6"/>
  <c r="A11" i="6" s="1"/>
  <c r="A12" i="6" s="1"/>
  <c r="A13" i="6" s="1"/>
  <c r="A14" i="6" s="1"/>
  <c r="A15" i="6" s="1"/>
  <c r="A16" i="6" s="1"/>
  <c r="A17" i="6" s="1"/>
  <c r="A18" i="6" s="1"/>
  <c r="A19" i="6" s="1"/>
  <c r="A20" i="6" s="1"/>
  <c r="A21" i="6" s="1"/>
  <c r="A22" i="6" s="1"/>
  <c r="A23" i="6" s="1"/>
  <c r="A24" i="6" s="1"/>
  <c r="A25" i="6" s="1"/>
  <c r="A26" i="6" s="1"/>
  <c r="A27" i="6" s="1"/>
  <c r="A28" i="6" s="1"/>
  <c r="A29" i="6" s="1"/>
  <c r="A10" i="5"/>
  <c r="A11" i="5" s="1"/>
  <c r="A12" i="5" s="1"/>
  <c r="A13" i="5" s="1"/>
  <c r="A14" i="5" s="1"/>
  <c r="A15" i="5" s="1"/>
  <c r="A16" i="5" s="1"/>
  <c r="A17" i="5" s="1"/>
  <c r="A18" i="5" s="1"/>
  <c r="A19" i="5" s="1"/>
  <c r="A20" i="5" s="1"/>
  <c r="A21" i="5" s="1"/>
  <c r="A22" i="5" s="1"/>
  <c r="A23" i="5" s="1"/>
  <c r="A24" i="5" s="1"/>
  <c r="A25" i="5" s="1"/>
  <c r="A26" i="5" s="1"/>
  <c r="A27" i="5" s="1"/>
  <c r="A28" i="5" s="1"/>
  <c r="A29" i="5" s="1"/>
  <c r="A8" i="3"/>
  <c r="A9" i="3" s="1"/>
  <c r="A10" i="3" s="1"/>
  <c r="A11" i="3" s="1"/>
  <c r="A12" i="3" s="1"/>
  <c r="A13" i="3" s="1"/>
  <c r="A14" i="3" s="1"/>
  <c r="A15" i="3" s="1"/>
  <c r="A16" i="3" s="1"/>
  <c r="A17" i="3" s="1"/>
  <c r="A18" i="3" s="1"/>
  <c r="A19" i="3" s="1"/>
  <c r="A20" i="3" s="1"/>
  <c r="A21" i="3" s="1"/>
  <c r="A22" i="3" s="1"/>
  <c r="A23" i="3" s="1"/>
  <c r="A24" i="3" s="1"/>
  <c r="A25" i="3" s="1"/>
  <c r="A26" i="3" s="1"/>
  <c r="A27" i="3" s="1"/>
  <c r="A28" i="3" s="1"/>
  <c r="A8" i="1"/>
  <c r="A9" i="1" s="1"/>
  <c r="A10" i="1" s="1"/>
  <c r="A11" i="1" s="1"/>
  <c r="A12" i="1" s="1"/>
  <c r="A13" i="1" s="1"/>
  <c r="A14" i="1" s="1"/>
  <c r="A15" i="1" s="1"/>
  <c r="A16" i="1" s="1"/>
  <c r="A17" i="1" s="1"/>
  <c r="A18" i="1" s="1"/>
  <c r="A19" i="1" s="1"/>
  <c r="A20" i="1" s="1"/>
  <c r="A21" i="1" s="1"/>
  <c r="A22" i="1" s="1"/>
  <c r="A23" i="1" s="1"/>
  <c r="A24" i="1" s="1"/>
  <c r="A25" i="1" s="1"/>
  <c r="A26" i="1" s="1"/>
  <c r="A2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rlvnv" type="6" refreshedVersion="5" background="1" saveData="1">
    <textPr codePage="437" sourceFile="C:\Users\rdelcarlo\Desktop\Electrophysiology\Raw Data by protocol\1 IV\NaV1.4LVNV\dirlvnv.txt" delimited="0">
      <textFields count="2">
        <textField/>
        <textField position="39"/>
      </textFields>
    </textPr>
  </connection>
  <connection id="2" xr16:uid="{07345D2F-6A50-7E4D-94C7-92EFEB166335}" name="dirlvnv1" type="6" refreshedVersion="5" background="1" saveData="1">
    <textPr codePage="437" sourceFile="C:\Users\rdelcarlo\Desktop\Electrophysiology\Raw Data by protocol\1 IV\NaV1.4LVNV\dirlvnv.txt" delimited="0">
      <textFields count="2">
        <textField/>
        <textField position="39"/>
      </textFields>
    </textPr>
  </connection>
</connections>
</file>

<file path=xl/sharedStrings.xml><?xml version="1.0" encoding="utf-8"?>
<sst xmlns="http://schemas.openxmlformats.org/spreadsheetml/2006/main" count="2400" uniqueCount="355">
  <si>
    <t>CellID</t>
  </si>
  <si>
    <t>Genotype</t>
  </si>
  <si>
    <t>Capacitance (picoFarads)</t>
  </si>
  <si>
    <t>Filename</t>
  </si>
  <si>
    <t>Collector</t>
  </si>
  <si>
    <t>Em (mV)</t>
  </si>
  <si>
    <t>Erev</t>
  </si>
  <si>
    <t>E(tau_m_min)</t>
  </si>
  <si>
    <t>fitted g:</t>
  </si>
  <si>
    <t>z (apparent gating charge)</t>
  </si>
  <si>
    <t>Author who collected data</t>
  </si>
  <si>
    <t>SCN4A encoding NaV1.4 pore sequence; AA sequence reported here. NaV1.4+ (scored, WT, is TTX-sensitive) for translated SCN4A sequences reading 1276-MDIMYA-1281 in DIII and 1556-ICLFEITTSAGWDG-1569 in DIV. NaV1.4EPN (TTX-resistant, scored EPN) were mutagenized to reflect D1277E and A1281P in DIII and D1568N in DIV. NaV1.4LVNV (TTX-resistant, scored LVNV) were mutagenized to reflect I1556L, I1561V, D1568N, and G1569V.</t>
  </si>
  <si>
    <t>A unique identifier for each cell from which recordings were obtained in the course of this research program. Each tab in this sheet shall bear this identifier to signify from which cell the enclosed current family were recorded. Simply, the CellID is composed of the Genotype (as written above) and the roughly chronological order in which the cell was recorded. There is an additional sheet in this document showing all the recordings which were obtained from each cell, ordered under its CellID.</t>
  </si>
  <si>
    <t>Each cell in this row, rightward, describes the time in milliseconds from the onset of the test pulse and therefore the application of the membrane potential indicated most leftward.</t>
  </si>
  <si>
    <t>Each value in this array represents the raw current in picoAmperes (pA). The values here were exported from Clampfit 10.6 where they were baseline adjusted and potentially filtered (5000Hz).</t>
  </si>
  <si>
    <t>Capacitance of the cell collected either from capac.pro or from a part within the abovementioned filename. The filename from which capac was calculated can be found in the Capacitance sheet.</t>
  </si>
  <si>
    <t>E1/2</t>
  </si>
  <si>
    <t>E(Imax)</t>
  </si>
  <si>
    <t>E(tau_h_min)</t>
  </si>
  <si>
    <t>This is the observed reversal potential, calculated by solving for zero in the linear range of the current-voltage relationship.</t>
  </si>
  <si>
    <t>This is the potential at which half of the total current has developed.</t>
  </si>
  <si>
    <t>This is the potential at which the total current has developed.</t>
  </si>
  <si>
    <t>This is the potential at which the timecourse of activation is fastest (i.e. Tau_m --&gt; 0)</t>
  </si>
  <si>
    <t>This is the potential at which the timecoures of inactivation is fastest (i.e. Tau_h --&gt;0)</t>
  </si>
  <si>
    <t>This is the expected number of active channels as predicted by fitting the IV curve to the equation I = (g*(V-Erev))/(1+exp(-0.3937*z*(V-V1/2))) where z is the apparent gating charge, V1/2=E1/2 as above.</t>
  </si>
  <si>
    <t>This is the apparent gating charge as predicted by fitting the IV curve to the equation I = (g*(V-Erev))/(1+exp(-0.3937*z*(V-V1/2))) where z is the apparent gating charge, V1/2=E1/2 as above.</t>
  </si>
  <si>
    <t>z*</t>
  </si>
  <si>
    <r>
      <t>This is the apparent gating charge as predicted by solving the equation: z = (ln((GNa/Gmax)-1)*K</t>
    </r>
    <r>
      <rPr>
        <vertAlign val="subscript"/>
        <sz val="11"/>
        <color theme="1"/>
        <rFont val="Calibri"/>
        <family val="2"/>
        <scheme val="minor"/>
      </rPr>
      <t>B</t>
    </r>
    <r>
      <rPr>
        <sz val="11"/>
        <color theme="1"/>
        <rFont val="Calibri"/>
        <family val="2"/>
        <scheme val="minor"/>
      </rPr>
      <t>*T)/(</t>
    </r>
    <r>
      <rPr>
        <i/>
        <sz val="11"/>
        <color theme="1"/>
        <rFont val="Calibri"/>
        <family val="2"/>
        <scheme val="minor"/>
      </rPr>
      <t>e</t>
    </r>
    <r>
      <rPr>
        <sz val="11"/>
        <color theme="1"/>
        <rFont val="Calibri"/>
        <family val="2"/>
        <scheme val="minor"/>
      </rPr>
      <t xml:space="preserve">(V-V1/2)) where GNa is the conductance at that potential, V, Gmax is the maximum conductance observed in the current-voltage protocol, KB is the Boltzmann Constant (1.88e-23 J/K), T is the absolute temperature in K assuming 25ºC, and </t>
    </r>
    <r>
      <rPr>
        <i/>
        <sz val="11"/>
        <color theme="1"/>
        <rFont val="Calibri"/>
        <family val="2"/>
        <scheme val="minor"/>
      </rPr>
      <t>e</t>
    </r>
    <r>
      <rPr>
        <sz val="11"/>
        <color theme="1"/>
        <rFont val="Calibri"/>
        <family val="2"/>
        <scheme val="minor"/>
      </rPr>
      <t xml:space="preserve"> is the elementary charge, 1.602e-19 Coulomb.</t>
    </r>
  </si>
  <si>
    <t>REdC</t>
  </si>
  <si>
    <t>WT1</t>
  </si>
  <si>
    <t>WT2</t>
  </si>
  <si>
    <t>WT3</t>
  </si>
  <si>
    <t>WT4</t>
  </si>
  <si>
    <t>WT5</t>
  </si>
  <si>
    <t>WT6</t>
  </si>
  <si>
    <t>WT7</t>
  </si>
  <si>
    <t>WT8</t>
  </si>
  <si>
    <t>WT9</t>
  </si>
  <si>
    <t>WT10</t>
  </si>
  <si>
    <t>WT11</t>
  </si>
  <si>
    <t>WT12</t>
  </si>
  <si>
    <t>WT13</t>
  </si>
  <si>
    <t>WT14</t>
  </si>
  <si>
    <t>WT15</t>
  </si>
  <si>
    <t>WT16</t>
  </si>
  <si>
    <t>WT17</t>
  </si>
  <si>
    <t>WT19</t>
  </si>
  <si>
    <t>WT20</t>
  </si>
  <si>
    <t>WT21</t>
  </si>
  <si>
    <t>WT24</t>
  </si>
  <si>
    <t>WT25</t>
  </si>
  <si>
    <t>WT26</t>
  </si>
  <si>
    <t>WT27</t>
  </si>
  <si>
    <t>WT28</t>
  </si>
  <si>
    <t>WT29</t>
  </si>
  <si>
    <t>WT30</t>
  </si>
  <si>
    <t>WT31</t>
  </si>
  <si>
    <t>WT33</t>
  </si>
  <si>
    <t>WT38</t>
  </si>
  <si>
    <t>WT39</t>
  </si>
  <si>
    <t>WT40</t>
  </si>
  <si>
    <t>WT43</t>
  </si>
  <si>
    <t>WT44</t>
  </si>
  <si>
    <t>WT47</t>
  </si>
  <si>
    <t>WT48</t>
  </si>
  <si>
    <t>WT50</t>
  </si>
  <si>
    <t>WT53</t>
  </si>
  <si>
    <t>WT54</t>
  </si>
  <si>
    <t>WT63</t>
  </si>
  <si>
    <t>WT66</t>
  </si>
  <si>
    <t>WT69</t>
  </si>
  <si>
    <t>WT71</t>
  </si>
  <si>
    <t>WT</t>
  </si>
  <si>
    <t>Capacitance_Tau*I_0 (picoFarads)</t>
  </si>
  <si>
    <t>WT1_REdC_IV_18704034</t>
  </si>
  <si>
    <t>WT2_REdC_IV_1.26.2018 WT cell 5 IV'</t>
  </si>
  <si>
    <t>WT3_REdC_IV_17728035 Final</t>
  </si>
  <si>
    <t>WT4_REdC_IV_18705015</t>
  </si>
  <si>
    <t>WT5_REdC_IV_17728025 Final</t>
  </si>
  <si>
    <t>comment</t>
  </si>
  <si>
    <t>WT6_REdC_IV_wt iv final</t>
  </si>
  <si>
    <t>WT7_REdC_IV_1.26.2018</t>
  </si>
  <si>
    <t>WT8_REdC_IV</t>
  </si>
  <si>
    <t>WT9_REdC_IV_17504013 Final</t>
  </si>
  <si>
    <t>WT10_REdC_IV_1.26.2018 WT cell 2 IV' -120 conditioning</t>
  </si>
  <si>
    <t>WT11_REdC_IV_17723017</t>
  </si>
  <si>
    <t>WT12_REdC_IV_17721049 Final filtered</t>
  </si>
  <si>
    <t>WT13_REdC_IV_17723001</t>
  </si>
  <si>
    <t>WT14_REdC_IV_19n15007</t>
  </si>
  <si>
    <t>WT15_REdC_IV_19825000</t>
  </si>
  <si>
    <t>WT16_REdC_IV_18705033</t>
  </si>
  <si>
    <t>WT17_REdC_IV_17721059</t>
  </si>
  <si>
    <t>WT19_REdC_IV_19n23000 (-80:-10); WT19_REdC_IV_19n23009 (0:+80)</t>
  </si>
  <si>
    <t>WT20_REdC_IV_18115016</t>
  </si>
  <si>
    <t>WT21_REdC_IV_19o30001 (-80:0),WT21_REdC_IV_19o30004(10:+80)</t>
  </si>
  <si>
    <t>WT23_REdC_1.19.2018 IV cell 2 WT leak</t>
  </si>
  <si>
    <t>WT23</t>
  </si>
  <si>
    <t>WT24_REdC_IV_18705003(-80:10),WT24_REdC_IV_18705002(20:+80)</t>
  </si>
  <si>
    <t>WT25_REdC_IV_18704045</t>
  </si>
  <si>
    <t>WT26_REdC_IV_17809014</t>
  </si>
  <si>
    <t>WT27_REdC_IV_1.23.2018 IV cell 1 WT</t>
  </si>
  <si>
    <t>WT28_REdC_IV_1.23.2018 IV cell 1 WT</t>
  </si>
  <si>
    <t>WT29_REdC_IV_18o19010</t>
  </si>
  <si>
    <t>WT30_REdC_IV_1.26.2018 WT cell 1 IV p8 20 sweeps</t>
  </si>
  <si>
    <t>WT31_REdC_IV_18o07001</t>
  </si>
  <si>
    <t>WT33_REdC_IV_17728018</t>
  </si>
  <si>
    <t>WT38_REdC_IV_19o21015</t>
  </si>
  <si>
    <t>WT39_REdC_IV_17429002</t>
  </si>
  <si>
    <t>WT40_REdC_IV_17810003</t>
  </si>
  <si>
    <t>WT43_REdC_IV_1.26.2018 WT cell 4 IV</t>
  </si>
  <si>
    <t>WT44_REdC_IV_1.14.2018 IV cell 2 NaV1.4 wt</t>
  </si>
  <si>
    <t>WT47_REdC_IV_19911011</t>
  </si>
  <si>
    <t>WT48_REdC_IV_19n06031</t>
  </si>
  <si>
    <t>WT50_REdC_IV_19n06011</t>
  </si>
  <si>
    <t>WT53_REdC_IV_17504004</t>
  </si>
  <si>
    <t>WT54_REdC_IV_1.19.2018 IV cell 1 WT</t>
  </si>
  <si>
    <t>WT63_REdC_IV_19n07011</t>
  </si>
  <si>
    <t>WT66_REdC_IV_18704009</t>
  </si>
  <si>
    <t>WT69_REdC_IV_18o18036</t>
  </si>
  <si>
    <t>WT71_REdC_IV_17722009</t>
  </si>
  <si>
    <t/>
  </si>
  <si>
    <t>WT74</t>
  </si>
  <si>
    <t>WT75</t>
  </si>
  <si>
    <t>WT75_REdC_IV_0015.abf</t>
  </si>
  <si>
    <t>WT74_REdC_IV_0003.abf</t>
  </si>
  <si>
    <t>WT76</t>
  </si>
  <si>
    <t>WT76_REdC_IV_0012.abf</t>
  </si>
  <si>
    <t>EPN10_REdC_IV_2016_09_30_0029.abf</t>
  </si>
  <si>
    <t>EPN11_REdC_IV_17725020.abf</t>
  </si>
  <si>
    <t>EPN12_REdC_IV_1.19.2018 IV cell 1 EPN'.abf</t>
  </si>
  <si>
    <t>EPN13_REdC_IV_2016_09_30_0015.abf</t>
  </si>
  <si>
    <t>EPN14_REdC_IV_17725071.abf</t>
  </si>
  <si>
    <t>EPN18_REdC_IV_0012.abf</t>
  </si>
  <si>
    <t>EPN1_REdC_IV_17725093.abf</t>
  </si>
  <si>
    <t>EPN2_REdC_IV_17725017.abf</t>
  </si>
  <si>
    <t>EPN3_REdC_IV_18115045.abf</t>
  </si>
  <si>
    <t>EPN4_REdC_IV_IV cell 2 NaV1.4 EPN.abf</t>
  </si>
  <si>
    <t>EPN5_REdC_IV_17725043.abf</t>
  </si>
  <si>
    <t>EPN6_REdC_IV_1.14.2018 IV cell 1 NaV1.4 EPN.abf</t>
  </si>
  <si>
    <t>EPN7_REdC_IV_17718015.abf</t>
  </si>
  <si>
    <t>EPN9_REdC_IV_17725067.abf</t>
  </si>
  <si>
    <t>EPN10</t>
  </si>
  <si>
    <t>EPN11</t>
  </si>
  <si>
    <t>EPN12</t>
  </si>
  <si>
    <t>EPN13</t>
  </si>
  <si>
    <t>EPN14</t>
  </si>
  <si>
    <t>EPN18</t>
  </si>
  <si>
    <t>EPN1</t>
  </si>
  <si>
    <t>EPN2</t>
  </si>
  <si>
    <t>EPN3</t>
  </si>
  <si>
    <t>EPN4</t>
  </si>
  <si>
    <t>EPN5</t>
  </si>
  <si>
    <t>EPN6</t>
  </si>
  <si>
    <t>EPN7</t>
  </si>
  <si>
    <t>EPN9</t>
  </si>
  <si>
    <t>EPN</t>
  </si>
  <si>
    <t>good_cancellation</t>
  </si>
  <si>
    <t>LVNV12_REdC_IV_19912002.abf</t>
  </si>
  <si>
    <t>LVNV15_REdC_IV_17724016.abf</t>
  </si>
  <si>
    <t>LVNV16_REdC_IV_17726035.abf</t>
  </si>
  <si>
    <t>LVNV1_REdC_IV_17724088.abf</t>
  </si>
  <si>
    <t>LVNV20_REdC_IV_17726011.abf</t>
  </si>
  <si>
    <t>LVNV3_REdC_IV_17726022.abf</t>
  </si>
  <si>
    <t>LVNV4_REdC_IV_17429000.abf</t>
  </si>
  <si>
    <t>LVNV4_REdC_IV_17429001.abf</t>
  </si>
  <si>
    <t>LVNV4_REdC_IV_17429002.abf</t>
  </si>
  <si>
    <t>LVNV5_REdC_IV_17724073.abf</t>
  </si>
  <si>
    <t>LVNV6_REdC_IV_19915011.abf</t>
  </si>
  <si>
    <t>LVNV7_REdC_IV_19d06007.abf</t>
  </si>
  <si>
    <t>LVNV9_REdC_IV_17724034.abf</t>
  </si>
  <si>
    <t>LVNV10</t>
  </si>
  <si>
    <t>LVNV12</t>
  </si>
  <si>
    <t>LVNV14</t>
  </si>
  <si>
    <t>LVNV15</t>
  </si>
  <si>
    <t>LVNV16</t>
  </si>
  <si>
    <t>LVNV18</t>
  </si>
  <si>
    <t>LVNV19</t>
  </si>
  <si>
    <t>LVNV1</t>
  </si>
  <si>
    <t>LVNV20</t>
  </si>
  <si>
    <t>LVNV2</t>
  </si>
  <si>
    <t>LVNV3</t>
  </si>
  <si>
    <t>LVNV4</t>
  </si>
  <si>
    <t>LVNV5</t>
  </si>
  <si>
    <t>LVNV6</t>
  </si>
  <si>
    <t>LVNV7</t>
  </si>
  <si>
    <t>LVNV8</t>
  </si>
  <si>
    <t>LVNV9</t>
  </si>
  <si>
    <t>LVNV</t>
  </si>
  <si>
    <t>LVNV2_REdC_IV_17724059.abf;LVNV2_REdC_IV_17724048.abf;LVNV2_REdC_IV_17724046.abf</t>
  </si>
  <si>
    <t>LVNV21</t>
  </si>
  <si>
    <t>LVNV8_REdC_IV_17724003.abf;LVNV8_REdC_IV_17724001.abf</t>
  </si>
  <si>
    <t>LVNV10_REdC_IV_17726060.abf;LVNV10_REdC_IV_17726061.abf</t>
  </si>
  <si>
    <t>LVNV14_REdC_IV_17726099.abf;LVNV14_REdC_IV_17726072.abf;LVNV14_REdC_IV_17726074.abf;LVNV14_REdC_IV_17726083.abf;LVNV14_REdC_IV_17726088.abf;LVNV14_REdC_IV_17726095.abf;LVNV14_REdC_IV_17726098.abf;LVNV14_REdC_IV_17726100.abf</t>
  </si>
  <si>
    <t>LVNV18_REdC_IV_19911028.abf;LVNV18_REdC_IV_19911026.abf;LVNV18_REdC_IV_19911027.abf;LVNV18_REdC_IV_19911029.abf</t>
  </si>
  <si>
    <t>LVNV19_REdC_IV_17714002.abf;LVNV19_REdC_IV_17714003.abf</t>
  </si>
  <si>
    <t>Filename(s) from which these traces were extracted. For some cells wherein individual traces were obstructed by noise, multiple IV recordings were used to create the IV relationship. The filenames are listed here strung together with semicolons. For those cells where only a partial IV relationship is present here, i.e. more than 2 consecutive points are missing over entire range from -80mV to +80mV, these are excluded from the IV relationship averages but included in analyses of Steady State Activation.</t>
  </si>
  <si>
    <t>List of Files in this Folder</t>
  </si>
  <si>
    <t>Blcorrected Current</t>
  </si>
  <si>
    <t>BL or Baseline corrected currents accounts for any non-zero variability when the channels are predictably closed between -80 and -50 mV, which may be due to inherent noise or slow capacitive artifact. These corrections are performed by the equation</t>
  </si>
  <si>
    <t>NormIV</t>
  </si>
  <si>
    <t>This is a normalized IV with the greatest negative point set as -1, which allows a preview of Steady State Activation and reversal across genotypes.</t>
  </si>
  <si>
    <t>Current Density</t>
  </si>
  <si>
    <t>Apparent Gating Charge</t>
  </si>
  <si>
    <t>Tau_m_Rise_time</t>
  </si>
  <si>
    <t>Tau_h_decay_time</t>
  </si>
  <si>
    <t>This is the time constant of the decay of the currents plotted against voltage</t>
  </si>
  <si>
    <t>This is the time of the development of the currents plotted against voltage</t>
  </si>
  <si>
    <t>Tau_m_to_h_ratio</t>
  </si>
  <si>
    <t>This is the voltage dependent ratio of the onset to decay time constants</t>
  </si>
  <si>
    <t>Macroscopic Conductance</t>
  </si>
  <si>
    <t>This is the conductance, G_Na, at the whole cell level. This will be correlated to the predicted unitary conductance from NSNA (g_Na).</t>
  </si>
  <si>
    <t>IV report</t>
  </si>
  <si>
    <t>This is the single file which contains Kact, Kinact, V1/2act, and V1/2inact; G_Na, tau_m, tau_h, tau_m/h, z*_apparent_gating_charge, Imax(current density), and Imax(raw current)</t>
  </si>
  <si>
    <t>LVNV21_REdC_IV_17615002.abf;LVNV4_REdC_IV_17615007.abf</t>
  </si>
  <si>
    <t>great_cancellation</t>
  </si>
  <si>
    <t>Great_cancellation</t>
  </si>
  <si>
    <t>Em</t>
  </si>
  <si>
    <t>WT_N_=_46</t>
  </si>
  <si>
    <t>WTsem_N_=_46</t>
  </si>
  <si>
    <t>EPN_N_=_13</t>
  </si>
  <si>
    <t>LVNV_N_=_20</t>
  </si>
  <si>
    <t>LVNVsem_N_=_20</t>
  </si>
  <si>
    <t>WT+sem_N_=_46</t>
  </si>
  <si>
    <t>WT-sem_N_=_46</t>
  </si>
  <si>
    <t>EPN+sem_N_=_13</t>
  </si>
  <si>
    <t>EPN-sem_N_=_13</t>
  </si>
  <si>
    <t>LVNV+sem_N_=_20</t>
  </si>
  <si>
    <t>LVNV-sem_N_=_20</t>
  </si>
  <si>
    <t>Wtmed</t>
  </si>
  <si>
    <t>WTQ3</t>
  </si>
  <si>
    <t>WTQ1</t>
  </si>
  <si>
    <t>EPNmed</t>
  </si>
  <si>
    <t>EPNQ3</t>
  </si>
  <si>
    <t>EPNQ1</t>
  </si>
  <si>
    <t>LVNVmed</t>
  </si>
  <si>
    <t>LVNVQ3</t>
  </si>
  <si>
    <t>LVNVQ1</t>
  </si>
  <si>
    <t>K_act</t>
  </si>
  <si>
    <t>V_act_1/2</t>
  </si>
  <si>
    <t>DrivingForce</t>
  </si>
  <si>
    <t>Erev_(mV)</t>
  </si>
  <si>
    <t>Slope_+10-+80mV_(pA/mV)</t>
  </si>
  <si>
    <t>Intercept_(pA)</t>
  </si>
  <si>
    <t>Reversal_Potential</t>
  </si>
  <si>
    <t>These values were calcualted from NormIV using the slope(Voltage,Current) from +10mV to +80mv, the assumed linear portion of the IV relationship, and intercept(Voltage,Current), to produce the ratio of -Intercept/slope, the Reversal Potential.</t>
  </si>
  <si>
    <t>Conductance_Eeq</t>
  </si>
  <si>
    <t>Conductance_Erev</t>
  </si>
  <si>
    <r>
      <t xml:space="preserve">This is the conductance, G_Na, at the whole cell level, as calculated by GNa = I/(V-Eeq) where Eeq in the definition of driving force in the denominator is the </t>
    </r>
    <r>
      <rPr>
        <i/>
        <sz val="11"/>
        <color theme="1"/>
        <rFont val="Calibri"/>
        <family val="2"/>
        <scheme val="minor"/>
      </rPr>
      <t>calculated</t>
    </r>
    <r>
      <rPr>
        <sz val="11"/>
        <color theme="1"/>
        <rFont val="Calibri"/>
        <family val="2"/>
        <scheme val="minor"/>
      </rPr>
      <t xml:space="preserve"> Equilibriu potential (R = 8.314 J/mol*k, T = 22 + 273.15K, z = +1, F = 96.485 J/mol*mV, Na_out = 145, Na_in = 10).</t>
    </r>
  </si>
  <si>
    <t>This is the conductance, G_Na, at the whole cell level, as calculated by GNa = I/(V-Erev) where Erev is the observed reversal potential as reported in the file, Reversal_Potential.</t>
  </si>
  <si>
    <t>E_rev</t>
  </si>
  <si>
    <t>Test_Potential_(mV)</t>
  </si>
  <si>
    <t>Central_Tendency_IV</t>
  </si>
  <si>
    <t>WTsd_N_=_46</t>
  </si>
  <si>
    <t>WTsem_N_=_47</t>
  </si>
  <si>
    <t>EPNsd_N_=_12</t>
  </si>
  <si>
    <t>LVNVsd_N_=_18</t>
  </si>
  <si>
    <t>LVNVsem_N_=_18</t>
  </si>
  <si>
    <t>WTsd_N_=_47</t>
  </si>
  <si>
    <t>EPN_N_=_12</t>
  </si>
  <si>
    <t>WT_average_N_=_47</t>
  </si>
  <si>
    <t>EPN_average_N_=_12</t>
  </si>
  <si>
    <t>LVNV_average_N_=_18</t>
  </si>
  <si>
    <t>WT_median_N=47</t>
  </si>
  <si>
    <t>WT_quartile3_N=47</t>
  </si>
  <si>
    <t>WT_quartile1_N=47</t>
  </si>
  <si>
    <t>EPN_median_N=12</t>
  </si>
  <si>
    <t>EPN_quartile3_N=12</t>
  </si>
  <si>
    <t>EPN_quartile1_N=12</t>
  </si>
  <si>
    <t>LVNV_median_N=18</t>
  </si>
  <si>
    <t>LVNV_quartile3_N=18</t>
  </si>
  <si>
    <t>LVNV_quartile1_N=18</t>
  </si>
  <si>
    <t>vhalf_Value</t>
  </si>
  <si>
    <t>vhalf_StandardError</t>
  </si>
  <si>
    <t>dx_Value</t>
  </si>
  <si>
    <t>dx_StandardError</t>
  </si>
  <si>
    <t>gmax_Value</t>
  </si>
  <si>
    <t>gmax_StandardError</t>
  </si>
  <si>
    <t>vrev_Value</t>
  </si>
  <si>
    <t>vrev_StandardError</t>
  </si>
  <si>
    <t>This is simply the average, standard deviation (sd), standard error of the mean (sem), median, third and first quartiles of the data here grouped by genotypes (WT, EPN, and LVNV). The values in Central_Tendency_IV, a simple baseline correction is applied using the background noise of the range -80 to -50mV as level. An example calculation would be: =IF(AVERAGE(CF$7:CF$10)&gt;0,(CF7-MEDIAN(CF$7:CF$10)),(CF7+MEDIAN(CF$7:CF$10))). Any curves generated from averages of fitted parameters of these data excluded WT53 and LVNV15 for failing to produce an IV curve which reverses. These values, however, were able to produce reliable Steady State Activation curves and were included in those analyses.</t>
  </si>
  <si>
    <t>WT_average_N_=_46</t>
  </si>
  <si>
    <t>LVNV_average_N_=_17</t>
  </si>
  <si>
    <t>LVNVsd_N_=_17</t>
  </si>
  <si>
    <t>LVNVsem_N_=_17</t>
  </si>
  <si>
    <t>WT_median_N=46</t>
  </si>
  <si>
    <t>WT_quartile3_N=46</t>
  </si>
  <si>
    <t>WT_quartile1_N=46</t>
  </si>
  <si>
    <t>LVNV_median_N=17</t>
  </si>
  <si>
    <t>LVNV_quartile3_N=17</t>
  </si>
  <si>
    <t>LVNV_quartile1_N=17</t>
  </si>
  <si>
    <t>Parameter</t>
  </si>
  <si>
    <t>WT_avg+sd_N_=_46</t>
  </si>
  <si>
    <t>WT_avg-sd_N_=_46</t>
  </si>
  <si>
    <t>WT_avg+sem_N_=_46</t>
  </si>
  <si>
    <t>WT_avg-sem_N_=_46</t>
  </si>
  <si>
    <t>WT_avg</t>
  </si>
  <si>
    <t>WT_avg+sd</t>
  </si>
  <si>
    <t>WT_avg-sd</t>
  </si>
  <si>
    <t>WT_avg+sem</t>
  </si>
  <si>
    <t>WT_avg-sem</t>
  </si>
  <si>
    <t>EPN_avg</t>
  </si>
  <si>
    <t>EPN_avg+sd</t>
  </si>
  <si>
    <t>EPN_avg-sd</t>
  </si>
  <si>
    <t>EPN_avg+sem</t>
  </si>
  <si>
    <t>EPN_avg-sem</t>
  </si>
  <si>
    <t>LVNV_avg</t>
  </si>
  <si>
    <t>LVNV_avg+sd</t>
  </si>
  <si>
    <t>LVNV_avg-sd</t>
  </si>
  <si>
    <t>LVNV_avg+sem</t>
  </si>
  <si>
    <t>LVNV_avg-sem</t>
  </si>
  <si>
    <t>LVNV_median</t>
  </si>
  <si>
    <t>LVNV_quartile3</t>
  </si>
  <si>
    <t>LVNV_quartile1</t>
  </si>
  <si>
    <t>EPN_median</t>
  </si>
  <si>
    <t>EPN_quartile3</t>
  </si>
  <si>
    <t>EPN_quartile1</t>
  </si>
  <si>
    <t>WT_median</t>
  </si>
  <si>
    <t>WT_quartile3</t>
  </si>
  <si>
    <t>WT_quartile1</t>
  </si>
  <si>
    <t>EPN_avg+sd_N_=_12</t>
  </si>
  <si>
    <t>EPN_avg-sd_N_=_12</t>
  </si>
  <si>
    <t>EPN_avg+sem_N_=_12</t>
  </si>
  <si>
    <t>EPN_avg-sem_N_=_12</t>
  </si>
  <si>
    <t>LVNV+avg+sd_N_=_17</t>
  </si>
  <si>
    <t>LVNV+avg-sd_N_=_17</t>
  </si>
  <si>
    <t>LVNV_avg+sem_N_=_17</t>
  </si>
  <si>
    <t>LVNV_avg-sem_N_=_17</t>
  </si>
  <si>
    <t>Type</t>
  </si>
  <si>
    <t>Test_Potential(mV)</t>
  </si>
  <si>
    <t>Central_Tendency_IV_Fitted</t>
  </si>
  <si>
    <t>These values are the result of evaluating the equation y=((x-vrev)*gmax)/(1+exp((x-vhalf)/dx)) using the average, median, third or first quartile of the population of fitted parameters (pulled from those in this file, excluding WT53 and LVNV15.
The avg+sd and avg+sem traces were created by an equation such as,
=((V-(Vrev+sd_or_sem))*(gmax+sd_or_sem))/(1+EXP((V-(Vhalf-sd_or_sem))/(dx+sd_or_sem)))
whereas the avg-sd and avg-sem traces were created by an equation such as:
=((V-(Vrev-sd_or_sem))*(gmax-sd_or_sem))/(1+EXP((V-(Vhalf+sd_or_sem))/(dx-sd_or_sem))). An example of such an evaluation might appear as: =(($A8-(B$5+C$5))*(B$4+C$4))/(1+EXP(($A8-(B$2-C$2))/(B$3+C$3))), or =(($A8-B$5)*B$4)/(1+EXP(($A8-B$2)/B$3)), or =(($A8-(B$5-C$5))*(B$4-C$4))/(1+EXP(($A8-(B$2+C$2))/(B$3-C$3)))</t>
  </si>
  <si>
    <t>EPNsem_N_=_12</t>
  </si>
  <si>
    <t>G_Na</t>
  </si>
  <si>
    <t>Ratio_G_max_V-Eeq_V-Erev</t>
  </si>
  <si>
    <t>I_max_pA</t>
  </si>
  <si>
    <t>V_at_I_max_mV</t>
  </si>
  <si>
    <t>G_max_V-Eeq_pA/mV</t>
  </si>
  <si>
    <t>G_max_V-Erev_pA/mV</t>
  </si>
  <si>
    <t>Erev_mV</t>
  </si>
  <si>
    <t>GpApF_max_V-Eeq_pA/mV</t>
  </si>
  <si>
    <t>GpApF_max_V-Erev_pA/mV</t>
  </si>
  <si>
    <t>G_Na_by_linear_slope_pA/mV</t>
  </si>
  <si>
    <t>This is calculated per the equation: z = (ln((GNa/Gmax)-1)*KB*T)/(e(V-V1/2)) where GNa is the conductance at that potential, V, Gmax is the maximum conductance observed in the current-voltage protocol, KB is the Boltzmann Constant (1.88e-23 J/K), T is the absolute temperature in K assuming 25ºC, and e is the elementary charge, 1.602e-19 Coulomb. An example formula might be: =IF(ISBLANK(Conductance_Eeq!B7),"",IF(Conductance_Eeq!B7&lt;0,((LN(ABS(((Conductance_Eeq!B7/MAX(Conductance_Eeq!B$7:B$27)))))*(1.88E-23)*(25+273.15))/(EXP($A8-B$7))),((LN((Conductance_Eeq!B7/MAX(Conductance_Eeq!B$7:B$27))))*(1.88E-23)*(25+273.15))/(EXP($A8-B$7))))</t>
  </si>
  <si>
    <t>E_tau_h_min_mV</t>
  </si>
  <si>
    <t>E_tau_m_min_mV</t>
  </si>
  <si>
    <t>I_density_max_pA_pF</t>
  </si>
  <si>
    <t>This is an IV curve normalized to the cell's respective capacitance, as calculated by instantaneous maximum capacitive current (I_max, pA) multiplied by the time constant (tau, ms) of its decay, quantity divided by the voltage step which produced the capacitive transient, resulting in capacitance units, picoFarads (pF). The resultant current magnitudes are presented in picoAmps per picoFarad (pA/pF). An example equation might look like: =IF(ISBLANK(BLcorrectedCurrent!G8),"",BLcorrectedCurrent!G8/BLcorrectedCurrent!G$3)</t>
  </si>
  <si>
    <t>Recorded_in_AD293</t>
  </si>
  <si>
    <t>WT-sem_N_=_47</t>
  </si>
  <si>
    <t>WT+sem_N_=_47</t>
  </si>
  <si>
    <t>WT_N_=_47</t>
  </si>
  <si>
    <t>IV_Curves</t>
  </si>
  <si>
    <t>IV_Current_Density_Curves</t>
  </si>
  <si>
    <t>These are the average current magnitudes at each test potential with values of spread included</t>
  </si>
  <si>
    <t>These are the average current densities at each test potential with values of spread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</si>
</sst>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x14ac:knownFonts="1">
    <font>
      <sz val="11"/>
      <color theme="1"/>
      <name val="Calibri"/>
      <family val="2"/>
      <scheme val="minor"/>
    </font>
    <font>
      <sz val="11"/>
      <color theme="1"/>
      <name val="Calibri"/>
      <family val="2"/>
    </font>
    <font>
      <vertAlign val="subscript"/>
      <sz val="11"/>
      <color theme="1"/>
      <name val="Calibri"/>
      <family val="2"/>
      <scheme val="minor"/>
    </font>
    <font>
      <i/>
      <sz val="11"/>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horizontal="right"/>
    </xf>
    <xf numFmtId="0" fontId="0" fillId="0" borderId="0" xfId="0" applyAlignment="1">
      <alignment horizontal="right"/>
    </xf>
    <xf numFmtId="0" fontId="0" fillId="0" borderId="0" xfId="0" applyAlignment="1">
      <alignment horizontal="left"/>
    </xf>
    <xf numFmtId="0" fontId="0" fillId="0" borderId="0" xfId="0" applyFont="1"/>
    <xf numFmtId="14" fontId="0" fillId="0" borderId="0" xfId="0" applyNumberFormat="1"/>
    <xf numFmtId="0" fontId="4" fillId="0" borderId="0" xfId="0" applyFont="1"/>
    <xf numFmtId="3" fontId="0" fillId="0" borderId="0" xfId="0" applyNumberFormat="1"/>
    <xf numFmtId="18" fontId="0" fillId="0" borderId="0" xfId="0" applyNumberFormat="1"/>
    <xf numFmtId="0" fontId="0" fillId="0" borderId="0" xfId="0" applyAlignment="1"/>
    <xf numFmtId="6" fontId="0" fillId="0" borderId="0" xfId="0" applyNumberFormat="1"/>
    <xf numFmtId="2" fontId="0" fillId="0" borderId="0" xfId="0" applyNumberFormat="1"/>
    <xf numFmtId="0" fontId="0"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rlvnv" connectionId="1" xr16:uid="{00000000-0016-0000-01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rlvnv" connectionId="2" xr16:uid="{4286AB37-1444-EB48-91F0-10BA0C67246D}"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abSelected="1" workbookViewId="0"/>
  </sheetViews>
  <sheetFormatPr baseColWidth="10" defaultColWidth="8.83203125" defaultRowHeight="15" x14ac:dyDescent="0.2"/>
  <cols>
    <col min="1" max="1" width="24.33203125" style="3" customWidth="1"/>
  </cols>
  <sheetData>
    <row r="1" spans="1:6" x14ac:dyDescent="0.2">
      <c r="A1" s="2" t="s">
        <v>4</v>
      </c>
      <c r="B1" t="s">
        <v>10</v>
      </c>
      <c r="F1" s="1"/>
    </row>
    <row r="2" spans="1:6" x14ac:dyDescent="0.2">
      <c r="A2" s="2" t="s">
        <v>3</v>
      </c>
      <c r="B2" t="s">
        <v>195</v>
      </c>
    </row>
    <row r="3" spans="1:6" x14ac:dyDescent="0.2">
      <c r="A3" s="2" t="s">
        <v>2</v>
      </c>
      <c r="B3" t="s">
        <v>15</v>
      </c>
    </row>
    <row r="4" spans="1:6" x14ac:dyDescent="0.2">
      <c r="A4" s="3" t="s">
        <v>1</v>
      </c>
      <c r="B4" t="s">
        <v>11</v>
      </c>
    </row>
    <row r="5" spans="1:6" x14ac:dyDescent="0.2">
      <c r="A5" s="3" t="s">
        <v>0</v>
      </c>
      <c r="B5" t="s">
        <v>12</v>
      </c>
    </row>
    <row r="6" spans="1:6" x14ac:dyDescent="0.2">
      <c r="A6" s="3" t="s">
        <v>5</v>
      </c>
      <c r="B6" t="s">
        <v>13</v>
      </c>
    </row>
    <row r="7" spans="1:6" x14ac:dyDescent="0.2">
      <c r="B7" t="s">
        <v>14</v>
      </c>
    </row>
    <row r="8" spans="1:6" x14ac:dyDescent="0.2">
      <c r="A8" s="3" t="s">
        <v>6</v>
      </c>
      <c r="B8" t="s">
        <v>19</v>
      </c>
    </row>
    <row r="9" spans="1:6" x14ac:dyDescent="0.2">
      <c r="A9" s="3" t="s">
        <v>16</v>
      </c>
      <c r="B9" t="s">
        <v>20</v>
      </c>
    </row>
    <row r="10" spans="1:6" x14ac:dyDescent="0.2">
      <c r="A10" s="3" t="s">
        <v>17</v>
      </c>
      <c r="B10" t="s">
        <v>21</v>
      </c>
    </row>
    <row r="11" spans="1:6" x14ac:dyDescent="0.2">
      <c r="A11" s="3" t="s">
        <v>7</v>
      </c>
      <c r="B11" t="s">
        <v>22</v>
      </c>
    </row>
    <row r="12" spans="1:6" x14ac:dyDescent="0.2">
      <c r="A12" s="3" t="s">
        <v>18</v>
      </c>
      <c r="B12" t="s">
        <v>23</v>
      </c>
    </row>
    <row r="13" spans="1:6" x14ac:dyDescent="0.2">
      <c r="A13" s="3" t="s">
        <v>8</v>
      </c>
      <c r="B13" t="s">
        <v>24</v>
      </c>
    </row>
    <row r="14" spans="1:6" x14ac:dyDescent="0.2">
      <c r="A14" s="3" t="s">
        <v>9</v>
      </c>
      <c r="B14" t="s">
        <v>25</v>
      </c>
    </row>
    <row r="15" spans="1:6" ht="17" x14ac:dyDescent="0.25">
      <c r="A15" s="3" t="s">
        <v>26</v>
      </c>
      <c r="B15" t="s">
        <v>27</v>
      </c>
    </row>
    <row r="18" spans="1:2" x14ac:dyDescent="0.2">
      <c r="A18" s="3" t="s">
        <v>196</v>
      </c>
    </row>
    <row r="19" spans="1:2" x14ac:dyDescent="0.2">
      <c r="A19" s="3" t="s">
        <v>197</v>
      </c>
      <c r="B19" t="s">
        <v>198</v>
      </c>
    </row>
    <row r="20" spans="1:2" x14ac:dyDescent="0.2">
      <c r="A20" s="3" t="s">
        <v>199</v>
      </c>
      <c r="B20" t="s">
        <v>200</v>
      </c>
    </row>
    <row r="21" spans="1:2" x14ac:dyDescent="0.2">
      <c r="A21" s="3" t="s">
        <v>201</v>
      </c>
      <c r="B21" t="s">
        <v>346</v>
      </c>
    </row>
    <row r="22" spans="1:2" x14ac:dyDescent="0.2">
      <c r="A22" s="3" t="s">
        <v>245</v>
      </c>
      <c r="B22" t="s">
        <v>247</v>
      </c>
    </row>
    <row r="23" spans="1:2" x14ac:dyDescent="0.2">
      <c r="A23" s="3" t="s">
        <v>246</v>
      </c>
      <c r="B23" t="s">
        <v>248</v>
      </c>
    </row>
    <row r="24" spans="1:2" x14ac:dyDescent="0.2">
      <c r="A24" s="3" t="s">
        <v>202</v>
      </c>
      <c r="B24" t="s">
        <v>342</v>
      </c>
    </row>
    <row r="25" spans="1:2" x14ac:dyDescent="0.2">
      <c r="A25" s="3" t="s">
        <v>203</v>
      </c>
      <c r="B25" t="s">
        <v>206</v>
      </c>
    </row>
    <row r="26" spans="1:2" x14ac:dyDescent="0.2">
      <c r="A26" s="3" t="s">
        <v>204</v>
      </c>
      <c r="B26" t="s">
        <v>205</v>
      </c>
    </row>
    <row r="27" spans="1:2" x14ac:dyDescent="0.2">
      <c r="A27" s="3" t="s">
        <v>207</v>
      </c>
      <c r="B27" t="s">
        <v>208</v>
      </c>
    </row>
    <row r="28" spans="1:2" x14ac:dyDescent="0.2">
      <c r="A28" s="3" t="s">
        <v>209</v>
      </c>
      <c r="B28" t="s">
        <v>210</v>
      </c>
    </row>
    <row r="29" spans="1:2" x14ac:dyDescent="0.2">
      <c r="A29" s="3" t="s">
        <v>211</v>
      </c>
      <c r="B29" t="s">
        <v>212</v>
      </c>
    </row>
    <row r="30" spans="1:2" x14ac:dyDescent="0.2">
      <c r="A30" s="3" t="s">
        <v>243</v>
      </c>
      <c r="B30" t="s">
        <v>244</v>
      </c>
    </row>
    <row r="31" spans="1:2" x14ac:dyDescent="0.2">
      <c r="A31" s="3" t="s">
        <v>251</v>
      </c>
      <c r="B31" t="s">
        <v>279</v>
      </c>
    </row>
    <row r="32" spans="1:2" x14ac:dyDescent="0.2">
      <c r="A32" s="3" t="s">
        <v>329</v>
      </c>
      <c r="B32" s="10" t="s">
        <v>330</v>
      </c>
    </row>
    <row r="33" spans="1:2" x14ac:dyDescent="0.2">
      <c r="A33" s="3" t="s">
        <v>351</v>
      </c>
      <c r="B33" s="10" t="s">
        <v>353</v>
      </c>
    </row>
    <row r="34" spans="1:2" x14ac:dyDescent="0.2">
      <c r="A34" s="3" t="s">
        <v>352</v>
      </c>
      <c r="B34" s="10" t="s">
        <v>354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Q81"/>
  <sheetViews>
    <sheetView zoomScale="115" workbookViewId="0">
      <pane xSplit="1" topLeftCell="B1" activePane="topRight" state="frozen"/>
      <selection pane="topRight"/>
    </sheetView>
  </sheetViews>
  <sheetFormatPr baseColWidth="10" defaultColWidth="8.83203125" defaultRowHeight="15" x14ac:dyDescent="0.2"/>
  <cols>
    <col min="1" max="1" width="26.33203125" style="3" customWidth="1"/>
    <col min="64" max="64" width="9.1640625" customWidth="1"/>
  </cols>
  <sheetData>
    <row r="1" spans="1:95" x14ac:dyDescent="0.2">
      <c r="A1" s="2" t="s">
        <v>4</v>
      </c>
      <c r="B1" t="s">
        <v>28</v>
      </c>
      <c r="C1" t="s">
        <v>28</v>
      </c>
      <c r="D1" t="s">
        <v>28</v>
      </c>
      <c r="E1" t="s">
        <v>28</v>
      </c>
      <c r="F1" t="s">
        <v>28</v>
      </c>
      <c r="G1" t="s">
        <v>28</v>
      </c>
      <c r="H1" t="s">
        <v>28</v>
      </c>
      <c r="I1" t="s">
        <v>28</v>
      </c>
      <c r="J1" t="s">
        <v>28</v>
      </c>
      <c r="K1" t="s">
        <v>28</v>
      </c>
      <c r="L1" t="s">
        <v>28</v>
      </c>
      <c r="M1" t="s">
        <v>28</v>
      </c>
      <c r="N1" t="s">
        <v>28</v>
      </c>
      <c r="O1" t="s">
        <v>28</v>
      </c>
      <c r="P1" t="s">
        <v>28</v>
      </c>
      <c r="Q1" t="s">
        <v>28</v>
      </c>
      <c r="R1" t="s">
        <v>28</v>
      </c>
      <c r="S1" t="s">
        <v>28</v>
      </c>
      <c r="T1" t="s">
        <v>28</v>
      </c>
      <c r="U1" t="s">
        <v>28</v>
      </c>
      <c r="V1" t="s">
        <v>28</v>
      </c>
      <c r="W1" t="s">
        <v>28</v>
      </c>
      <c r="X1" t="s">
        <v>28</v>
      </c>
      <c r="Y1" t="s">
        <v>28</v>
      </c>
      <c r="Z1" t="s">
        <v>28</v>
      </c>
      <c r="AA1" t="s">
        <v>28</v>
      </c>
      <c r="AB1" t="s">
        <v>28</v>
      </c>
      <c r="AC1" t="s">
        <v>28</v>
      </c>
      <c r="AD1" t="s">
        <v>28</v>
      </c>
      <c r="AE1" t="s">
        <v>28</v>
      </c>
      <c r="AF1" t="s">
        <v>28</v>
      </c>
      <c r="AG1" t="s">
        <v>28</v>
      </c>
      <c r="AH1" t="s">
        <v>28</v>
      </c>
      <c r="AI1" t="s">
        <v>28</v>
      </c>
      <c r="AJ1" t="s">
        <v>28</v>
      </c>
      <c r="AK1" t="s">
        <v>28</v>
      </c>
      <c r="AL1" t="s">
        <v>28</v>
      </c>
      <c r="AM1" t="s">
        <v>28</v>
      </c>
      <c r="AN1" t="s">
        <v>28</v>
      </c>
      <c r="AO1" t="s">
        <v>28</v>
      </c>
      <c r="AP1" t="s">
        <v>28</v>
      </c>
      <c r="AQ1" t="s">
        <v>28</v>
      </c>
      <c r="AR1" t="s">
        <v>28</v>
      </c>
      <c r="AS1" t="s">
        <v>28</v>
      </c>
      <c r="AT1" t="s">
        <v>28</v>
      </c>
      <c r="AU1" t="s">
        <v>28</v>
      </c>
      <c r="AV1" t="s">
        <v>28</v>
      </c>
      <c r="AW1" t="s">
        <v>28</v>
      </c>
      <c r="AX1" t="s">
        <v>28</v>
      </c>
      <c r="AY1" t="s">
        <v>28</v>
      </c>
      <c r="AZ1" t="s">
        <v>28</v>
      </c>
      <c r="BA1" t="s">
        <v>28</v>
      </c>
      <c r="BB1" t="s">
        <v>28</v>
      </c>
      <c r="BC1" t="s">
        <v>28</v>
      </c>
      <c r="BD1" t="s">
        <v>28</v>
      </c>
      <c r="BE1" t="s">
        <v>28</v>
      </c>
      <c r="BF1" t="s">
        <v>28</v>
      </c>
      <c r="BG1" t="s">
        <v>28</v>
      </c>
      <c r="BH1" t="s">
        <v>28</v>
      </c>
      <c r="BI1" t="s">
        <v>28</v>
      </c>
      <c r="BJ1" t="s">
        <v>28</v>
      </c>
      <c r="BK1" t="s">
        <v>28</v>
      </c>
      <c r="BL1" t="s">
        <v>28</v>
      </c>
      <c r="BM1" t="s">
        <v>28</v>
      </c>
      <c r="BN1" t="s">
        <v>28</v>
      </c>
      <c r="BO1" t="s">
        <v>28</v>
      </c>
      <c r="BP1" t="s">
        <v>28</v>
      </c>
      <c r="BQ1" t="s">
        <v>28</v>
      </c>
      <c r="BR1" t="s">
        <v>28</v>
      </c>
      <c r="BS1" t="s">
        <v>28</v>
      </c>
      <c r="BT1" t="s">
        <v>28</v>
      </c>
      <c r="BU1" t="s">
        <v>28</v>
      </c>
      <c r="BV1" t="s">
        <v>28</v>
      </c>
      <c r="BW1" t="s">
        <v>28</v>
      </c>
      <c r="BX1" t="s">
        <v>28</v>
      </c>
      <c r="BY1" t="s">
        <v>28</v>
      </c>
      <c r="BZ1" t="s">
        <v>28</v>
      </c>
      <c r="CA1" t="s">
        <v>28</v>
      </c>
      <c r="CB1" t="s">
        <v>28</v>
      </c>
      <c r="CC1" t="s">
        <v>28</v>
      </c>
      <c r="CD1" t="s">
        <v>28</v>
      </c>
      <c r="CM1" s="12"/>
      <c r="CN1" s="12"/>
      <c r="CO1" s="12"/>
    </row>
    <row r="2" spans="1:95" x14ac:dyDescent="0.2">
      <c r="A2" s="2" t="s">
        <v>3</v>
      </c>
      <c r="B2" t="s">
        <v>74</v>
      </c>
      <c r="C2" t="s">
        <v>75</v>
      </c>
      <c r="D2" t="s">
        <v>76</v>
      </c>
      <c r="E2" t="s">
        <v>77</v>
      </c>
      <c r="F2" t="s">
        <v>78</v>
      </c>
      <c r="G2" t="s">
        <v>80</v>
      </c>
      <c r="H2" t="s">
        <v>81</v>
      </c>
      <c r="I2" t="s">
        <v>82</v>
      </c>
      <c r="J2" t="s">
        <v>83</v>
      </c>
      <c r="K2" t="s">
        <v>84</v>
      </c>
      <c r="L2" t="s">
        <v>85</v>
      </c>
      <c r="M2" t="s">
        <v>86</v>
      </c>
      <c r="N2" t="s">
        <v>87</v>
      </c>
      <c r="O2" t="s">
        <v>88</v>
      </c>
      <c r="P2" t="s">
        <v>89</v>
      </c>
      <c r="Q2" t="s">
        <v>90</v>
      </c>
      <c r="R2" t="s">
        <v>91</v>
      </c>
      <c r="S2" t="s">
        <v>92</v>
      </c>
      <c r="T2" t="s">
        <v>93</v>
      </c>
      <c r="U2" t="s">
        <v>94</v>
      </c>
      <c r="V2" t="s">
        <v>95</v>
      </c>
      <c r="W2" t="s">
        <v>97</v>
      </c>
      <c r="X2" t="s">
        <v>98</v>
      </c>
      <c r="Y2" t="s">
        <v>99</v>
      </c>
      <c r="Z2" t="s">
        <v>100</v>
      </c>
      <c r="AA2" t="s">
        <v>101</v>
      </c>
      <c r="AB2" t="s">
        <v>102</v>
      </c>
      <c r="AC2" t="s">
        <v>103</v>
      </c>
      <c r="AD2" t="s">
        <v>104</v>
      </c>
      <c r="AE2" t="s">
        <v>105</v>
      </c>
      <c r="AF2" t="s">
        <v>106</v>
      </c>
      <c r="AG2" t="s">
        <v>107</v>
      </c>
      <c r="AH2" t="s">
        <v>108</v>
      </c>
      <c r="AI2" t="s">
        <v>109</v>
      </c>
      <c r="AJ2" t="s">
        <v>110</v>
      </c>
      <c r="AK2" t="s">
        <v>111</v>
      </c>
      <c r="AL2" t="s">
        <v>112</v>
      </c>
      <c r="AM2" t="s">
        <v>113</v>
      </c>
      <c r="AN2" t="s">
        <v>114</v>
      </c>
      <c r="AO2" t="s">
        <v>115</v>
      </c>
      <c r="AP2" t="s">
        <v>116</v>
      </c>
      <c r="AQ2" t="s">
        <v>117</v>
      </c>
      <c r="AR2" t="s">
        <v>118</v>
      </c>
      <c r="AS2" t="s">
        <v>119</v>
      </c>
      <c r="AT2" t="s">
        <v>124</v>
      </c>
      <c r="AU2" t="s">
        <v>123</v>
      </c>
      <c r="AV2" t="s">
        <v>126</v>
      </c>
      <c r="AW2" t="s">
        <v>133</v>
      </c>
      <c r="AX2" t="s">
        <v>134</v>
      </c>
      <c r="AY2" t="s">
        <v>135</v>
      </c>
      <c r="AZ2" t="s">
        <v>136</v>
      </c>
      <c r="BA2" t="s">
        <v>137</v>
      </c>
      <c r="BB2" t="s">
        <v>138</v>
      </c>
      <c r="BC2" t="s">
        <v>139</v>
      </c>
      <c r="BD2" t="s">
        <v>140</v>
      </c>
      <c r="BE2" t="s">
        <v>127</v>
      </c>
      <c r="BF2" t="s">
        <v>128</v>
      </c>
      <c r="BG2" t="s">
        <v>129</v>
      </c>
      <c r="BH2" t="s">
        <v>130</v>
      </c>
      <c r="BI2" t="s">
        <v>131</v>
      </c>
      <c r="BJ2" t="s">
        <v>132</v>
      </c>
      <c r="BK2" t="s">
        <v>160</v>
      </c>
      <c r="BL2" t="s">
        <v>188</v>
      </c>
      <c r="BM2" t="s">
        <v>162</v>
      </c>
      <c r="BN2" t="s">
        <v>163</v>
      </c>
      <c r="BO2" t="s">
        <v>164</v>
      </c>
      <c r="BP2" t="s">
        <v>165</v>
      </c>
      <c r="BQ2" t="s">
        <v>166</v>
      </c>
      <c r="BR2" t="s">
        <v>167</v>
      </c>
      <c r="BS2" t="s">
        <v>168</v>
      </c>
      <c r="BT2" t="s">
        <v>190</v>
      </c>
      <c r="BU2" t="s">
        <v>169</v>
      </c>
      <c r="BV2" t="s">
        <v>191</v>
      </c>
      <c r="BW2" t="s">
        <v>157</v>
      </c>
      <c r="BX2" t="s">
        <v>192</v>
      </c>
      <c r="BY2" t="s">
        <v>158</v>
      </c>
      <c r="BZ2" t="s">
        <v>159</v>
      </c>
      <c r="CA2" t="s">
        <v>193</v>
      </c>
      <c r="CB2" t="s">
        <v>194</v>
      </c>
      <c r="CC2" t="s">
        <v>161</v>
      </c>
      <c r="CD2" t="s">
        <v>213</v>
      </c>
      <c r="CM2" s="12"/>
      <c r="CN2" s="12"/>
      <c r="CO2" s="12"/>
    </row>
    <row r="3" spans="1:95" x14ac:dyDescent="0.2">
      <c r="A3" t="s">
        <v>73</v>
      </c>
      <c r="B3">
        <v>6.391800536699999</v>
      </c>
      <c r="C3">
        <v>3.1770135480600001</v>
      </c>
      <c r="D3">
        <v>12.816808360899998</v>
      </c>
      <c r="E3">
        <v>6.4393644018000007</v>
      </c>
      <c r="F3">
        <v>4.1415547519999993</v>
      </c>
      <c r="G3">
        <v>6.7330414951999993</v>
      </c>
      <c r="H3">
        <v>6.1017497671000003</v>
      </c>
      <c r="I3">
        <v>5.2679979476000014</v>
      </c>
      <c r="J3">
        <v>1.9426925711999996</v>
      </c>
      <c r="K3">
        <v>7.2663764387999992</v>
      </c>
      <c r="L3">
        <v>9.8133792090527017</v>
      </c>
      <c r="M3">
        <v>5.9634416576470928</v>
      </c>
      <c r="N3">
        <v>8.621972916599999</v>
      </c>
      <c r="O3">
        <v>6.9784064186600006</v>
      </c>
      <c r="P3">
        <v>5.9439750680000003</v>
      </c>
      <c r="Q3">
        <v>9.3769842030999975</v>
      </c>
      <c r="R3">
        <v>5.7659015617000007</v>
      </c>
      <c r="S3">
        <v>4.9435101709999989</v>
      </c>
      <c r="T3">
        <v>6.3687977963999991</v>
      </c>
      <c r="U3">
        <v>4.2012945678399998</v>
      </c>
      <c r="V3">
        <v>1.94224344706537</v>
      </c>
      <c r="W3">
        <v>5.6914977681000014</v>
      </c>
      <c r="X3">
        <v>3.5272978020000001</v>
      </c>
      <c r="Y3">
        <v>3.3474243279999998</v>
      </c>
      <c r="Z3">
        <v>1.9251146577599998</v>
      </c>
      <c r="AA3">
        <v>1.9583813354699993</v>
      </c>
      <c r="AB3">
        <v>12.688791656000001</v>
      </c>
      <c r="AC3">
        <v>4.3809950771999997</v>
      </c>
      <c r="AD3">
        <v>6.8273253735999999</v>
      </c>
      <c r="AE3">
        <v>2.3971099300000001</v>
      </c>
      <c r="AF3">
        <v>3.900568452299999</v>
      </c>
      <c r="AG3">
        <v>4.0726768946000007</v>
      </c>
      <c r="AH3">
        <v>7.5345529800000008</v>
      </c>
      <c r="AI3">
        <v>4.4405213595999999</v>
      </c>
      <c r="AJ3">
        <v>2.5034119380000006</v>
      </c>
      <c r="AK3">
        <v>5.8217415102857135</v>
      </c>
      <c r="AL3">
        <v>5.4120773374000004</v>
      </c>
      <c r="AM3">
        <v>3.1308680299499994</v>
      </c>
      <c r="AN3">
        <v>2.1530791841999997</v>
      </c>
      <c r="AO3">
        <v>4.6828832297511145</v>
      </c>
      <c r="AP3">
        <v>4.5696121390500002</v>
      </c>
      <c r="AQ3">
        <v>5.4771448991999998</v>
      </c>
      <c r="AR3">
        <v>4.5332182904499998</v>
      </c>
      <c r="AS3">
        <v>6.2772916932000005</v>
      </c>
      <c r="AT3">
        <v>7.2507659897804499</v>
      </c>
      <c r="AU3">
        <v>5.2424940364182175</v>
      </c>
      <c r="AV3">
        <v>7.8035580797046311</v>
      </c>
      <c r="AW3">
        <v>4.3081732437999998</v>
      </c>
      <c r="AX3">
        <v>5.9116515077315306</v>
      </c>
      <c r="AY3">
        <v>6.3690267548859678</v>
      </c>
      <c r="AZ3">
        <v>1.9958043233230687</v>
      </c>
      <c r="BA3">
        <v>5.0152046884003711</v>
      </c>
      <c r="BB3">
        <v>2.8197356420516986</v>
      </c>
      <c r="BC3">
        <v>6.8148693932681876</v>
      </c>
      <c r="BD3">
        <v>5.2707788291051818</v>
      </c>
      <c r="BE3">
        <v>3.9566496721089051</v>
      </c>
      <c r="BF3">
        <v>5.5692706669773777</v>
      </c>
      <c r="BG3">
        <v>4.7930427101559818</v>
      </c>
      <c r="BH3">
        <v>4.9504883473366341</v>
      </c>
      <c r="BI3">
        <v>10.871165677992973</v>
      </c>
      <c r="BJ3">
        <v>7.4679808898985423</v>
      </c>
      <c r="BK3">
        <v>19.946134186819162</v>
      </c>
      <c r="BL3">
        <v>6.4223087544769069</v>
      </c>
      <c r="BM3">
        <v>3.6916910040154773</v>
      </c>
      <c r="BN3">
        <v>3.9347221929654719</v>
      </c>
      <c r="BO3">
        <v>3.9347221929654719</v>
      </c>
      <c r="BP3">
        <v>3.9347221929654719</v>
      </c>
      <c r="BQ3">
        <v>3.6236144062996232</v>
      </c>
      <c r="BR3">
        <v>4.5734651714511285</v>
      </c>
      <c r="BS3">
        <v>6.030428868010616</v>
      </c>
      <c r="BT3">
        <v>6.5530017198397887</v>
      </c>
      <c r="BU3">
        <v>3.777933176509281</v>
      </c>
      <c r="BV3">
        <v>21.360497201093356</v>
      </c>
      <c r="BW3">
        <v>5.1578729531264251</v>
      </c>
      <c r="BX3">
        <v>7.618925827711827</v>
      </c>
      <c r="BY3">
        <v>3.010194052165716</v>
      </c>
      <c r="BZ3">
        <v>4.5653243432231205</v>
      </c>
      <c r="CA3">
        <v>2.6636050095151971</v>
      </c>
      <c r="CB3">
        <v>4.3495176746170765</v>
      </c>
      <c r="CC3">
        <v>4.424043523818284</v>
      </c>
      <c r="CD3">
        <v>1.5789424310550071</v>
      </c>
      <c r="CM3" s="12"/>
      <c r="CN3" s="12"/>
      <c r="CO3" s="12"/>
    </row>
    <row r="4" spans="1:95" x14ac:dyDescent="0.2">
      <c r="A4" s="3" t="s">
        <v>1</v>
      </c>
      <c r="B4" t="s">
        <v>72</v>
      </c>
      <c r="C4" t="s">
        <v>72</v>
      </c>
      <c r="D4" t="s">
        <v>72</v>
      </c>
      <c r="E4" t="s">
        <v>72</v>
      </c>
      <c r="F4" t="s">
        <v>72</v>
      </c>
      <c r="G4" t="s">
        <v>72</v>
      </c>
      <c r="H4" t="s">
        <v>72</v>
      </c>
      <c r="I4" t="s">
        <v>72</v>
      </c>
      <c r="J4" t="s">
        <v>72</v>
      </c>
      <c r="K4" t="s">
        <v>72</v>
      </c>
      <c r="L4" t="s">
        <v>72</v>
      </c>
      <c r="M4" t="s">
        <v>72</v>
      </c>
      <c r="N4" t="s">
        <v>72</v>
      </c>
      <c r="O4" t="s">
        <v>72</v>
      </c>
      <c r="P4" t="s">
        <v>72</v>
      </c>
      <c r="Q4" t="s">
        <v>72</v>
      </c>
      <c r="R4" t="s">
        <v>72</v>
      </c>
      <c r="S4" t="s">
        <v>72</v>
      </c>
      <c r="T4" t="s">
        <v>72</v>
      </c>
      <c r="U4" t="s">
        <v>72</v>
      </c>
      <c r="V4" t="s">
        <v>72</v>
      </c>
      <c r="W4" t="s">
        <v>72</v>
      </c>
      <c r="X4" t="s">
        <v>72</v>
      </c>
      <c r="Y4" t="s">
        <v>72</v>
      </c>
      <c r="Z4" t="s">
        <v>72</v>
      </c>
      <c r="AA4" t="s">
        <v>72</v>
      </c>
      <c r="AB4" t="s">
        <v>72</v>
      </c>
      <c r="AC4" t="s">
        <v>72</v>
      </c>
      <c r="AD4" t="s">
        <v>72</v>
      </c>
      <c r="AE4" t="s">
        <v>72</v>
      </c>
      <c r="AF4" t="s">
        <v>72</v>
      </c>
      <c r="AG4" t="s">
        <v>72</v>
      </c>
      <c r="AH4" t="s">
        <v>72</v>
      </c>
      <c r="AI4" t="s">
        <v>72</v>
      </c>
      <c r="AJ4" t="s">
        <v>72</v>
      </c>
      <c r="AK4" t="s">
        <v>72</v>
      </c>
      <c r="AL4" t="s">
        <v>72</v>
      </c>
      <c r="AM4" t="s">
        <v>72</v>
      </c>
      <c r="AN4" t="s">
        <v>72</v>
      </c>
      <c r="AO4" t="s">
        <v>72</v>
      </c>
      <c r="AP4" t="s">
        <v>72</v>
      </c>
      <c r="AQ4" t="s">
        <v>72</v>
      </c>
      <c r="AR4" t="s">
        <v>72</v>
      </c>
      <c r="AS4" t="s">
        <v>72</v>
      </c>
      <c r="AT4" t="s">
        <v>72</v>
      </c>
      <c r="AU4" t="s">
        <v>72</v>
      </c>
      <c r="AV4" t="s">
        <v>72</v>
      </c>
      <c r="AW4" t="s">
        <v>155</v>
      </c>
      <c r="AX4" t="s">
        <v>155</v>
      </c>
      <c r="AY4" t="s">
        <v>155</v>
      </c>
      <c r="AZ4" t="s">
        <v>155</v>
      </c>
      <c r="BA4" t="s">
        <v>155</v>
      </c>
      <c r="BB4" t="s">
        <v>155</v>
      </c>
      <c r="BC4" t="s">
        <v>155</v>
      </c>
      <c r="BD4" t="s">
        <v>155</v>
      </c>
      <c r="BE4" t="s">
        <v>155</v>
      </c>
      <c r="BF4" t="s">
        <v>155</v>
      </c>
      <c r="BG4" t="s">
        <v>155</v>
      </c>
      <c r="BH4" t="s">
        <v>155</v>
      </c>
      <c r="BI4" t="s">
        <v>155</v>
      </c>
      <c r="BJ4" t="s">
        <v>155</v>
      </c>
      <c r="BK4" t="s">
        <v>187</v>
      </c>
      <c r="BL4" t="s">
        <v>187</v>
      </c>
      <c r="BM4" t="s">
        <v>187</v>
      </c>
      <c r="BN4" t="s">
        <v>187</v>
      </c>
      <c r="BO4" t="s">
        <v>187</v>
      </c>
      <c r="BP4" t="s">
        <v>187</v>
      </c>
      <c r="BQ4" t="s">
        <v>187</v>
      </c>
      <c r="BR4" t="s">
        <v>187</v>
      </c>
      <c r="BS4" t="s">
        <v>187</v>
      </c>
      <c r="BT4" t="s">
        <v>187</v>
      </c>
      <c r="BU4" t="s">
        <v>187</v>
      </c>
      <c r="BV4" t="s">
        <v>187</v>
      </c>
      <c r="BW4" t="s">
        <v>187</v>
      </c>
      <c r="BX4" t="s">
        <v>187</v>
      </c>
      <c r="BY4" t="s">
        <v>187</v>
      </c>
      <c r="BZ4" t="s">
        <v>187</v>
      </c>
      <c r="CA4" t="s">
        <v>187</v>
      </c>
      <c r="CB4" t="s">
        <v>187</v>
      </c>
      <c r="CC4" t="s">
        <v>187</v>
      </c>
      <c r="CD4" t="s">
        <v>187</v>
      </c>
      <c r="CM4" s="12"/>
      <c r="CN4" s="12"/>
      <c r="CO4" s="12"/>
    </row>
    <row r="5" spans="1:95" x14ac:dyDescent="0.2">
      <c r="A5" s="3" t="s">
        <v>0</v>
      </c>
      <c r="B5" t="s">
        <v>29</v>
      </c>
      <c r="C5" t="s">
        <v>30</v>
      </c>
      <c r="D5" t="s">
        <v>31</v>
      </c>
      <c r="E5" t="s">
        <v>32</v>
      </c>
      <c r="F5" t="s">
        <v>33</v>
      </c>
      <c r="G5" t="s">
        <v>34</v>
      </c>
      <c r="H5" t="s">
        <v>35</v>
      </c>
      <c r="I5" t="s">
        <v>36</v>
      </c>
      <c r="J5" t="s">
        <v>37</v>
      </c>
      <c r="K5" t="s">
        <v>38</v>
      </c>
      <c r="L5" t="s">
        <v>39</v>
      </c>
      <c r="M5" t="s">
        <v>40</v>
      </c>
      <c r="N5" t="s">
        <v>41</v>
      </c>
      <c r="O5" t="s">
        <v>42</v>
      </c>
      <c r="P5" t="s">
        <v>43</v>
      </c>
      <c r="Q5" t="s">
        <v>44</v>
      </c>
      <c r="R5" t="s">
        <v>45</v>
      </c>
      <c r="S5" t="s">
        <v>46</v>
      </c>
      <c r="T5" t="s">
        <v>47</v>
      </c>
      <c r="U5" t="s">
        <v>48</v>
      </c>
      <c r="V5" t="s">
        <v>96</v>
      </c>
      <c r="W5" t="s">
        <v>49</v>
      </c>
      <c r="X5" t="s">
        <v>50</v>
      </c>
      <c r="Y5" t="s">
        <v>51</v>
      </c>
      <c r="Z5" t="s">
        <v>52</v>
      </c>
      <c r="AA5" t="s">
        <v>53</v>
      </c>
      <c r="AB5" t="s">
        <v>54</v>
      </c>
      <c r="AC5" t="s">
        <v>55</v>
      </c>
      <c r="AD5" t="s">
        <v>56</v>
      </c>
      <c r="AE5" t="s">
        <v>57</v>
      </c>
      <c r="AF5" t="s">
        <v>58</v>
      </c>
      <c r="AG5" t="s">
        <v>59</v>
      </c>
      <c r="AH5" t="s">
        <v>60</v>
      </c>
      <c r="AI5" t="s">
        <v>61</v>
      </c>
      <c r="AJ5" t="s">
        <v>62</v>
      </c>
      <c r="AK5" t="s">
        <v>63</v>
      </c>
      <c r="AL5" t="s">
        <v>64</v>
      </c>
      <c r="AM5" t="s">
        <v>65</v>
      </c>
      <c r="AN5" t="s">
        <v>66</v>
      </c>
      <c r="AO5" t="s">
        <v>67</v>
      </c>
      <c r="AP5" t="s">
        <v>68</v>
      </c>
      <c r="AQ5" t="s">
        <v>69</v>
      </c>
      <c r="AR5" t="s">
        <v>70</v>
      </c>
      <c r="AS5" t="s">
        <v>71</v>
      </c>
      <c r="AT5" t="s">
        <v>121</v>
      </c>
      <c r="AU5" t="s">
        <v>122</v>
      </c>
      <c r="AV5" t="s">
        <v>125</v>
      </c>
      <c r="AW5" t="s">
        <v>147</v>
      </c>
      <c r="AX5" t="s">
        <v>148</v>
      </c>
      <c r="AY5" t="s">
        <v>149</v>
      </c>
      <c r="AZ5" t="s">
        <v>150</v>
      </c>
      <c r="BA5" t="s">
        <v>151</v>
      </c>
      <c r="BB5" t="s">
        <v>152</v>
      </c>
      <c r="BC5" t="s">
        <v>153</v>
      </c>
      <c r="BD5" t="s">
        <v>154</v>
      </c>
      <c r="BE5" t="s">
        <v>141</v>
      </c>
      <c r="BF5" t="s">
        <v>142</v>
      </c>
      <c r="BG5" t="s">
        <v>143</v>
      </c>
      <c r="BH5" t="s">
        <v>144</v>
      </c>
      <c r="BI5" t="s">
        <v>145</v>
      </c>
      <c r="BJ5" t="s">
        <v>146</v>
      </c>
      <c r="BK5" t="s">
        <v>177</v>
      </c>
      <c r="BL5" t="s">
        <v>179</v>
      </c>
      <c r="BM5" t="s">
        <v>180</v>
      </c>
      <c r="BN5" t="s">
        <v>181</v>
      </c>
      <c r="BO5" t="s">
        <v>181</v>
      </c>
      <c r="BP5" t="s">
        <v>181</v>
      </c>
      <c r="BQ5" t="s">
        <v>182</v>
      </c>
      <c r="BR5" t="s">
        <v>183</v>
      </c>
      <c r="BS5" t="s">
        <v>184</v>
      </c>
      <c r="BT5" t="s">
        <v>185</v>
      </c>
      <c r="BU5" t="s">
        <v>186</v>
      </c>
      <c r="BV5" t="s">
        <v>170</v>
      </c>
      <c r="BW5" t="s">
        <v>171</v>
      </c>
      <c r="BX5" t="s">
        <v>172</v>
      </c>
      <c r="BY5" t="s">
        <v>173</v>
      </c>
      <c r="BZ5" t="s">
        <v>174</v>
      </c>
      <c r="CA5" t="s">
        <v>175</v>
      </c>
      <c r="CB5" t="s">
        <v>176</v>
      </c>
      <c r="CC5" t="s">
        <v>178</v>
      </c>
      <c r="CD5" t="s">
        <v>189</v>
      </c>
      <c r="CM5" s="12"/>
      <c r="CN5" s="12"/>
      <c r="CO5" s="12"/>
    </row>
    <row r="6" spans="1:95" x14ac:dyDescent="0.2">
      <c r="A6" s="3" t="s">
        <v>5</v>
      </c>
      <c r="CM6" s="12"/>
      <c r="CN6" s="12"/>
      <c r="CO6" s="12"/>
    </row>
    <row r="7" spans="1:95" x14ac:dyDescent="0.2">
      <c r="A7" s="3">
        <v>-80</v>
      </c>
      <c r="B7">
        <v>190.76965332031199</v>
      </c>
      <c r="C7">
        <v>-38.082721710205</v>
      </c>
      <c r="D7">
        <v>111.418312072753</v>
      </c>
      <c r="E7">
        <v>-95.995208740234304</v>
      </c>
      <c r="F7">
        <v>155.65625</v>
      </c>
      <c r="G7">
        <v>17.611221313476499</v>
      </c>
      <c r="H7">
        <v>-16.6372966766357</v>
      </c>
      <c r="I7">
        <v>30.2675971984863</v>
      </c>
      <c r="J7">
        <v>47.2872924804687</v>
      </c>
      <c r="K7">
        <v>22.38041395694016</v>
      </c>
      <c r="L7">
        <v>13.679980278015099</v>
      </c>
      <c r="M7">
        <v>-56.523017883300703</v>
      </c>
      <c r="N7">
        <v>30.702392578125</v>
      </c>
      <c r="O7">
        <v>-39.011264801025298</v>
      </c>
      <c r="P7">
        <v>30.5172119140625</v>
      </c>
      <c r="Q7">
        <v>25.286552429199201</v>
      </c>
      <c r="R7">
        <v>25.981309890746999</v>
      </c>
      <c r="S7">
        <v>-23.775930404663001</v>
      </c>
      <c r="T7">
        <v>19.610031127929599</v>
      </c>
      <c r="U7">
        <v>20.29150390625</v>
      </c>
      <c r="V7">
        <v>10.7008743286132</v>
      </c>
      <c r="W7">
        <v>15.0000762939453</v>
      </c>
      <c r="X7">
        <v>-17.044338226318299</v>
      </c>
      <c r="Y7">
        <v>0.573794364929199</v>
      </c>
      <c r="Z7" s="5">
        <v>12.395503997802701</v>
      </c>
      <c r="AA7">
        <v>8.7450313568115199</v>
      </c>
      <c r="AB7">
        <v>-38.070217132568303</v>
      </c>
      <c r="AC7">
        <v>-33.903030395507798</v>
      </c>
      <c r="AD7">
        <v>37.177040100097599</v>
      </c>
      <c r="AE7">
        <v>-31.798643112182599</v>
      </c>
      <c r="AF7">
        <v>-29.227514266967699</v>
      </c>
      <c r="AG7">
        <v>19.441356658935501</v>
      </c>
      <c r="AH7">
        <v>-43.958023071288999</v>
      </c>
      <c r="AI7">
        <v>-11.8326759338378</v>
      </c>
      <c r="AJ7">
        <v>-26.075401306152301</v>
      </c>
      <c r="AK7">
        <v>-14.5396728515625</v>
      </c>
      <c r="AL7">
        <v>-22.015884399413999</v>
      </c>
      <c r="AM7">
        <v>10.5126190185546</v>
      </c>
      <c r="AN7">
        <v>13.8812103271484</v>
      </c>
      <c r="AO7">
        <v>-16.7390327453613</v>
      </c>
      <c r="AP7">
        <v>6.2398910522460902</v>
      </c>
      <c r="AQ7">
        <v>14.867637634277299</v>
      </c>
      <c r="AR7">
        <v>-16.475477218627901</v>
      </c>
      <c r="AS7">
        <v>-18.079044342041001</v>
      </c>
      <c r="AT7">
        <v>-16.791511535644517</v>
      </c>
      <c r="AU7">
        <v>5.9388561248779244</v>
      </c>
      <c r="AV7">
        <v>8.5445947647094709</v>
      </c>
      <c r="AW7">
        <v>41.118072509765597</v>
      </c>
      <c r="AX7">
        <v>-42.305526733398402</v>
      </c>
      <c r="AY7" s="3">
        <v>15.10483169555661</v>
      </c>
      <c r="AZ7">
        <v>9.1045684814453107</v>
      </c>
      <c r="BA7">
        <v>0.77019850413006452</v>
      </c>
      <c r="BC7">
        <v>1.7952861785889027</v>
      </c>
      <c r="BD7">
        <v>34.8124389648437</v>
      </c>
      <c r="BF7">
        <v>9.4449739456176705</v>
      </c>
      <c r="BG7">
        <v>40.782829284667898</v>
      </c>
      <c r="BH7">
        <v>-9.1678543090820295</v>
      </c>
      <c r="BI7">
        <v>30.844509124755799</v>
      </c>
      <c r="BJ7" s="3">
        <v>1.0223388671875195</v>
      </c>
      <c r="BK7" s="3">
        <v>-31.821026431059479</v>
      </c>
      <c r="BL7" s="3">
        <v>4.20733642578125</v>
      </c>
      <c r="BM7">
        <v>-9.2414932250976491</v>
      </c>
      <c r="BN7">
        <v>19.627761840820298</v>
      </c>
      <c r="BO7">
        <v>26.3508605957031</v>
      </c>
      <c r="BP7">
        <v>14.2982521057128</v>
      </c>
      <c r="BQ7">
        <v>26.838419914245549</v>
      </c>
      <c r="BR7">
        <v>3.9710299173990671</v>
      </c>
      <c r="BS7">
        <v>-1.7510398864746406</v>
      </c>
      <c r="BT7">
        <v>10.474658648173</v>
      </c>
      <c r="BU7">
        <v>4.53997802734375</v>
      </c>
      <c r="BV7">
        <v>-8.660410722096751</v>
      </c>
      <c r="BW7">
        <v>10.029883384704499</v>
      </c>
      <c r="BX7">
        <v>0.24005934851510524</v>
      </c>
      <c r="BY7">
        <v>-22.649154663085898</v>
      </c>
      <c r="BZ7">
        <v>15.437969207763601</v>
      </c>
      <c r="CA7">
        <v>-1.2481498718261754</v>
      </c>
      <c r="CB7">
        <v>-0.3046956062316924</v>
      </c>
      <c r="CC7">
        <v>-21.544890403747502</v>
      </c>
      <c r="CD7">
        <v>0.71010780334473278</v>
      </c>
      <c r="CM7" s="12"/>
      <c r="CN7" s="12"/>
      <c r="CO7" s="12"/>
    </row>
    <row r="8" spans="1:95" x14ac:dyDescent="0.2">
      <c r="A8" s="3">
        <f>A7+10</f>
        <v>-70</v>
      </c>
      <c r="B8">
        <v>-171.66584777832</v>
      </c>
      <c r="C8">
        <v>33.026847839355398</v>
      </c>
      <c r="D8">
        <v>115.298950195312</v>
      </c>
      <c r="E8">
        <v>-68.263824462890597</v>
      </c>
      <c r="F8">
        <v>160.567779541015</v>
      </c>
      <c r="G8">
        <v>14.131690979003899</v>
      </c>
      <c r="H8">
        <v>-20.268800735473601</v>
      </c>
      <c r="I8">
        <v>44.698574066162102</v>
      </c>
      <c r="J8">
        <v>-45.067283630371001</v>
      </c>
      <c r="K8">
        <v>26.269493550062126</v>
      </c>
      <c r="L8">
        <v>15.7322788238525</v>
      </c>
      <c r="M8">
        <v>59.813980102538999</v>
      </c>
      <c r="N8">
        <v>33.8306274414062</v>
      </c>
      <c r="O8">
        <v>26.139236450195298</v>
      </c>
      <c r="P8">
        <v>25.163330078125</v>
      </c>
      <c r="Q8">
        <v>37.043163299560497</v>
      </c>
      <c r="R8">
        <v>25.273336410522401</v>
      </c>
      <c r="S8">
        <v>-23.960990905761701</v>
      </c>
      <c r="T8">
        <v>23.2780151367187</v>
      </c>
      <c r="U8">
        <v>17.5074462890625</v>
      </c>
      <c r="V8">
        <v>11.296058654785099</v>
      </c>
      <c r="W8">
        <v>-18.2674255371093</v>
      </c>
      <c r="X8">
        <v>-16.4230422973632</v>
      </c>
      <c r="Y8">
        <v>-11.2819671630859</v>
      </c>
      <c r="Z8" s="5">
        <v>-11.7094659805297</v>
      </c>
      <c r="AA8">
        <v>-9.1299829483032209</v>
      </c>
      <c r="AB8">
        <v>31.742179870605401</v>
      </c>
      <c r="AC8">
        <v>29.896389007568299</v>
      </c>
      <c r="AD8">
        <v>30.940902709960898</v>
      </c>
      <c r="AE8">
        <v>31.4063625335693</v>
      </c>
      <c r="AF8">
        <v>33.7516479492187</v>
      </c>
      <c r="AG8">
        <v>14.729854583740201</v>
      </c>
      <c r="AH8">
        <v>28.689064025878899</v>
      </c>
      <c r="AI8">
        <v>-20.094985961913999</v>
      </c>
      <c r="AJ8">
        <v>-20.876796722412099</v>
      </c>
      <c r="AK8">
        <v>14.6983642578125</v>
      </c>
      <c r="AL8">
        <v>11.4440765380859</v>
      </c>
      <c r="AM8">
        <v>-10.280326843261699</v>
      </c>
      <c r="AN8">
        <v>16.812179565429599</v>
      </c>
      <c r="AO8">
        <v>17.0777587890625</v>
      </c>
      <c r="AP8">
        <v>10.5342864990234</v>
      </c>
      <c r="AQ8">
        <v>20.110359191894499</v>
      </c>
      <c r="AR8">
        <v>9.6235170364379794</v>
      </c>
      <c r="AS8">
        <v>15.4048309326171</v>
      </c>
      <c r="AT8">
        <v>11.100631713867179</v>
      </c>
      <c r="AU8">
        <v>16.950634002685501</v>
      </c>
      <c r="AV8">
        <v>10.316704750061</v>
      </c>
      <c r="AW8">
        <v>59.056640625</v>
      </c>
      <c r="AX8">
        <v>48.780380249023402</v>
      </c>
      <c r="AY8" s="3">
        <v>2.6458676656087348</v>
      </c>
      <c r="AZ8">
        <v>12.5026550292968</v>
      </c>
      <c r="BA8">
        <v>-0.70763937632243312</v>
      </c>
      <c r="BC8">
        <v>-1.9563846588134979</v>
      </c>
      <c r="BD8">
        <v>-15.4599704742431</v>
      </c>
      <c r="BE8">
        <v>-30.331871032714801</v>
      </c>
      <c r="BF8">
        <v>16.939357757568299</v>
      </c>
      <c r="BG8">
        <v>-28.5054416656494</v>
      </c>
      <c r="BH8">
        <v>-11.046104431152299</v>
      </c>
      <c r="BI8">
        <v>12.989249229431101</v>
      </c>
      <c r="BJ8" s="3">
        <v>-2.4566650390624805</v>
      </c>
      <c r="BK8" s="3">
        <v>-27.163810792334459</v>
      </c>
      <c r="BL8" s="3">
        <v>3.8799591064453098</v>
      </c>
      <c r="BM8">
        <v>9.6204376220703107</v>
      </c>
      <c r="BN8">
        <v>29.478507995605401</v>
      </c>
      <c r="BO8">
        <v>-17.554180145263601</v>
      </c>
      <c r="BP8">
        <v>17.208507537841701</v>
      </c>
      <c r="BQ8">
        <v>45.156175613403299</v>
      </c>
      <c r="BR8">
        <v>-27.255146026611268</v>
      </c>
      <c r="BS8">
        <v>-22.568683624267539</v>
      </c>
      <c r="BT8">
        <v>12.265464782714801</v>
      </c>
      <c r="BU8">
        <v>-26.1592102050781</v>
      </c>
      <c r="BV8">
        <v>-0.13907591501873343</v>
      </c>
      <c r="BW8">
        <v>12.668966293334901</v>
      </c>
      <c r="BX8">
        <v>-8.315199443272725E-2</v>
      </c>
      <c r="BY8">
        <v>-29.5943298339843</v>
      </c>
      <c r="BZ8">
        <v>8.2727127075195295</v>
      </c>
      <c r="CA8">
        <v>4.420886993408204</v>
      </c>
      <c r="CB8">
        <v>-1.1887609163919999</v>
      </c>
      <c r="CC8">
        <v>21.04998111724845</v>
      </c>
      <c r="CD8">
        <v>0.57384681701659357</v>
      </c>
      <c r="CM8" s="12"/>
      <c r="CN8" s="12"/>
      <c r="CO8" s="12"/>
    </row>
    <row r="9" spans="1:95" x14ac:dyDescent="0.2">
      <c r="A9" s="3">
        <f t="shared" ref="A9:A27" si="0">A8+10</f>
        <v>-60</v>
      </c>
      <c r="B9">
        <v>-162.92907714843699</v>
      </c>
      <c r="C9">
        <v>46.089645385742102</v>
      </c>
      <c r="D9">
        <v>137.6005859375</v>
      </c>
      <c r="E9">
        <v>-51.5690307617187</v>
      </c>
      <c r="F9">
        <v>-155.39340209960901</v>
      </c>
      <c r="G9">
        <v>20.464401245117099</v>
      </c>
      <c r="H9">
        <v>18.731956481933501</v>
      </c>
      <c r="I9">
        <v>56.624717712402301</v>
      </c>
      <c r="J9">
        <v>-42.3326606750488</v>
      </c>
      <c r="K9">
        <v>22.876003138720922</v>
      </c>
      <c r="L9">
        <v>17.366949081420799</v>
      </c>
      <c r="M9">
        <v>-58.1466674804687</v>
      </c>
      <c r="N9">
        <v>42.433403015136697</v>
      </c>
      <c r="O9">
        <v>20.1372680664062</v>
      </c>
      <c r="P9">
        <v>-37.3173828125</v>
      </c>
      <c r="Q9">
        <v>54.268295288085902</v>
      </c>
      <c r="R9">
        <v>18.552017211913999</v>
      </c>
      <c r="S9">
        <v>-20.609144210815401</v>
      </c>
      <c r="T9">
        <v>20.0849304199218</v>
      </c>
      <c r="U9">
        <v>20.6662902832031</v>
      </c>
      <c r="V9">
        <v>8.8187189102172798</v>
      </c>
      <c r="W9">
        <v>-20.411911010742099</v>
      </c>
      <c r="X9">
        <v>-18.40425491333</v>
      </c>
      <c r="Y9">
        <v>-41.645366668701101</v>
      </c>
      <c r="Z9" s="5">
        <v>-10.7615499496459</v>
      </c>
      <c r="AA9">
        <v>-10.9734077453613</v>
      </c>
      <c r="AB9">
        <v>-26.799415588378899</v>
      </c>
      <c r="AC9">
        <v>40.667648315429602</v>
      </c>
      <c r="AD9">
        <v>26.922426223754801</v>
      </c>
      <c r="AE9">
        <v>-37.719451904296797</v>
      </c>
      <c r="AF9">
        <v>-33.349765777587798</v>
      </c>
      <c r="AG9">
        <v>24.774478912353501</v>
      </c>
      <c r="AH9">
        <v>-43.324783325195298</v>
      </c>
      <c r="AI9">
        <v>-15.681758880615201</v>
      </c>
      <c r="AJ9">
        <v>-26.355125427246001</v>
      </c>
      <c r="AK9">
        <v>-13.343505859375</v>
      </c>
      <c r="AL9">
        <v>12.5376663208007</v>
      </c>
      <c r="AM9">
        <v>-10.3905487060546</v>
      </c>
      <c r="AN9">
        <v>17.326217651367099</v>
      </c>
      <c r="AO9">
        <v>17.948112487792901</v>
      </c>
      <c r="AP9">
        <v>14.251708984375</v>
      </c>
      <c r="AQ9">
        <v>-19.040584564208899</v>
      </c>
      <c r="AR9">
        <v>-13.3096857070922</v>
      </c>
      <c r="AS9">
        <v>13.630144119262599</v>
      </c>
      <c r="AT9">
        <v>11.519298553466795</v>
      </c>
      <c r="AU9">
        <v>19.348476409912074</v>
      </c>
      <c r="AV9">
        <v>17.988856124877881</v>
      </c>
      <c r="AW9">
        <v>57.690597534179602</v>
      </c>
      <c r="AX9">
        <v>-42.185089111328097</v>
      </c>
      <c r="AY9" s="3">
        <v>20.827137629191</v>
      </c>
      <c r="AZ9">
        <v>16.399223327636701</v>
      </c>
      <c r="BA9">
        <v>-2.2873207728068321</v>
      </c>
      <c r="BD9">
        <v>-20.766242980956999</v>
      </c>
      <c r="BE9">
        <v>-33.498245239257798</v>
      </c>
      <c r="BF9">
        <v>17.199779510498001</v>
      </c>
      <c r="BG9">
        <v>-17.571178436279201</v>
      </c>
      <c r="BH9">
        <v>-11.433082580566399</v>
      </c>
      <c r="BI9">
        <v>17.1305637359619</v>
      </c>
      <c r="BJ9" s="3">
        <v>2.8533935546874396</v>
      </c>
      <c r="BK9" s="3">
        <v>-9.9904326825146939</v>
      </c>
      <c r="BL9" s="3">
        <v>4.8379058837890598</v>
      </c>
      <c r="BM9">
        <v>-14.6851997375488</v>
      </c>
      <c r="BN9">
        <v>-25.364345550537099</v>
      </c>
      <c r="BO9">
        <v>22.414371490478501</v>
      </c>
      <c r="BP9">
        <v>23.804599761962798</v>
      </c>
      <c r="BQ9">
        <v>4.9353990554809499</v>
      </c>
      <c r="BR9">
        <v>-16.538263956705702</v>
      </c>
      <c r="BS9">
        <v>8.7991336822509396</v>
      </c>
      <c r="BT9">
        <v>18.091478347778267</v>
      </c>
      <c r="BU9">
        <v>13.7530975341796</v>
      </c>
      <c r="BV9">
        <v>-6.2929236094156771</v>
      </c>
      <c r="BW9">
        <v>12.644696235656699</v>
      </c>
      <c r="BX9">
        <v>-0.45743266514368308</v>
      </c>
      <c r="BY9">
        <v>33.786914825439403</v>
      </c>
      <c r="BZ9">
        <v>-12.5301971435546</v>
      </c>
      <c r="CA9">
        <v>9.1283264160155753</v>
      </c>
      <c r="CB9">
        <v>2.2975184122721348</v>
      </c>
      <c r="CC9">
        <v>1.1692719459533505</v>
      </c>
      <c r="CD9">
        <v>6.93485260009765</v>
      </c>
      <c r="CM9" s="12"/>
      <c r="CN9" s="12"/>
      <c r="CO9" s="12"/>
    </row>
    <row r="10" spans="1:95" x14ac:dyDescent="0.2">
      <c r="A10" s="3">
        <f t="shared" si="0"/>
        <v>-50</v>
      </c>
      <c r="B10">
        <v>-226.80325317382801</v>
      </c>
      <c r="C10">
        <v>-54.877880096435497</v>
      </c>
      <c r="D10">
        <v>140.14463806152301</v>
      </c>
      <c r="E10">
        <v>71.776763916015597</v>
      </c>
      <c r="F10">
        <v>140.92172241210901</v>
      </c>
      <c r="G10">
        <v>20.4826126098632</v>
      </c>
      <c r="H10">
        <v>-20.800121307373001</v>
      </c>
      <c r="I10">
        <v>70.137947082519503</v>
      </c>
      <c r="J10">
        <v>-38.526950836181598</v>
      </c>
      <c r="K10">
        <v>-27.470944359898567</v>
      </c>
      <c r="L10">
        <v>18.865856170654201</v>
      </c>
      <c r="M10">
        <v>-52.948753356933501</v>
      </c>
      <c r="N10">
        <v>-56.922904968261697</v>
      </c>
      <c r="O10">
        <v>-26.917945861816399</v>
      </c>
      <c r="P10">
        <v>26.3949584960937</v>
      </c>
      <c r="Q10">
        <v>55.167449951171797</v>
      </c>
      <c r="R10">
        <v>22.545646667480401</v>
      </c>
      <c r="S10">
        <v>-22.831842422485298</v>
      </c>
      <c r="T10">
        <v>-20.091751098632798</v>
      </c>
      <c r="U10">
        <v>-24.1463623046875</v>
      </c>
      <c r="V10">
        <v>12.6034994125366</v>
      </c>
      <c r="W10">
        <v>16.115554809570298</v>
      </c>
      <c r="X10">
        <v>-24.308677673339801</v>
      </c>
      <c r="Y10">
        <v>-30.488967895507798</v>
      </c>
      <c r="Z10" s="5">
        <v>15.833859443664499</v>
      </c>
      <c r="AA10">
        <v>16.118307113647401</v>
      </c>
      <c r="AB10">
        <v>30.5138225555419</v>
      </c>
      <c r="AC10">
        <v>48.5862617492675</v>
      </c>
      <c r="AD10">
        <v>30.1851501464843</v>
      </c>
      <c r="AE10">
        <v>-32.131057739257798</v>
      </c>
      <c r="AF10">
        <v>36.315517425537102</v>
      </c>
      <c r="AG10">
        <v>-16.914676666259702</v>
      </c>
      <c r="AH10">
        <v>51.000801086425703</v>
      </c>
      <c r="AI10">
        <v>-11.294517517089799</v>
      </c>
      <c r="AJ10">
        <v>11.057048797607401</v>
      </c>
      <c r="AK10">
        <v>-13.1587524414062</v>
      </c>
      <c r="AL10">
        <v>16.876205444335898</v>
      </c>
      <c r="AM10">
        <v>10.1172637939453</v>
      </c>
      <c r="AN10">
        <v>15.7201385498046</v>
      </c>
      <c r="AO10">
        <v>23.6293640136718</v>
      </c>
      <c r="AP10">
        <v>11.452674865722599</v>
      </c>
      <c r="AQ10">
        <v>-15.276927947998001</v>
      </c>
      <c r="AR10">
        <v>-15.9798164367675</v>
      </c>
      <c r="AS10">
        <v>-12.0608215332031</v>
      </c>
      <c r="AT10">
        <v>-10.750061035156238</v>
      </c>
      <c r="AU10">
        <v>23.458665847778274</v>
      </c>
      <c r="AV10">
        <v>11.919771766662581</v>
      </c>
      <c r="AW10">
        <v>56.702957153320298</v>
      </c>
      <c r="AX10">
        <v>52.471359252929602</v>
      </c>
      <c r="AY10" s="3">
        <v>14.478890101114899</v>
      </c>
      <c r="AZ10">
        <v>20.141456604003899</v>
      </c>
      <c r="BA10">
        <v>2.224761644999198</v>
      </c>
      <c r="BC10">
        <v>-0.85724067687989702</v>
      </c>
      <c r="BD10">
        <v>24.365972518920799</v>
      </c>
      <c r="BE10">
        <v>-38.286479949951101</v>
      </c>
      <c r="BF10">
        <v>25.1636543273925</v>
      </c>
      <c r="BG10">
        <v>-26.465431213378899</v>
      </c>
      <c r="BH10">
        <v>-14.881248474121</v>
      </c>
      <c r="BI10">
        <v>19.978122711181602</v>
      </c>
      <c r="BJ10" s="3"/>
      <c r="BK10" s="3">
        <v>6.4419599729809249</v>
      </c>
      <c r="BL10" s="3">
        <v>6.9624099731445304</v>
      </c>
      <c r="BM10">
        <v>15.417564392089799</v>
      </c>
      <c r="BN10">
        <v>42.420764923095703</v>
      </c>
      <c r="BO10">
        <v>26.369583129882798</v>
      </c>
      <c r="BP10">
        <v>30.190910339355401</v>
      </c>
      <c r="BQ10">
        <v>-1.7255907058715998</v>
      </c>
      <c r="BR10">
        <v>16.927229563395201</v>
      </c>
      <c r="BS10">
        <v>-4.7879814147949391</v>
      </c>
      <c r="BT10">
        <v>2.4568277994791665</v>
      </c>
      <c r="BV10">
        <v>-0.23663012186686019</v>
      </c>
      <c r="BW10">
        <v>13.602300643920801</v>
      </c>
      <c r="BX10">
        <v>0.20408391952514826</v>
      </c>
      <c r="BY10">
        <v>-25.467636108398398</v>
      </c>
      <c r="BZ10">
        <v>12.947135925292899</v>
      </c>
      <c r="CA10">
        <v>7.178607940673805</v>
      </c>
      <c r="CB10">
        <v>1.6076041857401389</v>
      </c>
      <c r="CC10">
        <v>21.47348976135245</v>
      </c>
      <c r="CD10">
        <v>5.0449333190917773</v>
      </c>
      <c r="CM10" s="12"/>
      <c r="CN10" s="12"/>
      <c r="CO10" s="12"/>
      <c r="CQ10" s="3"/>
    </row>
    <row r="11" spans="1:95" x14ac:dyDescent="0.2">
      <c r="A11" s="3">
        <f t="shared" si="0"/>
        <v>-40</v>
      </c>
      <c r="B11">
        <v>-233.67419433593699</v>
      </c>
      <c r="C11">
        <v>-68.366134643554602</v>
      </c>
      <c r="D11">
        <v>160.03193664550699</v>
      </c>
      <c r="E11">
        <v>85.475784301757798</v>
      </c>
      <c r="F11">
        <v>-138.19175720214801</v>
      </c>
      <c r="G11">
        <v>-41.483425140380803</v>
      </c>
      <c r="H11">
        <v>-17.1776123046875</v>
      </c>
      <c r="I11">
        <v>74.516883850097599</v>
      </c>
      <c r="J11">
        <v>50.989788055419901</v>
      </c>
      <c r="K11">
        <v>-29.630669508129269</v>
      </c>
      <c r="L11">
        <v>15.619483947753899</v>
      </c>
      <c r="M11">
        <v>83.433204650878906</v>
      </c>
      <c r="N11">
        <v>38.83984375</v>
      </c>
      <c r="O11">
        <v>30.332443237304599</v>
      </c>
      <c r="P11">
        <v>-26.984130859375</v>
      </c>
      <c r="Q11">
        <v>78.548667907714801</v>
      </c>
      <c r="R11">
        <v>25.605195999145501</v>
      </c>
      <c r="S11">
        <v>-135.62675476074199</v>
      </c>
      <c r="T11">
        <v>-50.433181762695298</v>
      </c>
      <c r="U11">
        <v>15.6871032714843</v>
      </c>
      <c r="V11">
        <v>19.471435546875</v>
      </c>
      <c r="W11">
        <v>19.121902465820298</v>
      </c>
      <c r="X11">
        <v>22.462478637695298</v>
      </c>
      <c r="Y11">
        <v>-16.597110748291001</v>
      </c>
      <c r="Z11" s="5">
        <v>-17.817333221435501</v>
      </c>
      <c r="AA11">
        <v>-16.1324863433837</v>
      </c>
      <c r="AB11">
        <v>36.179275512695298</v>
      </c>
      <c r="AC11">
        <v>-51.838798522949197</v>
      </c>
      <c r="AD11">
        <v>-44.928062438964801</v>
      </c>
      <c r="AE11">
        <v>-46.703018188476499</v>
      </c>
      <c r="AF11">
        <v>35.703975677490199</v>
      </c>
      <c r="AG11">
        <v>24.218544006347599</v>
      </c>
      <c r="AH11">
        <v>60.956314086913999</v>
      </c>
      <c r="AI11">
        <v>-21.064308166503899</v>
      </c>
      <c r="AJ11">
        <v>-24.39204788208</v>
      </c>
      <c r="AK11">
        <v>-18.6592102050781</v>
      </c>
      <c r="AL11">
        <v>18.516555786132798</v>
      </c>
      <c r="AM11">
        <v>-12.248023986816399</v>
      </c>
      <c r="AN11">
        <v>-18.766067504882798</v>
      </c>
      <c r="AO11">
        <v>30.226119995117099</v>
      </c>
      <c r="AP11">
        <v>15.9244537353515</v>
      </c>
      <c r="AQ11">
        <v>15.5991058349609</v>
      </c>
      <c r="AR11">
        <v>14.5550518035888</v>
      </c>
      <c r="AS11">
        <v>-14.8088674545288</v>
      </c>
      <c r="AT11">
        <v>14.288046518961563</v>
      </c>
      <c r="AU11">
        <v>22.212598800659151</v>
      </c>
      <c r="AV11">
        <v>8.4954164505004801</v>
      </c>
      <c r="AW11">
        <v>66.312759399414006</v>
      </c>
      <c r="AX11">
        <v>-108.064323425292</v>
      </c>
      <c r="AY11" s="3">
        <v>-47.196037292480398</v>
      </c>
      <c r="AZ11">
        <v>24.875541687011701</v>
      </c>
      <c r="BA11">
        <v>21.409798622131298</v>
      </c>
      <c r="BB11">
        <v>38.213447570800703</v>
      </c>
      <c r="BC11">
        <v>1.0183391571044993</v>
      </c>
      <c r="BD11">
        <v>27.722305297851499</v>
      </c>
      <c r="BE11">
        <v>-33.722843170166001</v>
      </c>
      <c r="BF11">
        <v>23.1766757965087</v>
      </c>
      <c r="BG11">
        <v>33.484962463378899</v>
      </c>
      <c r="BH11">
        <v>-11.1656799316406</v>
      </c>
      <c r="BI11">
        <v>16.488145828246999</v>
      </c>
      <c r="BJ11" s="3">
        <v>-1.4190673828124805</v>
      </c>
      <c r="BK11" s="3">
        <v>22.240836420649345</v>
      </c>
      <c r="BL11" s="3">
        <v>-7.4497604370117099</v>
      </c>
      <c r="BM11">
        <v>17.1996536254882</v>
      </c>
      <c r="BN11">
        <v>51.531570434570298</v>
      </c>
      <c r="BO11">
        <v>35.861701965332003</v>
      </c>
      <c r="BP11">
        <v>24.928260803222599</v>
      </c>
      <c r="BQ11">
        <v>-7.7258167266846005</v>
      </c>
      <c r="BR11">
        <v>-28.523665110270134</v>
      </c>
      <c r="BS11">
        <v>-19.51344070434568</v>
      </c>
      <c r="BT11">
        <v>23.419307072957334</v>
      </c>
      <c r="BU11">
        <v>11.4891967773437</v>
      </c>
      <c r="BV11">
        <v>18.878918647766067</v>
      </c>
      <c r="BW11">
        <v>-10.953956604003899</v>
      </c>
      <c r="BX11">
        <v>9.6441391536167487E-2</v>
      </c>
      <c r="BY11">
        <v>18.9037475585937</v>
      </c>
      <c r="BZ11">
        <v>13.7653656005859</v>
      </c>
      <c r="CA11">
        <v>-9.1383018493651988</v>
      </c>
      <c r="CB11">
        <v>-12.755956967671692</v>
      </c>
      <c r="CC11">
        <v>22.431485176086348</v>
      </c>
      <c r="CD11">
        <v>8.2182044982909819</v>
      </c>
      <c r="CM11" s="12"/>
      <c r="CN11" s="12"/>
      <c r="CO11" s="12"/>
      <c r="CQ11" s="3"/>
    </row>
    <row r="12" spans="1:95" x14ac:dyDescent="0.2">
      <c r="A12" s="3">
        <f t="shared" si="0"/>
        <v>-30</v>
      </c>
      <c r="B12">
        <v>-562.6337890625</v>
      </c>
      <c r="C12">
        <v>-305.218017578125</v>
      </c>
      <c r="D12">
        <v>121.36873626708901</v>
      </c>
      <c r="E12">
        <v>-237.42428588867099</v>
      </c>
      <c r="F12">
        <v>-292.477783203125</v>
      </c>
      <c r="G12">
        <v>-484.19616699218699</v>
      </c>
      <c r="H12">
        <v>-57.327091217041001</v>
      </c>
      <c r="I12">
        <v>-461.92446899414</v>
      </c>
      <c r="J12">
        <v>-77.403938293457003</v>
      </c>
      <c r="K12">
        <v>-135.9378833727672</v>
      </c>
      <c r="L12">
        <v>-51.5630493164062</v>
      </c>
      <c r="M12">
        <v>-123.195922851562</v>
      </c>
      <c r="N12">
        <v>-152.19093322753901</v>
      </c>
      <c r="O12">
        <v>-72.070831298828097</v>
      </c>
      <c r="P12">
        <v>-27.0376586914062</v>
      </c>
      <c r="Q12">
        <v>86.457458496093693</v>
      </c>
      <c r="R12">
        <v>-29.1384887695312</v>
      </c>
      <c r="S12">
        <v>-454.56790161132801</v>
      </c>
      <c r="T12">
        <v>-291.55895996093699</v>
      </c>
      <c r="U12">
        <v>-63.230278015136697</v>
      </c>
      <c r="V12">
        <v>-30.792701721191399</v>
      </c>
      <c r="W12">
        <v>-37.749557495117102</v>
      </c>
      <c r="X12">
        <v>-62.566238403320298</v>
      </c>
      <c r="Y12">
        <v>-38.9862060546875</v>
      </c>
      <c r="Z12" s="5">
        <v>-65.893043518066406</v>
      </c>
      <c r="AA12">
        <v>-64.939514160156193</v>
      </c>
      <c r="AB12">
        <v>-63.864860534667898</v>
      </c>
      <c r="AC12">
        <v>-230.68093872070301</v>
      </c>
      <c r="AD12">
        <v>25.7421150207519</v>
      </c>
      <c r="AE12">
        <v>-72.531402587890597</v>
      </c>
      <c r="AF12">
        <v>-61.676414489746001</v>
      </c>
      <c r="AG12">
        <v>-46.191558837890597</v>
      </c>
      <c r="AH12">
        <v>54.524734497070298</v>
      </c>
      <c r="AI12">
        <v>-52.0040473937988</v>
      </c>
      <c r="AJ12">
        <v>-48.869453430175703</v>
      </c>
      <c r="AK12">
        <v>-49.5526733398437</v>
      </c>
      <c r="AL12">
        <v>18.496192932128899</v>
      </c>
      <c r="AM12">
        <v>15.2086868286132</v>
      </c>
      <c r="AN12">
        <v>-26.6731872558593</v>
      </c>
      <c r="AO12">
        <v>-69.152618408203097</v>
      </c>
      <c r="AP12">
        <v>18.4144973754882</v>
      </c>
      <c r="AQ12">
        <v>24.0816650390625</v>
      </c>
      <c r="AR12">
        <v>-17.442491531371999</v>
      </c>
      <c r="AS12">
        <v>14.481369972229</v>
      </c>
      <c r="AT12">
        <v>-9.2085367838541359</v>
      </c>
      <c r="AU12">
        <v>27.224987030029251</v>
      </c>
      <c r="AV12">
        <v>-23.530858993530199</v>
      </c>
      <c r="AW12">
        <v>63.772598266601499</v>
      </c>
      <c r="AX12">
        <v>-176.52023315429599</v>
      </c>
      <c r="AY12" s="3">
        <v>-261.986236572265</v>
      </c>
      <c r="AZ12">
        <v>29.1791381835937</v>
      </c>
      <c r="BA12">
        <v>-11.889107704162583</v>
      </c>
      <c r="BB12">
        <v>28.4212646484375</v>
      </c>
      <c r="BC12">
        <v>-24.025098800659201</v>
      </c>
      <c r="BD12">
        <v>49.736904144287102</v>
      </c>
      <c r="BE12">
        <v>-42.071311950683501</v>
      </c>
      <c r="BF12">
        <v>20.9886074066162</v>
      </c>
      <c r="BG12">
        <v>-66.571708679199205</v>
      </c>
      <c r="BH12">
        <v>-22.3313293457031</v>
      </c>
      <c r="BI12">
        <v>15.4936666488647</v>
      </c>
      <c r="BJ12" s="3">
        <v>-4.0130615234374805</v>
      </c>
      <c r="BK12" s="3">
        <v>40.292473512278349</v>
      </c>
      <c r="BL12" s="3">
        <v>-44.326202392578097</v>
      </c>
      <c r="BM12">
        <v>-17.924331665038999</v>
      </c>
      <c r="BN12">
        <v>57.077610015869098</v>
      </c>
      <c r="BO12">
        <v>-46.299343109130803</v>
      </c>
      <c r="BP12">
        <v>-52.876167297363203</v>
      </c>
      <c r="BQ12">
        <v>5.5840759277343501</v>
      </c>
      <c r="BR12">
        <v>-31.296947479248033</v>
      </c>
      <c r="BS12">
        <v>-106.94247817993137</v>
      </c>
      <c r="BT12">
        <v>-3.8474222819010344</v>
      </c>
      <c r="BU12">
        <v>-26.756454467773398</v>
      </c>
      <c r="BV12">
        <v>-27.843135197957267</v>
      </c>
      <c r="BW12">
        <v>-10.085374832153301</v>
      </c>
      <c r="BX12">
        <v>-8.9122576986040194</v>
      </c>
      <c r="BY12">
        <v>-15.705162048339799</v>
      </c>
      <c r="BZ12">
        <v>17.459190368652301</v>
      </c>
      <c r="CA12">
        <v>-21.437690734863249</v>
      </c>
      <c r="CB12">
        <v>-25.685046672820977</v>
      </c>
      <c r="CC12">
        <v>-25.30262851715085</v>
      </c>
      <c r="CD12">
        <v>-14.08000373840329</v>
      </c>
      <c r="CM12" s="12"/>
      <c r="CN12" s="12"/>
      <c r="CO12" s="12"/>
      <c r="CQ12" s="3"/>
    </row>
    <row r="13" spans="1:95" x14ac:dyDescent="0.2">
      <c r="A13" s="3">
        <f t="shared" si="0"/>
        <v>-20</v>
      </c>
      <c r="B13">
        <v>-2397.32983398437</v>
      </c>
      <c r="C13">
        <v>-744.36608886718705</v>
      </c>
      <c r="D13">
        <v>-1207.57702636718</v>
      </c>
      <c r="E13">
        <v>-1482.48852539062</v>
      </c>
      <c r="F13">
        <v>-1251.65734863281</v>
      </c>
      <c r="G13">
        <v>-1898.11267089843</v>
      </c>
      <c r="H13">
        <v>-287.05487060546801</v>
      </c>
      <c r="I13">
        <v>-1871.99584960937</v>
      </c>
      <c r="J13">
        <v>-420.89276123046801</v>
      </c>
      <c r="K13">
        <v>-1070.9853066094195</v>
      </c>
      <c r="L13">
        <v>-260.91531372070301</v>
      </c>
      <c r="M13">
        <v>-1189.71166992187</v>
      </c>
      <c r="N13">
        <v>-1496.21813964843</v>
      </c>
      <c r="O13">
        <v>-489.01226806640602</v>
      </c>
      <c r="P13">
        <v>-60.339263916015597</v>
      </c>
      <c r="Q13">
        <v>-302.22839355468699</v>
      </c>
      <c r="R13">
        <v>-154.92546081542901</v>
      </c>
      <c r="S13">
        <v>-836.75201416015602</v>
      </c>
      <c r="T13">
        <v>-611.81951904296795</v>
      </c>
      <c r="U13">
        <v>-339.76232910156199</v>
      </c>
      <c r="V13">
        <v>-146.25338745117099</v>
      </c>
      <c r="W13">
        <v>-152.59921264648401</v>
      </c>
      <c r="X13">
        <v>-255.16618347167901</v>
      </c>
      <c r="Y13">
        <v>-166.982009887695</v>
      </c>
      <c r="Z13" s="5">
        <v>-194.26573181152301</v>
      </c>
      <c r="AA13">
        <v>-192.86827087402301</v>
      </c>
      <c r="AB13">
        <v>-224.65087890625</v>
      </c>
      <c r="AC13">
        <v>-1058.634765625</v>
      </c>
      <c r="AD13">
        <v>-26.6663398742675</v>
      </c>
      <c r="AE13">
        <v>-209.245834350585</v>
      </c>
      <c r="AF13">
        <v>-177.58772277832</v>
      </c>
      <c r="AG13">
        <v>-211.629150390625</v>
      </c>
      <c r="AH13">
        <v>-127.55921936035099</v>
      </c>
      <c r="AI13">
        <v>-164.69551086425699</v>
      </c>
      <c r="AJ13">
        <v>-122.71473693847599</v>
      </c>
      <c r="AK13">
        <v>-216.928298950195</v>
      </c>
      <c r="AL13">
        <v>29.612236022949201</v>
      </c>
      <c r="AM13">
        <v>-55.189441680908203</v>
      </c>
      <c r="AN13">
        <v>-117.277252197265</v>
      </c>
      <c r="AO13">
        <v>-143.76385498046801</v>
      </c>
      <c r="AP13">
        <v>-33.396717071533203</v>
      </c>
      <c r="AQ13">
        <v>-64.215515136718693</v>
      </c>
      <c r="AR13">
        <v>-52.7573852539062</v>
      </c>
      <c r="AS13">
        <v>-65.5347900390625</v>
      </c>
      <c r="AT13">
        <v>-29.838946660359667</v>
      </c>
      <c r="AU13">
        <v>-123.142835617065</v>
      </c>
      <c r="AV13">
        <v>-34.676418304443303</v>
      </c>
      <c r="AW13">
        <v>-193.72834777832</v>
      </c>
      <c r="AX13">
        <v>-1028.08764648437</v>
      </c>
      <c r="AY13" s="3">
        <v>-711.27581787109295</v>
      </c>
      <c r="AZ13">
        <v>-137.07388305664</v>
      </c>
      <c r="BA13">
        <v>-123.29466660817425</v>
      </c>
      <c r="BB13">
        <v>-68.906051635742102</v>
      </c>
      <c r="BC13">
        <v>-167.4541912078858</v>
      </c>
      <c r="BD13">
        <v>-84.261993408203097</v>
      </c>
      <c r="BE13">
        <v>-89.574295043945298</v>
      </c>
      <c r="BF13">
        <v>-25.8883037567138</v>
      </c>
      <c r="BG13">
        <v>-151.81161499023401</v>
      </c>
      <c r="BH13">
        <v>-41.264785766601499</v>
      </c>
      <c r="BI13">
        <v>-35.685832977294901</v>
      </c>
      <c r="BJ13" s="3">
        <v>-34.988400459289579</v>
      </c>
      <c r="BK13" s="3">
        <v>-168.19778057837237</v>
      </c>
      <c r="BL13" s="3">
        <v>-216.24311828613199</v>
      </c>
      <c r="BM13">
        <v>-90.616996765136705</v>
      </c>
      <c r="BN13">
        <v>-124.145263671875</v>
      </c>
      <c r="BO13">
        <v>-198.77665710449199</v>
      </c>
      <c r="BP13">
        <v>-202.01249694824199</v>
      </c>
      <c r="BQ13">
        <v>-117.181739807128</v>
      </c>
      <c r="BR13">
        <v>-115.234326680501</v>
      </c>
      <c r="BS13">
        <v>-393.85552062988256</v>
      </c>
      <c r="BT13">
        <v>-81.597890218098897</v>
      </c>
      <c r="BU13">
        <v>-71.246780395507798</v>
      </c>
      <c r="BV13">
        <v>-94.669548034667741</v>
      </c>
      <c r="BW13">
        <v>-21.7020168304443</v>
      </c>
      <c r="BX13">
        <v>-107.23216115406572</v>
      </c>
      <c r="BY13">
        <v>-52.279220581054602</v>
      </c>
      <c r="BZ13">
        <v>-34.162826538085902</v>
      </c>
      <c r="CA13">
        <v>-41.988725662231396</v>
      </c>
      <c r="CB13">
        <v>-49.266871770222942</v>
      </c>
      <c r="CC13">
        <v>-42.592025756835895</v>
      </c>
      <c r="CD13">
        <v>-38.849658012390108</v>
      </c>
      <c r="CM13" s="12"/>
      <c r="CN13" s="12"/>
      <c r="CO13" s="12"/>
      <c r="CQ13" s="3"/>
    </row>
    <row r="14" spans="1:95" x14ac:dyDescent="0.2">
      <c r="A14" s="3">
        <f t="shared" si="0"/>
        <v>-10</v>
      </c>
      <c r="B14">
        <v>-5148.9228515625</v>
      </c>
      <c r="C14">
        <v>-943.19274902343705</v>
      </c>
      <c r="D14">
        <v>-2815.70385742187</v>
      </c>
      <c r="E14">
        <v>-3247.7294921875</v>
      </c>
      <c r="F14">
        <v>-2852.84375</v>
      </c>
      <c r="G14">
        <v>-2034.24499511718</v>
      </c>
      <c r="H14">
        <v>-1103.611328125</v>
      </c>
      <c r="I14">
        <v>-1983.22094726562</v>
      </c>
      <c r="J14">
        <v>-1453.64196777343</v>
      </c>
      <c r="K14">
        <v>-2730.7980197295497</v>
      </c>
      <c r="L14">
        <v>-718.46984863281205</v>
      </c>
      <c r="M14">
        <v>-2480.61669921875</v>
      </c>
      <c r="N14">
        <v>-1585.70617675781</v>
      </c>
      <c r="O14">
        <v>-1232.68054199218</v>
      </c>
      <c r="P14">
        <v>-149.80407714843699</v>
      </c>
      <c r="Q14">
        <v>-950.41387939453102</v>
      </c>
      <c r="R14">
        <v>-604.68292236328102</v>
      </c>
      <c r="S14">
        <v>-1002.86859130859</v>
      </c>
      <c r="T14">
        <v>-832.70947265625</v>
      </c>
      <c r="U14">
        <v>-879.120361328125</v>
      </c>
      <c r="V14">
        <v>-475.20675659179602</v>
      </c>
      <c r="W14">
        <v>-398.093994140625</v>
      </c>
      <c r="X14">
        <v>-576.92639160156205</v>
      </c>
      <c r="Y14">
        <v>-431.46926879882801</v>
      </c>
      <c r="Z14" s="5">
        <v>-398.27801513671801</v>
      </c>
      <c r="AA14">
        <v>-397.46170043945301</v>
      </c>
      <c r="AB14">
        <v>-581.28900146484295</v>
      </c>
      <c r="AC14">
        <v>-1467.38208007812</v>
      </c>
      <c r="AD14">
        <v>-100.976425170898</v>
      </c>
      <c r="AE14">
        <v>-315.20623779296801</v>
      </c>
      <c r="AF14">
        <v>-451.63079833984301</v>
      </c>
      <c r="AG14">
        <v>-438.58718872070301</v>
      </c>
      <c r="AH14">
        <v>-361.45101928710898</v>
      </c>
      <c r="AI14">
        <v>-316.38937377929602</v>
      </c>
      <c r="AJ14">
        <v>-330.66253662109301</v>
      </c>
      <c r="AK14">
        <v>-395.48406982421801</v>
      </c>
      <c r="AL14">
        <v>-133.01086425781199</v>
      </c>
      <c r="AM14">
        <v>-213.51280212402301</v>
      </c>
      <c r="AN14">
        <v>-362.566162109375</v>
      </c>
      <c r="AO14">
        <v>-214.63589477539</v>
      </c>
      <c r="AP14">
        <v>-100.47720336914</v>
      </c>
      <c r="AQ14">
        <v>-114.71774291992099</v>
      </c>
      <c r="AR14">
        <v>-91.334014892578097</v>
      </c>
      <c r="AS14">
        <v>-137.94876098632801</v>
      </c>
      <c r="AT14">
        <v>-145.80545298258417</v>
      </c>
      <c r="AU14">
        <v>-407.5650253295895</v>
      </c>
      <c r="AV14">
        <v>-102.10349731445299</v>
      </c>
      <c r="AW14">
        <v>-669.4462890625</v>
      </c>
      <c r="AX14">
        <v>-1624.0810546875</v>
      </c>
      <c r="AY14" s="3">
        <v>-1109.48217773437</v>
      </c>
      <c r="AZ14">
        <v>-408.35702514648398</v>
      </c>
      <c r="BA14">
        <v>-371.51489671071295</v>
      </c>
      <c r="BB14">
        <v>-135.20973205566401</v>
      </c>
      <c r="BC14">
        <v>-358.0024394989008</v>
      </c>
      <c r="BD14">
        <v>-249.98652648925699</v>
      </c>
      <c r="BE14">
        <v>-289.86309814453102</v>
      </c>
      <c r="BF14">
        <v>-114.913703918457</v>
      </c>
      <c r="BG14">
        <v>-317.47189331054602</v>
      </c>
      <c r="BH14">
        <v>-107.733360290527</v>
      </c>
      <c r="BI14">
        <v>-102.381454467773</v>
      </c>
      <c r="BJ14" s="3">
        <v>-84.213250160217285</v>
      </c>
      <c r="BK14" s="3">
        <v>-685.30558849201668</v>
      </c>
      <c r="BL14" s="3">
        <v>-396.11959838867102</v>
      </c>
      <c r="BM14">
        <v>-286.48669433593699</v>
      </c>
      <c r="BN14">
        <v>-381.41375732421801</v>
      </c>
      <c r="BO14">
        <v>-404.91247558593699</v>
      </c>
      <c r="BP14">
        <v>-426.14517211914</v>
      </c>
      <c r="BQ14">
        <v>-273.695556640625</v>
      </c>
      <c r="BR14">
        <v>-302.24681599934866</v>
      </c>
      <c r="BS14">
        <v>-704.89133300781157</v>
      </c>
      <c r="BT14">
        <v>-205.48572285969999</v>
      </c>
      <c r="BV14">
        <v>-188.71366882324165</v>
      </c>
      <c r="BW14">
        <v>-65.527305603027301</v>
      </c>
      <c r="BX14">
        <v>-198.95403942380563</v>
      </c>
      <c r="BY14">
        <v>-163.96583557128901</v>
      </c>
      <c r="BZ14">
        <v>-69.968017578125</v>
      </c>
      <c r="CA14">
        <v>-92.469161987304432</v>
      </c>
      <c r="CB14">
        <v>-84.843249003092296</v>
      </c>
      <c r="CC14">
        <v>-97.708736419677351</v>
      </c>
      <c r="CD14">
        <v>-80.026191711425611</v>
      </c>
      <c r="CM14" s="12"/>
      <c r="CN14" s="12"/>
      <c r="CO14" s="12"/>
      <c r="CQ14" s="3"/>
    </row>
    <row r="15" spans="1:95" x14ac:dyDescent="0.2">
      <c r="A15" s="3">
        <f t="shared" si="0"/>
        <v>0</v>
      </c>
      <c r="B15">
        <v>-6839.89208984375</v>
      </c>
      <c r="C15">
        <v>-1008.77575683593</v>
      </c>
      <c r="D15">
        <v>-2856.8955078125</v>
      </c>
      <c r="E15">
        <v>-3896.03735351562</v>
      </c>
      <c r="F15">
        <v>-3183.19653320312</v>
      </c>
      <c r="G15">
        <v>-1825.81311035156</v>
      </c>
      <c r="H15">
        <v>-1821.0068359375</v>
      </c>
      <c r="I15">
        <v>-1828.77709960937</v>
      </c>
      <c r="J15">
        <v>-1923.50500488281</v>
      </c>
      <c r="K15">
        <v>-3621.6971819996784</v>
      </c>
      <c r="L15">
        <v>-1009.38012695312</v>
      </c>
      <c r="M15">
        <v>-2639.62377929687</v>
      </c>
      <c r="N15">
        <v>-1491.80908203125</v>
      </c>
      <c r="O15">
        <v>-1442.55212402343</v>
      </c>
      <c r="P15">
        <v>-823.22521972656205</v>
      </c>
      <c r="Q15">
        <v>-1382.26159667968</v>
      </c>
      <c r="R15">
        <v>-1120.56640625</v>
      </c>
      <c r="S15">
        <v>-1033.18774414062</v>
      </c>
      <c r="T15">
        <v>-880.74572753906205</v>
      </c>
      <c r="U15">
        <v>-1022.71356201171</v>
      </c>
      <c r="V15">
        <v>-670.17053222656205</v>
      </c>
      <c r="W15">
        <v>-724.41900634765602</v>
      </c>
      <c r="X15">
        <v>-807.79217529296795</v>
      </c>
      <c r="Y15">
        <v>-685.41369628906205</v>
      </c>
      <c r="Z15" s="5">
        <v>-581.47174072265602</v>
      </c>
      <c r="AA15">
        <v>-580.89196777343705</v>
      </c>
      <c r="AB15">
        <v>-724.89862060546795</v>
      </c>
      <c r="AC15">
        <v>-1578.10717773437</v>
      </c>
      <c r="AD15">
        <v>-256.97210693359301</v>
      </c>
      <c r="AE15">
        <v>-320.15948486328102</v>
      </c>
      <c r="AF15">
        <v>-604.30267333984295</v>
      </c>
      <c r="AG15">
        <v>-557.895263671875</v>
      </c>
      <c r="AH15">
        <v>-548.54071044921795</v>
      </c>
      <c r="AI15">
        <v>-475.94851684570301</v>
      </c>
      <c r="AJ15">
        <v>-446.95462036132801</v>
      </c>
      <c r="AK15">
        <v>-465.76852416992102</v>
      </c>
      <c r="AL15">
        <v>-295.420318603515</v>
      </c>
      <c r="AM15">
        <v>-337.21466064453102</v>
      </c>
      <c r="AN15">
        <v>-503.70953369140602</v>
      </c>
      <c r="AO15">
        <v>-271.61260986328102</v>
      </c>
      <c r="AP15">
        <v>-185.68322753906199</v>
      </c>
      <c r="AQ15">
        <v>-170.20895385742099</v>
      </c>
      <c r="AR15">
        <v>-122.84799194335901</v>
      </c>
      <c r="AS15">
        <v>-190.19071960449199</v>
      </c>
      <c r="AT15">
        <v>-195.09979756673144</v>
      </c>
      <c r="AU15">
        <v>-602.43069458007801</v>
      </c>
      <c r="AV15">
        <v>-168.9442474365232</v>
      </c>
      <c r="AW15">
        <v>-1072.49279785156</v>
      </c>
      <c r="AX15">
        <v>-1878.30895996093</v>
      </c>
      <c r="AY15" s="3">
        <v>-1228.71643066406</v>
      </c>
      <c r="AZ15">
        <v>-659.70275878906205</v>
      </c>
      <c r="BA15">
        <v>-592.71121629079119</v>
      </c>
      <c r="BB15">
        <v>-223.53677368164</v>
      </c>
      <c r="BC15">
        <v>-423.67877006530682</v>
      </c>
      <c r="BD15">
        <v>-417.02496337890602</v>
      </c>
      <c r="BE15">
        <v>-353.17330932617102</v>
      </c>
      <c r="BF15">
        <v>-190.22088623046801</v>
      </c>
      <c r="BG15">
        <v>-538.21832275390602</v>
      </c>
      <c r="BH15">
        <v>-133.52857971191401</v>
      </c>
      <c r="BI15">
        <v>-160.35137939453099</v>
      </c>
      <c r="BJ15" s="3">
        <v>-140.06041049957187</v>
      </c>
      <c r="BK15" s="3">
        <v>-1056.2831842956027</v>
      </c>
      <c r="BL15" s="3">
        <v>-539.39111328125</v>
      </c>
      <c r="BM15">
        <v>-393.20925903320301</v>
      </c>
      <c r="BN15">
        <v>-469.97903442382801</v>
      </c>
      <c r="BO15">
        <v>-524.85577392578102</v>
      </c>
      <c r="BP15">
        <v>-503.328521728515</v>
      </c>
      <c r="BQ15">
        <v>-388.27606201171801</v>
      </c>
      <c r="BR15">
        <v>-435.57309977213532</v>
      </c>
      <c r="BS15">
        <v>-767.74268798827995</v>
      </c>
      <c r="BT15">
        <v>-308.23785400390562</v>
      </c>
      <c r="BU15">
        <v>-277.70748901367102</v>
      </c>
      <c r="BV15">
        <v>-244.43027242024701</v>
      </c>
      <c r="BW15">
        <v>-185.14961242675699</v>
      </c>
      <c r="BX15">
        <v>-287.69545657294105</v>
      </c>
      <c r="BY15">
        <v>-235.67971801757801</v>
      </c>
      <c r="BZ15">
        <v>-102.051292419433</v>
      </c>
      <c r="CA15">
        <v>-146.32566452026302</v>
      </c>
      <c r="CB15">
        <v>-103.95366223653123</v>
      </c>
      <c r="CC15">
        <v>-136.86386871337851</v>
      </c>
      <c r="CD15">
        <v>-121.84971904754588</v>
      </c>
      <c r="CM15" s="12"/>
      <c r="CN15" s="12"/>
      <c r="CO15" s="12"/>
      <c r="CQ15" s="3"/>
    </row>
    <row r="16" spans="1:95" x14ac:dyDescent="0.2">
      <c r="A16" s="3">
        <f t="shared" si="0"/>
        <v>10</v>
      </c>
      <c r="B16">
        <v>-7092.24853515625</v>
      </c>
      <c r="C16">
        <v>-922.76788330078102</v>
      </c>
      <c r="D16">
        <v>-3050.23510742187</v>
      </c>
      <c r="E16">
        <v>-3630.19116210937</v>
      </c>
      <c r="F16">
        <v>-3554.17529296875</v>
      </c>
      <c r="G16">
        <v>-1651.68920898437</v>
      </c>
      <c r="H16">
        <v>-2016.982421875</v>
      </c>
      <c r="I16">
        <v>-1654.93249511718</v>
      </c>
      <c r="J16">
        <v>-1848.84155273437</v>
      </c>
      <c r="K16">
        <v>-3719.7826035916805</v>
      </c>
      <c r="L16">
        <v>-1056.11608886718</v>
      </c>
      <c r="M16">
        <v>-2337.27734375</v>
      </c>
      <c r="N16">
        <v>-1396.88549804687</v>
      </c>
      <c r="O16">
        <v>-1310.66882324218</v>
      </c>
      <c r="P16">
        <v>-1621.3935546875</v>
      </c>
      <c r="Q16">
        <v>-1498.87731933593</v>
      </c>
      <c r="R16">
        <v>-1223.41430664062</v>
      </c>
      <c r="S16">
        <v>-982.97393798828102</v>
      </c>
      <c r="T16">
        <v>-791.30993652343705</v>
      </c>
      <c r="U16">
        <v>-916.46154785156205</v>
      </c>
      <c r="V16">
        <v>-829.68170166015602</v>
      </c>
      <c r="W16">
        <v>-834.70147705078102</v>
      </c>
      <c r="X16">
        <v>-800.36883544921795</v>
      </c>
      <c r="Y16">
        <v>-851.74560546875</v>
      </c>
      <c r="Z16" s="5">
        <v>-668.92657470703102</v>
      </c>
      <c r="AA16">
        <v>-667.23297119140602</v>
      </c>
      <c r="AB16">
        <v>-693.53594970703102</v>
      </c>
      <c r="AC16">
        <v>-1461.96179199218</v>
      </c>
      <c r="AD16">
        <v>-567.59631347656205</v>
      </c>
      <c r="AE16">
        <v>-571.19671630859295</v>
      </c>
      <c r="AF16">
        <v>-623.001220703125</v>
      </c>
      <c r="AG16">
        <v>-582.72412109375</v>
      </c>
      <c r="AH16">
        <v>-643.32318115234295</v>
      </c>
      <c r="AI16">
        <v>-488.23602294921801</v>
      </c>
      <c r="AJ16">
        <v>-511.00048828125</v>
      </c>
      <c r="AK16">
        <v>-451.18905639648398</v>
      </c>
      <c r="AL16">
        <v>-380.48046875</v>
      </c>
      <c r="AM16">
        <v>-351.60711669921801</v>
      </c>
      <c r="AN16">
        <v>-501.33441162109301</v>
      </c>
      <c r="AO16">
        <v>-287.28729248046801</v>
      </c>
      <c r="AP16">
        <v>-199.58590698242099</v>
      </c>
      <c r="AQ16">
        <v>-181.74948120117099</v>
      </c>
      <c r="AR16">
        <v>-138.13587951660099</v>
      </c>
      <c r="AS16">
        <v>-205.64947509765599</v>
      </c>
      <c r="AT16">
        <v>-262.17529805501226</v>
      </c>
      <c r="AU16">
        <v>-710.62213134765602</v>
      </c>
      <c r="AV16">
        <v>-196.78850402832001</v>
      </c>
      <c r="AW16">
        <v>-1259.16442871093</v>
      </c>
      <c r="AX16">
        <v>-1871.89526367187</v>
      </c>
      <c r="AY16" s="3">
        <v>-1174.72631835937</v>
      </c>
      <c r="AZ16">
        <v>-719.716064453125</v>
      </c>
      <c r="BA16">
        <v>-701.47442022959331</v>
      </c>
      <c r="BB16">
        <v>-238.648834228515</v>
      </c>
      <c r="BC16">
        <v>-425.69692802429182</v>
      </c>
      <c r="BD16">
        <v>-444.202392578125</v>
      </c>
      <c r="BE16">
        <v>-405.83609008789</v>
      </c>
      <c r="BF16">
        <v>-241.95739746093699</v>
      </c>
      <c r="BG16">
        <v>-597.94403076171795</v>
      </c>
      <c r="BH16">
        <v>-134.95062255859301</v>
      </c>
      <c r="BI16">
        <v>-163.615966796875</v>
      </c>
      <c r="BJ16" s="3">
        <v>-166.67173862457187</v>
      </c>
      <c r="BK16" s="3">
        <v>-1253.5960853386482</v>
      </c>
      <c r="BL16" s="3">
        <v>-562.91259765625</v>
      </c>
      <c r="BM16">
        <v>-416.14129638671801</v>
      </c>
      <c r="BN16">
        <v>-473.166900634765</v>
      </c>
      <c r="BO16">
        <v>-513.17132568359295</v>
      </c>
      <c r="BP16">
        <v>-523.5556640625</v>
      </c>
      <c r="BQ16">
        <v>-445.917724609375</v>
      </c>
      <c r="BR16">
        <v>-465.91846720377572</v>
      </c>
      <c r="BS16">
        <v>-728.47283935546807</v>
      </c>
      <c r="BT16">
        <v>-344.938863118489</v>
      </c>
      <c r="BU16">
        <v>-299.99444580078102</v>
      </c>
      <c r="BV16">
        <v>-284.01452636718699</v>
      </c>
      <c r="BW16">
        <v>-292.684326171875</v>
      </c>
      <c r="BX16">
        <v>-324.96003656387245</v>
      </c>
      <c r="BY16">
        <v>-258.53070068359301</v>
      </c>
      <c r="BZ16">
        <v>-124.72621154785099</v>
      </c>
      <c r="CA16">
        <v>-159.9383430480955</v>
      </c>
      <c r="CB16">
        <v>-106.21609560648574</v>
      </c>
      <c r="CC16">
        <v>-192.29216003417952</v>
      </c>
      <c r="CD16">
        <v>-144.70572471618587</v>
      </c>
      <c r="CM16" s="12"/>
      <c r="CN16" s="12"/>
      <c r="CO16" s="12"/>
      <c r="CQ16" s="3"/>
    </row>
    <row r="17" spans="1:95" x14ac:dyDescent="0.2">
      <c r="A17" s="3">
        <f t="shared" si="0"/>
        <v>20</v>
      </c>
      <c r="B17">
        <v>-6595.0283203125</v>
      </c>
      <c r="C17">
        <v>-794.64447021484295</v>
      </c>
      <c r="D17">
        <v>-2725.15698242187</v>
      </c>
      <c r="E17">
        <v>-3109.85595703125</v>
      </c>
      <c r="F17">
        <v>-3287.65869140625</v>
      </c>
      <c r="G17">
        <v>-1389.29260253906</v>
      </c>
      <c r="H17">
        <v>-1952.21716308593</v>
      </c>
      <c r="I17">
        <v>-1392.92626953125</v>
      </c>
      <c r="J17">
        <v>-1525.12194824218</v>
      </c>
      <c r="K17">
        <v>-3369.7494126008824</v>
      </c>
      <c r="L17">
        <v>-895.35974121093705</v>
      </c>
      <c r="M17">
        <v>-2087.30810546875</v>
      </c>
      <c r="N17">
        <v>-1235.6640625</v>
      </c>
      <c r="O17">
        <v>-1125.57629394531</v>
      </c>
      <c r="P17">
        <v>-1528.02038574218</v>
      </c>
      <c r="Q17">
        <v>-1372.99157714843</v>
      </c>
      <c r="R17">
        <v>-1249.88500976562</v>
      </c>
      <c r="S17">
        <v>-807.989990234375</v>
      </c>
      <c r="T17">
        <v>-658.49371337890602</v>
      </c>
      <c r="U17">
        <v>-787.54888916015602</v>
      </c>
      <c r="V17">
        <v>-750.84027099609295</v>
      </c>
      <c r="W17">
        <v>-634.55139160156205</v>
      </c>
      <c r="X17">
        <v>-688.09423828125</v>
      </c>
      <c r="Y17">
        <v>-699.43908691406205</v>
      </c>
      <c r="Z17" s="5">
        <v>-625.48822021484295</v>
      </c>
      <c r="AA17">
        <v>-600.12512207031205</v>
      </c>
      <c r="AB17">
        <v>-615.07098388671795</v>
      </c>
      <c r="AC17">
        <v>-1243.81127929687</v>
      </c>
      <c r="AD17">
        <v>-658.77099609375</v>
      </c>
      <c r="AE17">
        <v>-658.92181396484295</v>
      </c>
      <c r="AF17">
        <v>-586.52600097656205</v>
      </c>
      <c r="AG17">
        <v>-522.84851074218705</v>
      </c>
      <c r="AH17">
        <v>-630.79064941406205</v>
      </c>
      <c r="AI17">
        <v>-422.77420043945301</v>
      </c>
      <c r="AJ17">
        <v>-455.24444580078102</v>
      </c>
      <c r="AK17">
        <v>-392.847076416015</v>
      </c>
      <c r="AL17">
        <v>-353.31726074218699</v>
      </c>
      <c r="AM17">
        <v>-342.21588134765602</v>
      </c>
      <c r="AN17">
        <v>-540.71728515625</v>
      </c>
      <c r="AO17">
        <v>-244.36495971679599</v>
      </c>
      <c r="AP17">
        <v>-179.35275268554599</v>
      </c>
      <c r="AQ17">
        <v>-168.63774108886699</v>
      </c>
      <c r="AR17">
        <v>-118.902793884277</v>
      </c>
      <c r="AS17">
        <v>-185.95487976074199</v>
      </c>
      <c r="AT17">
        <v>-238.53330485025958</v>
      </c>
      <c r="AU17">
        <v>-596.64071655273369</v>
      </c>
      <c r="AV17">
        <v>-202.67994232177685</v>
      </c>
      <c r="AW17">
        <v>-1201.75073242187</v>
      </c>
      <c r="AX17">
        <v>-1698.63220214843</v>
      </c>
      <c r="AY17" s="3">
        <v>-1040.53588867187</v>
      </c>
      <c r="AZ17">
        <v>-703.51940917968705</v>
      </c>
      <c r="BA17">
        <v>-675.66659959157266</v>
      </c>
      <c r="BB17">
        <v>-222.11111450195301</v>
      </c>
      <c r="BC17">
        <v>-364.97292900085381</v>
      </c>
      <c r="BD17">
        <v>-404.67123413085898</v>
      </c>
      <c r="BE17">
        <v>-371.53231811523398</v>
      </c>
      <c r="BF17">
        <v>-245.05612182617099</v>
      </c>
      <c r="BG17">
        <v>-636.06451416015602</v>
      </c>
      <c r="BH17">
        <v>-112.760841369628</v>
      </c>
      <c r="BI17">
        <v>-149.82368469238199</v>
      </c>
      <c r="BJ17" s="3">
        <v>-159.86631870269687</v>
      </c>
      <c r="BK17" s="3">
        <v>-1203.5374542554473</v>
      </c>
      <c r="BL17" s="3">
        <v>-475.81396484375</v>
      </c>
      <c r="BM17">
        <v>-430.28158569335898</v>
      </c>
      <c r="BN17">
        <v>-394.93194580078102</v>
      </c>
      <c r="BO17">
        <v>-379.75454711914</v>
      </c>
      <c r="BP17">
        <v>-456.09881591796801</v>
      </c>
      <c r="BQ17">
        <v>-399.5048828125</v>
      </c>
      <c r="BR17">
        <v>-400.39048258463498</v>
      </c>
      <c r="BS17">
        <v>-624.51743774414012</v>
      </c>
      <c r="BT17">
        <v>-331.2260335286457</v>
      </c>
      <c r="BU17">
        <v>-285.41403198242102</v>
      </c>
      <c r="BV17">
        <v>-236.22111511230401</v>
      </c>
      <c r="BW17">
        <v>-308.277587890625</v>
      </c>
      <c r="BX17">
        <v>-283.22751572472686</v>
      </c>
      <c r="BY17">
        <v>-207.78125</v>
      </c>
      <c r="BZ17">
        <v>-105.12020111083901</v>
      </c>
      <c r="CA17">
        <v>-152.51275634765574</v>
      </c>
      <c r="CB17">
        <v>-88.964126586914006</v>
      </c>
      <c r="CC17">
        <v>-191.90972137451098</v>
      </c>
      <c r="CD17">
        <v>-142.99647140502861</v>
      </c>
      <c r="CM17" s="12"/>
      <c r="CN17" s="12"/>
      <c r="CO17" s="12"/>
      <c r="CQ17" s="3"/>
    </row>
    <row r="18" spans="1:95" x14ac:dyDescent="0.2">
      <c r="A18" s="3">
        <f t="shared" si="0"/>
        <v>30</v>
      </c>
      <c r="B18">
        <v>-5687.431640625</v>
      </c>
      <c r="C18">
        <v>-648.82879638671795</v>
      </c>
      <c r="D18">
        <v>-2189.20190429687</v>
      </c>
      <c r="E18">
        <v>-2404.19140625</v>
      </c>
      <c r="F18">
        <v>-2685.7265625</v>
      </c>
      <c r="G18">
        <v>-1121.8212890625</v>
      </c>
      <c r="H18">
        <v>-1722.52233886718</v>
      </c>
      <c r="I18">
        <v>-1112.30993652343</v>
      </c>
      <c r="J18">
        <v>-1004.99163818359</v>
      </c>
      <c r="K18">
        <v>-2851.3826731741428</v>
      </c>
      <c r="L18">
        <v>-712.63458251953102</v>
      </c>
      <c r="M18">
        <v>-1736.28564453125</v>
      </c>
      <c r="N18">
        <v>-998.20928955078102</v>
      </c>
      <c r="O18">
        <v>-864.55462646484295</v>
      </c>
      <c r="P18">
        <v>-1279.22180175781</v>
      </c>
      <c r="Q18">
        <v>-1149.74523925781</v>
      </c>
      <c r="R18">
        <v>-940.71099853515602</v>
      </c>
      <c r="S18">
        <v>-616.2021484375</v>
      </c>
      <c r="T18">
        <v>-493.03225708007801</v>
      </c>
      <c r="U18">
        <v>-630.70245361328102</v>
      </c>
      <c r="V18">
        <v>-626.42205810546795</v>
      </c>
      <c r="W18">
        <v>-441.53573608398398</v>
      </c>
      <c r="X18">
        <v>-562.72912597656205</v>
      </c>
      <c r="Y18">
        <v>-561.45666503906205</v>
      </c>
      <c r="Z18" s="5">
        <v>-497.43649291992102</v>
      </c>
      <c r="AA18">
        <v>-476.41949462890602</v>
      </c>
      <c r="AB18">
        <v>-482.18704223632801</v>
      </c>
      <c r="AC18">
        <v>-1024.10144042968</v>
      </c>
      <c r="AD18">
        <v>-607.61413574218705</v>
      </c>
      <c r="AE18">
        <v>-580.08673095703102</v>
      </c>
      <c r="AF18">
        <v>-493.49496459960898</v>
      </c>
      <c r="AG18">
        <v>-422.57321166992102</v>
      </c>
      <c r="AH18">
        <v>-487.12152099609301</v>
      </c>
      <c r="AI18">
        <v>-323.01145935058548</v>
      </c>
      <c r="AJ18">
        <v>-379.9482421875</v>
      </c>
      <c r="AK18">
        <v>-317.12432861328102</v>
      </c>
      <c r="AL18">
        <v>-300.06408691406199</v>
      </c>
      <c r="AM18">
        <v>-266.90399169921801</v>
      </c>
      <c r="AO18">
        <v>-196.75112915039</v>
      </c>
      <c r="AP18">
        <v>-140.95973205566401</v>
      </c>
      <c r="AQ18">
        <v>-142.64706420898401</v>
      </c>
      <c r="AR18">
        <v>-88.60009765625</v>
      </c>
      <c r="AS18">
        <v>-135.84706115722599</v>
      </c>
      <c r="AT18">
        <v>-205.43173217773375</v>
      </c>
      <c r="AU18">
        <v>-485.97657775878872</v>
      </c>
      <c r="AV18">
        <v>-143.26720886230427</v>
      </c>
      <c r="AW18">
        <v>-1065.43127441406</v>
      </c>
      <c r="AX18">
        <v>-1364.32604980468</v>
      </c>
      <c r="AY18" s="3">
        <v>-807.40869140625</v>
      </c>
      <c r="AZ18">
        <v>-641.29022216796795</v>
      </c>
      <c r="BA18">
        <v>-589.92288621266619</v>
      </c>
      <c r="BB18">
        <v>-185.56741333007801</v>
      </c>
      <c r="BC18">
        <v>-264.96584892272881</v>
      </c>
      <c r="BD18">
        <v>-324.63433837890602</v>
      </c>
      <c r="BE18">
        <v>-303.95657348632801</v>
      </c>
      <c r="BF18">
        <v>-195.93527221679599</v>
      </c>
      <c r="BG18">
        <v>-546.90478515625</v>
      </c>
      <c r="BH18">
        <v>-89.067298889160099</v>
      </c>
      <c r="BI18">
        <v>-125.611450195312</v>
      </c>
      <c r="BJ18" s="3">
        <v>-127.63975620269687</v>
      </c>
      <c r="BK18" s="3">
        <v>-1009.6936257223387</v>
      </c>
      <c r="BL18" s="3">
        <v>-373.62884521484301</v>
      </c>
      <c r="BM18">
        <v>-329.00354003906199</v>
      </c>
      <c r="BN18">
        <v>-270.82012939453102</v>
      </c>
      <c r="BO18">
        <v>-253.6328125</v>
      </c>
      <c r="BP18">
        <v>-340.35125732421801</v>
      </c>
      <c r="BQ18">
        <v>-341.80386352539</v>
      </c>
      <c r="BR18">
        <v>-290.08867390950496</v>
      </c>
      <c r="BS18">
        <v>-481.48799438476499</v>
      </c>
      <c r="BT18">
        <v>-264.21355183919201</v>
      </c>
      <c r="BU18">
        <v>-252.47262573242099</v>
      </c>
      <c r="BV18">
        <v>-185.02523803710901</v>
      </c>
      <c r="BW18">
        <v>-297.03244018554602</v>
      </c>
      <c r="BX18">
        <v>-226.03865028108828</v>
      </c>
      <c r="BZ18">
        <v>-78.892318725585895</v>
      </c>
      <c r="CA18">
        <v>-113.46965217590275</v>
      </c>
      <c r="CB18">
        <v>-75.422122955322152</v>
      </c>
      <c r="CC18">
        <v>-197.92558288574151</v>
      </c>
      <c r="CD18">
        <v>-115.43805122375461</v>
      </c>
      <c r="CM18" s="12"/>
      <c r="CN18" s="12"/>
      <c r="CO18" s="12"/>
      <c r="CQ18" s="3"/>
    </row>
    <row r="19" spans="1:95" x14ac:dyDescent="0.2">
      <c r="A19" s="3">
        <f t="shared" si="0"/>
        <v>40</v>
      </c>
      <c r="B19">
        <v>-4656.474609375</v>
      </c>
      <c r="C19">
        <v>-478.48190307617102</v>
      </c>
      <c r="D19">
        <v>-1540.91125488281</v>
      </c>
      <c r="E19">
        <v>-1645.01806640625</v>
      </c>
      <c r="F19">
        <v>-1896.69458007812</v>
      </c>
      <c r="G19">
        <v>-881.79058837890602</v>
      </c>
      <c r="H19">
        <v>-1425.64624023437</v>
      </c>
      <c r="I19">
        <v>-838.86822509765602</v>
      </c>
      <c r="J19">
        <v>-749.18255615234295</v>
      </c>
      <c r="K19">
        <v>-2265.1589168608189</v>
      </c>
      <c r="L19">
        <v>-477.91180419921801</v>
      </c>
      <c r="M19">
        <v>-1376.50061035156</v>
      </c>
      <c r="N19">
        <v>-753.41851806640602</v>
      </c>
      <c r="O19">
        <v>-607.40216064453102</v>
      </c>
      <c r="P19">
        <v>-953.48687744140602</v>
      </c>
      <c r="Q19">
        <v>-840.8359375</v>
      </c>
      <c r="R19">
        <v>-666.32702636718705</v>
      </c>
      <c r="S19">
        <v>-400.26416015625</v>
      </c>
      <c r="T19">
        <v>-324.79901123046801</v>
      </c>
      <c r="U19">
        <v>-431.85153198242102</v>
      </c>
      <c r="V19">
        <v>-457.19201660156199</v>
      </c>
      <c r="W19">
        <v>-258.10296630859301</v>
      </c>
      <c r="X19">
        <v>-402.881256103515</v>
      </c>
      <c r="Y19">
        <v>-405.86627197265602</v>
      </c>
      <c r="Z19" s="5">
        <v>-370.11715698242102</v>
      </c>
      <c r="AA19">
        <v>-356.10107421875</v>
      </c>
      <c r="AB19">
        <v>-348.4638671875</v>
      </c>
      <c r="AC19">
        <v>-764.49896240234295</v>
      </c>
      <c r="AD19">
        <v>-500.445709228515</v>
      </c>
      <c r="AE19">
        <v>-427.61898803710898</v>
      </c>
      <c r="AF19">
        <v>-360.99954223632801</v>
      </c>
      <c r="AG19">
        <v>-295.56423950195301</v>
      </c>
      <c r="AH19">
        <v>-319.30108642578102</v>
      </c>
      <c r="AI19">
        <v>-214.22779083251902</v>
      </c>
      <c r="AJ19">
        <v>-290.04644775390602</v>
      </c>
      <c r="AK19">
        <v>-248.35104370117099</v>
      </c>
      <c r="AL19">
        <v>-216.43319702148401</v>
      </c>
      <c r="AM19">
        <v>-204.85491943359301</v>
      </c>
      <c r="AO19">
        <v>-144.62318420410099</v>
      </c>
      <c r="AP19">
        <v>-90.687744140625</v>
      </c>
      <c r="AQ19">
        <v>-104.147369384765</v>
      </c>
      <c r="AR19">
        <v>-55.552688598632798</v>
      </c>
      <c r="AS19">
        <v>-106.9907913208</v>
      </c>
      <c r="AT19">
        <v>-148.23587799072214</v>
      </c>
      <c r="AU19">
        <v>-365.04450225830027</v>
      </c>
      <c r="AV19">
        <v>-82.15065765380831</v>
      </c>
      <c r="AW19">
        <v>-820.33386230468705</v>
      </c>
      <c r="AX19">
        <v>-1030.5537109375</v>
      </c>
      <c r="AY19" s="3">
        <v>-575.68487548828102</v>
      </c>
      <c r="AZ19">
        <v>-505.29064941406199</v>
      </c>
      <c r="BA19">
        <v>-455.95162359873422</v>
      </c>
      <c r="BB19">
        <v>-164.44007873535099</v>
      </c>
      <c r="BC19">
        <v>-167.32559013366679</v>
      </c>
      <c r="BD19">
        <v>-203.39120483398401</v>
      </c>
      <c r="BE19">
        <v>-229.348541259765</v>
      </c>
      <c r="BF19">
        <v>-154.72267150878901</v>
      </c>
      <c r="BG19">
        <v>-437.56195068359301</v>
      </c>
      <c r="BH19">
        <v>-64.857704162597599</v>
      </c>
      <c r="BI19">
        <v>-95.278846740722599</v>
      </c>
      <c r="BJ19" s="3">
        <v>-93.124382972716887</v>
      </c>
      <c r="BK19" s="3">
        <v>-730.40098901884357</v>
      </c>
      <c r="BL19" s="3">
        <v>-267.01702880859301</v>
      </c>
      <c r="BM19">
        <v>-229.07150268554599</v>
      </c>
      <c r="BN19">
        <v>-132.93746948242099</v>
      </c>
      <c r="BO19">
        <v>-126.655479431152</v>
      </c>
      <c r="BP19">
        <v>-219.35231018066401</v>
      </c>
      <c r="BQ19">
        <v>-225.150787353515</v>
      </c>
      <c r="BR19">
        <v>-197.66279602050733</v>
      </c>
      <c r="BS19">
        <v>-334.62320556640577</v>
      </c>
      <c r="BT19">
        <v>-191.90771484374932</v>
      </c>
      <c r="BU19">
        <v>-200.74076843261699</v>
      </c>
      <c r="BV19">
        <v>-127.089111328125</v>
      </c>
      <c r="BW19">
        <v>-216.389877319335</v>
      </c>
      <c r="BX19">
        <v>-165.49420164653168</v>
      </c>
      <c r="BZ19">
        <v>-49.511337280273402</v>
      </c>
      <c r="CA19">
        <v>-66.074249267578068</v>
      </c>
      <c r="CB19">
        <v>-58.691062291463133</v>
      </c>
      <c r="CC19">
        <v>-185.23857879638598</v>
      </c>
      <c r="CD19">
        <v>-88.539479255676241</v>
      </c>
      <c r="CM19" s="12"/>
      <c r="CN19" s="12"/>
      <c r="CO19" s="12"/>
      <c r="CQ19" s="3"/>
    </row>
    <row r="20" spans="1:95" x14ac:dyDescent="0.2">
      <c r="A20" s="3">
        <f t="shared" si="0"/>
        <v>50</v>
      </c>
      <c r="B20">
        <v>-3251.8984375</v>
      </c>
      <c r="C20">
        <v>-339.95828247070301</v>
      </c>
      <c r="D20">
        <v>-907.97326660156205</v>
      </c>
      <c r="E20">
        <v>-947.44055175781205</v>
      </c>
      <c r="F20">
        <v>-1099.65112304687</v>
      </c>
      <c r="G20">
        <v>-604.71868896484295</v>
      </c>
      <c r="H20">
        <v>-1116.33715820312</v>
      </c>
      <c r="I20">
        <v>-565.50567626953102</v>
      </c>
      <c r="J20">
        <v>-408.61090087890602</v>
      </c>
      <c r="K20">
        <v>-1690.3848327621793</v>
      </c>
      <c r="L20">
        <v>-263.07452392578102</v>
      </c>
      <c r="M20">
        <v>-1067.021484375</v>
      </c>
      <c r="N20">
        <v>-522.22186279296795</v>
      </c>
      <c r="O20">
        <v>-324.52899169921801</v>
      </c>
      <c r="P20">
        <v>-563.718505859375</v>
      </c>
      <c r="Q20">
        <v>-549.74639892578102</v>
      </c>
      <c r="R20">
        <v>-336.25064086914</v>
      </c>
      <c r="S20">
        <v>-208.12438964843699</v>
      </c>
      <c r="T20">
        <v>-198.12004089355401</v>
      </c>
      <c r="U20">
        <v>-264.93109130859301</v>
      </c>
      <c r="V20">
        <v>-257.03717041015602</v>
      </c>
      <c r="W20">
        <v>-108.174751281738</v>
      </c>
      <c r="X20">
        <v>-232.65548706054599</v>
      </c>
      <c r="Y20">
        <v>-227.55462646484301</v>
      </c>
      <c r="Z20" s="5">
        <v>-261.96286010742102</v>
      </c>
      <c r="AA20">
        <v>-240.83721923828099</v>
      </c>
      <c r="AB20">
        <v>-231.93522644042901</v>
      </c>
      <c r="AC20">
        <v>-554.123291015625</v>
      </c>
      <c r="AD20">
        <v>-347.03005981445301</v>
      </c>
      <c r="AE20">
        <v>-240.67330932617099</v>
      </c>
      <c r="AF20">
        <v>-232.027908325195</v>
      </c>
      <c r="AG20">
        <v>-164.74684143066401</v>
      </c>
      <c r="AH20">
        <v>-165.50941467285099</v>
      </c>
      <c r="AI20">
        <v>-127.44785690307612</v>
      </c>
      <c r="AJ20">
        <v>-210.068115234375</v>
      </c>
      <c r="AK20">
        <v>-145.31925964355401</v>
      </c>
      <c r="AL20">
        <v>-135.284423828125</v>
      </c>
      <c r="AM20">
        <v>-125.85539245605401</v>
      </c>
      <c r="AO20">
        <v>-88.845680236816406</v>
      </c>
      <c r="AP20">
        <v>-45.372005462646399</v>
      </c>
      <c r="AQ20">
        <v>-99.389831542968693</v>
      </c>
      <c r="AR20">
        <v>-34.672061920166001</v>
      </c>
      <c r="AS20">
        <v>-73.590682983398395</v>
      </c>
      <c r="AT20">
        <v>-88.748456954955842</v>
      </c>
      <c r="AU20">
        <v>-223.42816543579076</v>
      </c>
      <c r="AV20">
        <v>-25.6838569641113</v>
      </c>
      <c r="AW20">
        <v>-572.92242431640602</v>
      </c>
      <c r="AX20">
        <v>-724.44421386718705</v>
      </c>
      <c r="AY20" s="3">
        <v>-364.37020874023398</v>
      </c>
      <c r="AZ20">
        <v>-348.86315917968699</v>
      </c>
      <c r="BA20">
        <v>-307.08362229665062</v>
      </c>
      <c r="BB20">
        <v>-113.56882476806599</v>
      </c>
      <c r="BC20">
        <v>-77.726484298705799</v>
      </c>
      <c r="BD20">
        <v>-102.591896057128</v>
      </c>
      <c r="BE20">
        <v>-171.29139709472599</v>
      </c>
      <c r="BF20">
        <v>-82.873199462890597</v>
      </c>
      <c r="BG20">
        <v>-310.091552734375</v>
      </c>
      <c r="BH20">
        <v>-39.962303161621001</v>
      </c>
      <c r="BI20">
        <v>-60.910991668701101</v>
      </c>
      <c r="BJ20" s="3">
        <v>-60.714715003967278</v>
      </c>
      <c r="BK20" s="3">
        <v>-449.70570995390017</v>
      </c>
      <c r="BL20" s="3">
        <v>-152.04113769531199</v>
      </c>
      <c r="BM20">
        <v>-144.60801696777301</v>
      </c>
      <c r="BN20">
        <v>26.0103759765625</v>
      </c>
      <c r="BO20">
        <v>-33.606063842773402</v>
      </c>
      <c r="BP20">
        <v>-110.659385681152</v>
      </c>
      <c r="BQ20">
        <v>-97.324851989745994</v>
      </c>
      <c r="BR20">
        <v>-100.90075937906886</v>
      </c>
      <c r="BS20">
        <v>-180.07356567382763</v>
      </c>
      <c r="BT20">
        <v>-139.52365620930934</v>
      </c>
      <c r="BU20">
        <v>-156.84817504882801</v>
      </c>
      <c r="BV20">
        <v>-85.752677917480398</v>
      </c>
      <c r="BW20">
        <v>-149.13150024414</v>
      </c>
      <c r="BX20">
        <v>-95.832199301038301</v>
      </c>
      <c r="BZ20">
        <v>-20.304924011230401</v>
      </c>
      <c r="CA20">
        <v>-21.300884246826126</v>
      </c>
      <c r="CB20">
        <v>-35.833463668823171</v>
      </c>
      <c r="CC20">
        <v>-145.7161483764645</v>
      </c>
      <c r="CD20">
        <v>-58.130121231079045</v>
      </c>
      <c r="CM20" s="12"/>
      <c r="CN20" s="12"/>
      <c r="CO20" s="12"/>
      <c r="CQ20" s="3"/>
    </row>
    <row r="21" spans="1:95" x14ac:dyDescent="0.2">
      <c r="A21" s="3">
        <f t="shared" si="0"/>
        <v>60</v>
      </c>
      <c r="B21">
        <v>-2144.4990234375</v>
      </c>
      <c r="C21">
        <v>-226.62744140625</v>
      </c>
      <c r="D21">
        <v>-361.76647949218699</v>
      </c>
      <c r="E21">
        <v>-309.76339721679602</v>
      </c>
      <c r="F21">
        <v>-234.34176635742099</v>
      </c>
      <c r="G21">
        <v>-336.21636962890602</v>
      </c>
      <c r="H21">
        <v>-771.41589355468705</v>
      </c>
      <c r="I21">
        <v>-323.633209228515</v>
      </c>
      <c r="J21">
        <v>125.53793334960901</v>
      </c>
      <c r="K21">
        <v>-1124.350932091472</v>
      </c>
      <c r="L21">
        <v>-94.210647583007798</v>
      </c>
      <c r="M21">
        <v>-689.79058837890602</v>
      </c>
      <c r="N21">
        <v>-269.62152099609301</v>
      </c>
      <c r="O21">
        <v>-108.61676025390599</v>
      </c>
      <c r="P21">
        <v>-190.119140625</v>
      </c>
      <c r="Q21">
        <v>-266.02819824218699</v>
      </c>
      <c r="R21">
        <v>-120.624046325683</v>
      </c>
      <c r="S21">
        <v>-62.665542602538999</v>
      </c>
      <c r="T21">
        <v>-80.242416381835895</v>
      </c>
      <c r="U21">
        <v>-95.700935363769503</v>
      </c>
      <c r="V21">
        <v>-132.68298339843699</v>
      </c>
      <c r="W21">
        <v>35.365913391113203</v>
      </c>
      <c r="X21">
        <v>-131.60333251953099</v>
      </c>
      <c r="Y21">
        <v>-124.22720336914</v>
      </c>
      <c r="Z21" s="5">
        <v>-108.154289245605</v>
      </c>
      <c r="AA21">
        <v>-97.19677734375</v>
      </c>
      <c r="AB21">
        <v>-122.37541198730401</v>
      </c>
      <c r="AC21">
        <v>-320.8515625</v>
      </c>
      <c r="AD21">
        <v>-192.75871276855401</v>
      </c>
      <c r="AE21">
        <v>-73.873664855957003</v>
      </c>
      <c r="AF21">
        <v>-127.35617828369099</v>
      </c>
      <c r="AG21">
        <v>-105.319564819335</v>
      </c>
      <c r="AH21">
        <v>-37.514480590820298</v>
      </c>
      <c r="AI21">
        <v>-35.239528656005803</v>
      </c>
      <c r="AJ21">
        <v>-126.35247039794901</v>
      </c>
      <c r="AK21">
        <v>-58.076553344726499</v>
      </c>
      <c r="AL21">
        <v>-59.786491394042898</v>
      </c>
      <c r="AM21">
        <v>-53.273670196533203</v>
      </c>
      <c r="AO21">
        <v>-47.432888031005803</v>
      </c>
      <c r="AP21">
        <v>-12.9508972167968</v>
      </c>
      <c r="AQ21">
        <v>-51.178985595703097</v>
      </c>
      <c r="AR21">
        <v>-18.038110733032202</v>
      </c>
      <c r="AS21">
        <v>-60.952613830566399</v>
      </c>
      <c r="AT21">
        <v>-31.46129862467447</v>
      </c>
      <c r="AU21">
        <v>-102.37182140350305</v>
      </c>
      <c r="AV21">
        <v>8.3182930946349991</v>
      </c>
      <c r="AW21">
        <v>-323.84259033203102</v>
      </c>
      <c r="AX21">
        <v>-441.62469482421801</v>
      </c>
      <c r="AY21" s="3">
        <v>-176.47251892089801</v>
      </c>
      <c r="AZ21">
        <v>-219.06756591796801</v>
      </c>
      <c r="BA21">
        <v>-167.25689093271859</v>
      </c>
      <c r="BB21">
        <v>-60.4776000976562</v>
      </c>
      <c r="BC21">
        <v>-19.5744953155518</v>
      </c>
      <c r="BD21">
        <v>15.356616020202599</v>
      </c>
      <c r="BE21">
        <v>-112.925094604492</v>
      </c>
      <c r="BG21">
        <v>-178.84828186035099</v>
      </c>
      <c r="BH21">
        <v>-28.695968627929599</v>
      </c>
      <c r="BI21">
        <v>-32.347198486328097</v>
      </c>
      <c r="BJ21" s="3">
        <v>-32.180783271789579</v>
      </c>
      <c r="BK21" s="3">
        <v>-203.37659867699091</v>
      </c>
      <c r="BL21" s="3">
        <v>-45.921092987060497</v>
      </c>
      <c r="BM21">
        <v>-75.851341247558494</v>
      </c>
      <c r="BN21">
        <v>104.33966064453099</v>
      </c>
      <c r="BO21">
        <v>42.242782592773402</v>
      </c>
      <c r="BP21">
        <v>39.705612182617102</v>
      </c>
      <c r="BQ21">
        <v>54.804718017578097</v>
      </c>
      <c r="BR21">
        <v>-4.9272613525390652</v>
      </c>
      <c r="BS21">
        <v>-27.71490020751947</v>
      </c>
      <c r="BT21">
        <v>-60.756945292154903</v>
      </c>
      <c r="BU21">
        <v>-106.32626342773401</v>
      </c>
      <c r="BV21">
        <v>-24.890846252441399</v>
      </c>
      <c r="BW21">
        <v>-87.282546997070298</v>
      </c>
      <c r="BX21">
        <v>-63.46050495420161</v>
      </c>
      <c r="BZ21">
        <v>-17.597160339355401</v>
      </c>
      <c r="CA21">
        <v>24.914405822753853</v>
      </c>
      <c r="CB21">
        <v>-18.451175689697227</v>
      </c>
      <c r="CC21">
        <v>-123.25750732421849</v>
      </c>
      <c r="CD21">
        <v>-30.464689254760685</v>
      </c>
      <c r="CM21" s="12"/>
      <c r="CN21" s="12"/>
      <c r="CO21" s="12"/>
      <c r="CQ21" s="3"/>
    </row>
    <row r="22" spans="1:95" x14ac:dyDescent="0.2">
      <c r="A22" s="3">
        <f t="shared" si="0"/>
        <v>70</v>
      </c>
      <c r="B22">
        <v>-1144.59704589843</v>
      </c>
      <c r="C22">
        <v>-140.51916503906199</v>
      </c>
      <c r="D22">
        <v>147.92889404296801</v>
      </c>
      <c r="E22">
        <v>229.37861633300699</v>
      </c>
      <c r="F22">
        <v>770.33770751953102</v>
      </c>
      <c r="G22">
        <v>-104.5503616333</v>
      </c>
      <c r="H22">
        <v>-501.40994262695301</v>
      </c>
      <c r="I22">
        <v>-111.701454162597</v>
      </c>
      <c r="J22">
        <v>97.837257385253906</v>
      </c>
      <c r="K22">
        <v>-664.05889448523521</v>
      </c>
      <c r="L22">
        <v>72.979812622070298</v>
      </c>
      <c r="M22">
        <v>-357.76248168945301</v>
      </c>
      <c r="N22">
        <v>84.477432250976506</v>
      </c>
      <c r="O22">
        <v>162.68078613281199</v>
      </c>
      <c r="P22">
        <v>142.36178588867099</v>
      </c>
      <c r="Q22">
        <v>127.28311920166</v>
      </c>
      <c r="R22">
        <v>53.861312866210902</v>
      </c>
      <c r="S22">
        <v>115.77433776855401</v>
      </c>
      <c r="T22">
        <v>39.731842041015597</v>
      </c>
      <c r="U22">
        <v>46.645339965820298</v>
      </c>
      <c r="V22">
        <v>38.442306518554602</v>
      </c>
      <c r="W22">
        <v>62.457633972167898</v>
      </c>
      <c r="X22">
        <v>-28.2489929199218</v>
      </c>
      <c r="Y22">
        <v>72.752670288085895</v>
      </c>
      <c r="Z22" s="5">
        <v>54.260250091552699</v>
      </c>
      <c r="AA22">
        <v>99.445350646972599</v>
      </c>
      <c r="AB22">
        <v>38.938987731933501</v>
      </c>
      <c r="AC22">
        <v>-157.32354736328099</v>
      </c>
      <c r="AD22">
        <v>-69.603775024414006</v>
      </c>
      <c r="AE22">
        <v>190.94345092773401</v>
      </c>
      <c r="AF22">
        <v>54.681156158447202</v>
      </c>
      <c r="AG22">
        <v>38.411018371582003</v>
      </c>
      <c r="AH22">
        <v>44.114105224609297</v>
      </c>
      <c r="AI22">
        <v>17.288040161132798</v>
      </c>
      <c r="AJ22">
        <v>36.345245361328097</v>
      </c>
      <c r="AK22">
        <v>-27.2183227539062</v>
      </c>
      <c r="AL22">
        <v>24.3301086425781</v>
      </c>
      <c r="AM22">
        <v>-13.465995788574199</v>
      </c>
      <c r="AO22">
        <v>68.208068847656193</v>
      </c>
      <c r="AP22">
        <v>42.579643249511697</v>
      </c>
      <c r="AQ22">
        <v>100.93701171875</v>
      </c>
      <c r="AR22">
        <v>38.260360717773402</v>
      </c>
      <c r="AS22">
        <v>22.7245483398437</v>
      </c>
      <c r="AT22">
        <v>3.3833160400390732</v>
      </c>
      <c r="AU22">
        <v>41.419143676757756</v>
      </c>
      <c r="AV22">
        <v>49.835672378539975</v>
      </c>
      <c r="AW22">
        <v>163.58641052246</v>
      </c>
      <c r="AX22">
        <v>-184.34254455566401</v>
      </c>
      <c r="AY22" s="3">
        <v>48.767745971679602</v>
      </c>
      <c r="AZ22">
        <v>-95.757034301757798</v>
      </c>
      <c r="BA22">
        <v>-65.934672355651784</v>
      </c>
      <c r="BB22">
        <v>37.701507568359297</v>
      </c>
      <c r="BC22">
        <v>18.957674026489226</v>
      </c>
      <c r="BD22">
        <v>79.794044494628906</v>
      </c>
      <c r="BE22">
        <v>-33.097480773925703</v>
      </c>
      <c r="BF22">
        <v>47.634368896484297</v>
      </c>
      <c r="BG22">
        <v>-72.145095825195298</v>
      </c>
      <c r="BH22">
        <v>22.4791870117187</v>
      </c>
      <c r="BI22">
        <v>24.392227172851499</v>
      </c>
      <c r="BJ22" s="3">
        <v>-3.9520263671874805</v>
      </c>
      <c r="BK22" s="3">
        <v>37.882896928933974</v>
      </c>
      <c r="BL22" s="3">
        <v>42.6165351867675</v>
      </c>
      <c r="BM22">
        <v>-25.8412170410156</v>
      </c>
      <c r="BN22">
        <v>188.95266723632801</v>
      </c>
      <c r="BO22">
        <v>82.328598022460895</v>
      </c>
      <c r="BP22">
        <v>86.547409057617102</v>
      </c>
      <c r="BQ22">
        <v>120.23207092285099</v>
      </c>
      <c r="BR22">
        <v>103.87665812174474</v>
      </c>
      <c r="BS22">
        <v>118.43167419433583</v>
      </c>
      <c r="BT22">
        <v>25.111634572346968</v>
      </c>
      <c r="BU22">
        <v>-77.152359008789006</v>
      </c>
      <c r="BV22">
        <v>28.859449386596602</v>
      </c>
      <c r="BW22">
        <v>-28.388851165771399</v>
      </c>
      <c r="BX22">
        <v>-7.7333037103924198</v>
      </c>
      <c r="BZ22">
        <v>65.667251586914006</v>
      </c>
      <c r="CA22">
        <v>62.6477241516113</v>
      </c>
      <c r="CB22">
        <v>9.7026481628417631</v>
      </c>
      <c r="CC22">
        <v>-89.168937683105398</v>
      </c>
      <c r="CD22">
        <v>-9.5503025054931001</v>
      </c>
      <c r="CM22" s="12"/>
      <c r="CN22" s="12"/>
      <c r="CO22" s="12"/>
      <c r="CQ22" s="3"/>
    </row>
    <row r="23" spans="1:95" x14ac:dyDescent="0.2">
      <c r="A23" s="3">
        <f t="shared" si="0"/>
        <v>80</v>
      </c>
      <c r="B23">
        <v>-563.39227294921795</v>
      </c>
      <c r="C23">
        <v>-71.044319152832003</v>
      </c>
      <c r="D23">
        <v>421.51034545898398</v>
      </c>
      <c r="E23">
        <v>659.38458251953102</v>
      </c>
      <c r="F23">
        <v>1423.1298828125</v>
      </c>
      <c r="G23">
        <v>145.27624511718699</v>
      </c>
      <c r="H23">
        <v>-206.27438354492099</v>
      </c>
      <c r="I23">
        <v>76.319641113281193</v>
      </c>
      <c r="J23">
        <v>407.48449707031199</v>
      </c>
      <c r="K23">
        <v>-216.50690659694368</v>
      </c>
      <c r="L23">
        <v>193.70471191406199</v>
      </c>
      <c r="M23">
        <v>130.40953063964801</v>
      </c>
      <c r="N23">
        <v>299.97930908203102</v>
      </c>
      <c r="O23">
        <v>349.74462890625</v>
      </c>
      <c r="P23">
        <v>426.12170410156199</v>
      </c>
      <c r="Q23">
        <v>212.46525573730401</v>
      </c>
      <c r="R23">
        <v>130.46928405761699</v>
      </c>
      <c r="S23">
        <v>185.43141174316401</v>
      </c>
      <c r="T23">
        <v>110.226303100585</v>
      </c>
      <c r="U23">
        <v>188.91554260253901</v>
      </c>
      <c r="V23">
        <v>156.37274169921801</v>
      </c>
      <c r="W23">
        <v>103.306312561035</v>
      </c>
      <c r="X23">
        <v>138.7841796875</v>
      </c>
      <c r="Y23">
        <v>148.06904602050699</v>
      </c>
      <c r="Z23" s="5">
        <v>133.42283630371</v>
      </c>
      <c r="AA23">
        <v>160.06265258789</v>
      </c>
      <c r="AB23">
        <v>133.98876953125</v>
      </c>
      <c r="AC23">
        <v>23.070499420166001</v>
      </c>
      <c r="AD23">
        <v>175.93194580078099</v>
      </c>
      <c r="AE23">
        <v>370.5126953125</v>
      </c>
      <c r="AF23">
        <v>116.822868347167</v>
      </c>
      <c r="AG23">
        <v>96.8773193359375</v>
      </c>
      <c r="AH23">
        <v>63.437652587890597</v>
      </c>
      <c r="AI23">
        <v>84.98114013671875</v>
      </c>
      <c r="AJ23">
        <v>44.8402099609375</v>
      </c>
      <c r="AK23">
        <v>38.297744750976499</v>
      </c>
      <c r="AL23">
        <v>72.15625</v>
      </c>
      <c r="AM23">
        <v>51.088264465332003</v>
      </c>
      <c r="AO23">
        <v>94.566726684570298</v>
      </c>
      <c r="AP23">
        <v>65.6175537109375</v>
      </c>
      <c r="AQ23">
        <v>-30.710975646972599</v>
      </c>
      <c r="AR23">
        <v>48.6299629211425</v>
      </c>
      <c r="AS23">
        <v>25.6452102661132</v>
      </c>
      <c r="AT23">
        <v>61.042762756347372</v>
      </c>
      <c r="AU23">
        <v>94.150962829589801</v>
      </c>
      <c r="AV23">
        <v>81.961846828460608</v>
      </c>
      <c r="AW23">
        <v>227.73147583007801</v>
      </c>
      <c r="AX23">
        <v>70.7315673828125</v>
      </c>
      <c r="AY23" s="3">
        <v>167.87643432617099</v>
      </c>
      <c r="AZ23">
        <v>43.886215209960902</v>
      </c>
      <c r="BA23">
        <v>75.752099037170197</v>
      </c>
      <c r="BC23">
        <v>50.977127393086732</v>
      </c>
      <c r="BD23">
        <v>113.496543884277</v>
      </c>
      <c r="BE23">
        <v>-40.114673614501903</v>
      </c>
      <c r="BF23">
        <v>67.999572753906193</v>
      </c>
      <c r="BG23">
        <v>23.614852905273398</v>
      </c>
      <c r="BH23">
        <v>21.469253540038999</v>
      </c>
      <c r="BJ23" s="3">
        <v>26.016233444213718</v>
      </c>
      <c r="BK23" s="3">
        <v>229.8046437362099</v>
      </c>
      <c r="BL23" s="3">
        <v>95.758850097656193</v>
      </c>
      <c r="BM23">
        <v>-22.8890075683593</v>
      </c>
      <c r="BN23">
        <v>236.95549011230401</v>
      </c>
      <c r="BO23">
        <v>130.75975036621</v>
      </c>
      <c r="BP23">
        <v>127.19285583496</v>
      </c>
      <c r="BQ23">
        <v>199.90554809570301</v>
      </c>
      <c r="BR23">
        <v>167.40283711751269</v>
      </c>
      <c r="BS23">
        <v>221.79204711914008</v>
      </c>
      <c r="BT23">
        <v>70.198331197102803</v>
      </c>
      <c r="BU23">
        <v>31.928695678710898</v>
      </c>
      <c r="BV23">
        <v>34.018840789794901</v>
      </c>
      <c r="BW23">
        <v>46.612861633300703</v>
      </c>
      <c r="BX23">
        <v>10.403308010101362</v>
      </c>
      <c r="BZ23">
        <v>52.522918701171797</v>
      </c>
      <c r="CA23">
        <v>92.819416046142464</v>
      </c>
      <c r="CB23">
        <v>12.070749282836875</v>
      </c>
      <c r="CC23">
        <v>-50.691082000732401</v>
      </c>
      <c r="CD23">
        <v>9.1638412475585866</v>
      </c>
      <c r="CM23" s="12"/>
      <c r="CN23" s="12"/>
      <c r="CO23" s="12"/>
      <c r="CQ23" s="3"/>
    </row>
    <row r="24" spans="1:95" x14ac:dyDescent="0.2">
      <c r="A24" s="3">
        <f t="shared" si="0"/>
        <v>90</v>
      </c>
      <c r="B24">
        <v>845.794189453125</v>
      </c>
      <c r="C24">
        <v>45.613105773925703</v>
      </c>
      <c r="K24">
        <v>144.3909095525741</v>
      </c>
      <c r="M24">
        <v>277.07772827148398</v>
      </c>
      <c r="AC24">
        <v>401.61145019531199</v>
      </c>
      <c r="CM24" s="12"/>
      <c r="CN24" s="12"/>
      <c r="CO24" s="12"/>
      <c r="CQ24" s="3"/>
    </row>
    <row r="25" spans="1:95" x14ac:dyDescent="0.2">
      <c r="A25" s="3">
        <f>A24+10</f>
        <v>100</v>
      </c>
      <c r="B25">
        <v>1512.04455566406</v>
      </c>
      <c r="C25">
        <v>88.855514526367102</v>
      </c>
      <c r="K25">
        <v>402.32959437370249</v>
      </c>
      <c r="M25">
        <v>527.48138427734295</v>
      </c>
      <c r="AC25">
        <v>509.87942504882801</v>
      </c>
      <c r="BT25" s="3"/>
      <c r="CM25" s="12"/>
      <c r="CN25" s="12"/>
      <c r="CO25" s="12"/>
      <c r="CQ25" s="3"/>
    </row>
    <row r="26" spans="1:95" x14ac:dyDescent="0.2">
      <c r="A26" s="3">
        <f t="shared" si="0"/>
        <v>110</v>
      </c>
      <c r="B26">
        <v>1961.42932128906</v>
      </c>
      <c r="C26">
        <v>134.5576171875</v>
      </c>
      <c r="K26">
        <v>616.82118402421395</v>
      </c>
      <c r="M26">
        <v>645.259765625</v>
      </c>
      <c r="AC26">
        <v>613.67718505859295</v>
      </c>
      <c r="BS26" s="3"/>
      <c r="BT26" s="3"/>
      <c r="CM26" s="12"/>
      <c r="CN26" s="12"/>
      <c r="CO26" s="12"/>
      <c r="CQ26" s="3"/>
    </row>
    <row r="27" spans="1:95" x14ac:dyDescent="0.2">
      <c r="A27" s="3">
        <f t="shared" si="0"/>
        <v>120</v>
      </c>
      <c r="B27">
        <v>2262.99682617187</v>
      </c>
      <c r="BS27" s="3"/>
      <c r="BT27" s="3"/>
      <c r="CM27" s="12"/>
      <c r="CN27" s="12"/>
      <c r="CO27" s="12"/>
    </row>
    <row r="28" spans="1:95" x14ac:dyDescent="0.2">
      <c r="A28" s="3">
        <v>130</v>
      </c>
      <c r="B28">
        <v>2430.05517578125</v>
      </c>
      <c r="AR28" t="s">
        <v>347</v>
      </c>
      <c r="AV28" t="s">
        <v>347</v>
      </c>
      <c r="AY28" t="s">
        <v>156</v>
      </c>
      <c r="BS28" s="3"/>
      <c r="BT28" s="3"/>
      <c r="CM28" s="12"/>
      <c r="CN28" s="12"/>
      <c r="CO28" s="12"/>
    </row>
    <row r="29" spans="1:95" x14ac:dyDescent="0.2">
      <c r="A29" s="3" t="s">
        <v>79</v>
      </c>
      <c r="F29" t="s">
        <v>214</v>
      </c>
      <c r="AX29" s="3"/>
      <c r="AZ29" s="3"/>
      <c r="BA29" s="3"/>
      <c r="BC29" s="3"/>
      <c r="BI29" s="3"/>
      <c r="BJ29" s="3"/>
      <c r="BS29" s="3" t="s">
        <v>156</v>
      </c>
      <c r="BT29" s="3"/>
      <c r="BU29" s="3"/>
      <c r="CM29" s="12"/>
      <c r="CN29" s="12"/>
      <c r="CO29" s="12"/>
    </row>
    <row r="30" spans="1:95" x14ac:dyDescent="0.2">
      <c r="AX30" s="3"/>
      <c r="AZ30" s="3"/>
      <c r="BA30" s="3"/>
      <c r="BC30" s="3"/>
      <c r="BI30" s="3"/>
      <c r="BJ30" s="3"/>
      <c r="BS30" s="3"/>
      <c r="BT30" s="3"/>
      <c r="BU30" s="3"/>
      <c r="CM30" s="12"/>
      <c r="CN30" s="12"/>
      <c r="CO30" s="12"/>
    </row>
    <row r="31" spans="1:95" x14ac:dyDescent="0.2">
      <c r="CM31" s="12"/>
      <c r="CN31" s="12"/>
      <c r="CO31" s="12"/>
    </row>
    <row r="32" spans="1:95" x14ac:dyDescent="0.2">
      <c r="CM32" s="12"/>
      <c r="CN32" s="12"/>
      <c r="CO32" s="12"/>
    </row>
    <row r="33" spans="2:95" x14ac:dyDescent="0.2">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M33" s="12"/>
      <c r="CN33" s="12"/>
      <c r="CO33" s="12"/>
    </row>
    <row r="34" spans="2:95" x14ac:dyDescent="0.2">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M34" s="12"/>
      <c r="CN34" s="12"/>
      <c r="CO34" s="12"/>
    </row>
    <row r="35" spans="2:95" x14ac:dyDescent="0.2">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M35" s="12"/>
      <c r="CN35" s="12"/>
      <c r="CO35" s="12"/>
    </row>
    <row r="36" spans="2:95" x14ac:dyDescent="0.2">
      <c r="CM36" s="12"/>
      <c r="CN36" s="12"/>
      <c r="CO36" s="12"/>
      <c r="CP36" s="6"/>
      <c r="CQ36" s="6"/>
    </row>
    <row r="37" spans="2:95" x14ac:dyDescent="0.2">
      <c r="CM37" s="12"/>
      <c r="CN37" s="12"/>
      <c r="CO37" s="12"/>
    </row>
    <row r="38" spans="2:95" x14ac:dyDescent="0.2">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M38" s="12"/>
      <c r="CN38" s="12"/>
      <c r="CO38" s="12"/>
    </row>
    <row r="39" spans="2:95" x14ac:dyDescent="0.2">
      <c r="CM39" s="12"/>
      <c r="CN39" s="12"/>
      <c r="CO39" s="12"/>
    </row>
    <row r="40" spans="2:95" x14ac:dyDescent="0.2">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M40" s="12"/>
      <c r="CN40" s="12"/>
      <c r="CO40" s="12"/>
    </row>
    <row r="41" spans="2:95" x14ac:dyDescent="0.2">
      <c r="B41" s="1"/>
      <c r="CM41" s="12"/>
      <c r="CN41" s="12"/>
      <c r="CO41" s="12"/>
    </row>
    <row r="42" spans="2:95" x14ac:dyDescent="0.2">
      <c r="B42" s="1"/>
      <c r="CM42" s="12"/>
      <c r="CN42" s="12"/>
      <c r="CO42" s="12"/>
    </row>
    <row r="43" spans="2:95" x14ac:dyDescent="0.2">
      <c r="B43" s="1"/>
      <c r="CM43" s="12"/>
      <c r="CN43" s="12"/>
      <c r="CO43" s="12"/>
    </row>
    <row r="44" spans="2:95" x14ac:dyDescent="0.2">
      <c r="B44" s="1"/>
      <c r="CM44" s="12"/>
      <c r="CN44" s="12"/>
      <c r="CO44" s="12"/>
    </row>
    <row r="45" spans="2:95" x14ac:dyDescent="0.2">
      <c r="B45" s="1"/>
      <c r="CM45" s="12"/>
      <c r="CN45" s="12"/>
      <c r="CO45" s="12"/>
    </row>
    <row r="46" spans="2:95" x14ac:dyDescent="0.2">
      <c r="B46" s="1"/>
      <c r="CM46" s="12"/>
      <c r="CN46" s="12"/>
      <c r="CO46" s="12"/>
    </row>
    <row r="47" spans="2:95" x14ac:dyDescent="0.2">
      <c r="BK47" s="3"/>
      <c r="BL47" s="3"/>
      <c r="CB47" s="3"/>
      <c r="CM47" s="12"/>
      <c r="CN47" s="12"/>
      <c r="CO47" s="12"/>
    </row>
    <row r="48" spans="2:95" x14ac:dyDescent="0.2">
      <c r="BK48" s="3"/>
      <c r="BL48" s="3"/>
      <c r="CB48" s="3"/>
      <c r="CM48" s="12"/>
      <c r="CN48" s="12"/>
      <c r="CO48" s="12"/>
    </row>
    <row r="49" spans="91:93" x14ac:dyDescent="0.2">
      <c r="CM49" s="12"/>
      <c r="CN49" s="12"/>
      <c r="CO49" s="12"/>
    </row>
    <row r="50" spans="91:93" x14ac:dyDescent="0.2">
      <c r="CM50" s="12"/>
      <c r="CN50" s="12"/>
      <c r="CO50" s="12"/>
    </row>
    <row r="51" spans="91:93" x14ac:dyDescent="0.2">
      <c r="CM51" s="12"/>
      <c r="CN51" s="12"/>
      <c r="CO51" s="12"/>
    </row>
    <row r="52" spans="91:93" x14ac:dyDescent="0.2">
      <c r="CM52" s="12"/>
      <c r="CN52" s="12"/>
      <c r="CO52" s="12"/>
    </row>
    <row r="53" spans="91:93" x14ac:dyDescent="0.2">
      <c r="CM53" s="12"/>
      <c r="CN53" s="12"/>
      <c r="CO53" s="12"/>
    </row>
    <row r="54" spans="91:93" x14ac:dyDescent="0.2">
      <c r="CM54" s="12"/>
      <c r="CN54" s="12"/>
      <c r="CO54" s="12"/>
    </row>
    <row r="55" spans="91:93" x14ac:dyDescent="0.2">
      <c r="CM55" s="12"/>
      <c r="CN55" s="12"/>
      <c r="CO55" s="12"/>
    </row>
    <row r="56" spans="91:93" x14ac:dyDescent="0.2">
      <c r="CM56" s="12"/>
      <c r="CN56" s="12"/>
      <c r="CO56" s="12"/>
    </row>
    <row r="57" spans="91:93" x14ac:dyDescent="0.2">
      <c r="CM57" s="12"/>
      <c r="CN57" s="12"/>
      <c r="CO57" s="12"/>
    </row>
    <row r="58" spans="91:93" x14ac:dyDescent="0.2">
      <c r="CM58" s="12"/>
      <c r="CN58" s="12"/>
      <c r="CO58" s="12"/>
    </row>
    <row r="59" spans="91:93" x14ac:dyDescent="0.2">
      <c r="CM59" s="12"/>
      <c r="CN59" s="12"/>
      <c r="CO59" s="12"/>
    </row>
    <row r="60" spans="91:93" x14ac:dyDescent="0.2">
      <c r="CM60" s="12"/>
      <c r="CN60" s="12"/>
      <c r="CO60" s="12"/>
    </row>
    <row r="61" spans="91:93" x14ac:dyDescent="0.2">
      <c r="CM61" s="12"/>
      <c r="CN61" s="12"/>
      <c r="CO61" s="12"/>
    </row>
    <row r="62" spans="91:93" x14ac:dyDescent="0.2">
      <c r="CM62" s="12"/>
      <c r="CN62" s="12"/>
      <c r="CO62" s="12"/>
    </row>
    <row r="63" spans="91:93" x14ac:dyDescent="0.2">
      <c r="CM63" s="12"/>
      <c r="CN63" s="12"/>
      <c r="CO63" s="12"/>
    </row>
    <row r="64" spans="91:93" x14ac:dyDescent="0.2">
      <c r="CM64" s="12"/>
      <c r="CN64" s="12"/>
      <c r="CO64" s="12"/>
    </row>
    <row r="65" spans="91:93" x14ac:dyDescent="0.2">
      <c r="CM65" s="12"/>
      <c r="CN65" s="12"/>
      <c r="CO65" s="12"/>
    </row>
    <row r="66" spans="91:93" x14ac:dyDescent="0.2">
      <c r="CM66" s="12"/>
      <c r="CN66" s="12"/>
      <c r="CO66" s="12"/>
    </row>
    <row r="67" spans="91:93" x14ac:dyDescent="0.2">
      <c r="CM67" s="12"/>
      <c r="CN67" s="12"/>
      <c r="CO67" s="12"/>
    </row>
    <row r="68" spans="91:93" x14ac:dyDescent="0.2">
      <c r="CM68" s="12"/>
      <c r="CN68" s="12"/>
      <c r="CO68" s="12"/>
    </row>
    <row r="69" spans="91:93" x14ac:dyDescent="0.2">
      <c r="CM69" s="12"/>
      <c r="CN69" s="12"/>
      <c r="CO69" s="12"/>
    </row>
    <row r="70" spans="91:93" x14ac:dyDescent="0.2">
      <c r="CM70" s="12"/>
      <c r="CN70" s="12"/>
      <c r="CO70" s="12"/>
    </row>
    <row r="71" spans="91:93" x14ac:dyDescent="0.2">
      <c r="CM71" s="12"/>
      <c r="CN71" s="12"/>
      <c r="CO71" s="12"/>
    </row>
    <row r="72" spans="91:93" x14ac:dyDescent="0.2">
      <c r="CM72" s="12"/>
      <c r="CN72" s="12"/>
      <c r="CO72" s="12"/>
    </row>
    <row r="73" spans="91:93" x14ac:dyDescent="0.2">
      <c r="CM73" s="12"/>
      <c r="CN73" s="12"/>
      <c r="CO73" s="12"/>
    </row>
    <row r="74" spans="91:93" x14ac:dyDescent="0.2">
      <c r="CM74" s="12"/>
      <c r="CN74" s="12"/>
      <c r="CO74" s="12"/>
    </row>
    <row r="75" spans="91:93" x14ac:dyDescent="0.2">
      <c r="CM75" s="12"/>
      <c r="CN75" s="12"/>
      <c r="CO75" s="12"/>
    </row>
    <row r="76" spans="91:93" x14ac:dyDescent="0.2">
      <c r="CM76" s="12"/>
      <c r="CN76" s="12"/>
      <c r="CO76" s="12"/>
    </row>
    <row r="77" spans="91:93" x14ac:dyDescent="0.2">
      <c r="CM77" s="12"/>
      <c r="CN77" s="12"/>
      <c r="CO77" s="12"/>
    </row>
    <row r="78" spans="91:93" x14ac:dyDescent="0.2">
      <c r="CM78" s="12"/>
      <c r="CN78" s="12"/>
      <c r="CO78" s="12"/>
    </row>
    <row r="79" spans="91:93" x14ac:dyDescent="0.2">
      <c r="CM79" s="12"/>
      <c r="CN79" s="12"/>
      <c r="CO79" s="12"/>
    </row>
    <row r="80" spans="91:93" x14ac:dyDescent="0.2">
      <c r="CM80" s="12"/>
      <c r="CN80" s="12"/>
      <c r="CO80" s="12"/>
    </row>
    <row r="81" spans="91:93" x14ac:dyDescent="0.2">
      <c r="CM81" s="12"/>
      <c r="CN81" s="12"/>
      <c r="CO81" s="12"/>
    </row>
  </sheetData>
  <sortState ref="CJ10:CK78">
    <sortCondition ref="CJ10:CJ78"/>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D29"/>
  <sheetViews>
    <sheetView workbookViewId="0"/>
  </sheetViews>
  <sheetFormatPr baseColWidth="10" defaultColWidth="8.83203125" defaultRowHeight="15" x14ac:dyDescent="0.2"/>
  <cols>
    <col min="1" max="1" width="27" style="3" bestFit="1" customWidth="1"/>
  </cols>
  <sheetData>
    <row r="1" spans="1:82" x14ac:dyDescent="0.2">
      <c r="A1" s="2" t="s">
        <v>4</v>
      </c>
      <c r="B1" t="str">
        <f>RawCurrent!B1</f>
        <v>REdC</v>
      </c>
      <c r="C1" t="str">
        <f>RawCurrent!C1</f>
        <v>REdC</v>
      </c>
      <c r="D1" t="str">
        <f>RawCurrent!D1</f>
        <v>REdC</v>
      </c>
      <c r="E1" t="str">
        <f>RawCurrent!E1</f>
        <v>REdC</v>
      </c>
      <c r="F1" t="str">
        <f>RawCurrent!F1</f>
        <v>REdC</v>
      </c>
      <c r="G1" t="str">
        <f>RawCurrent!G1</f>
        <v>REdC</v>
      </c>
      <c r="H1" t="str">
        <f>RawCurrent!H1</f>
        <v>REdC</v>
      </c>
      <c r="I1" t="str">
        <f>RawCurrent!I1</f>
        <v>REdC</v>
      </c>
      <c r="J1" t="str">
        <f>RawCurrent!J1</f>
        <v>REdC</v>
      </c>
      <c r="K1" t="str">
        <f>RawCurrent!K1</f>
        <v>REdC</v>
      </c>
      <c r="L1" t="str">
        <f>RawCurrent!L1</f>
        <v>REdC</v>
      </c>
      <c r="M1" t="str">
        <f>RawCurrent!M1</f>
        <v>REdC</v>
      </c>
      <c r="N1" t="str">
        <f>RawCurrent!N1</f>
        <v>REdC</v>
      </c>
      <c r="O1" t="str">
        <f>RawCurrent!O1</f>
        <v>REdC</v>
      </c>
      <c r="P1" t="str">
        <f>RawCurrent!P1</f>
        <v>REdC</v>
      </c>
      <c r="Q1" t="str">
        <f>RawCurrent!Q1</f>
        <v>REdC</v>
      </c>
      <c r="R1" t="str">
        <f>RawCurrent!R1</f>
        <v>REdC</v>
      </c>
      <c r="S1" t="str">
        <f>RawCurrent!S1</f>
        <v>REdC</v>
      </c>
      <c r="T1" t="str">
        <f>RawCurrent!T1</f>
        <v>REdC</v>
      </c>
      <c r="U1" t="str">
        <f>RawCurrent!U1</f>
        <v>REdC</v>
      </c>
      <c r="V1" t="str">
        <f>RawCurrent!V1</f>
        <v>REdC</v>
      </c>
      <c r="W1" t="str">
        <f>RawCurrent!W1</f>
        <v>REdC</v>
      </c>
      <c r="X1" t="str">
        <f>RawCurrent!X1</f>
        <v>REdC</v>
      </c>
      <c r="Y1" t="str">
        <f>RawCurrent!Y1</f>
        <v>REdC</v>
      </c>
      <c r="Z1" t="str">
        <f>RawCurrent!Z1</f>
        <v>REdC</v>
      </c>
      <c r="AA1" t="str">
        <f>RawCurrent!AA1</f>
        <v>REdC</v>
      </c>
      <c r="AB1" t="str">
        <f>RawCurrent!AB1</f>
        <v>REdC</v>
      </c>
      <c r="AC1" t="str">
        <f>RawCurrent!AC1</f>
        <v>REdC</v>
      </c>
      <c r="AD1" t="str">
        <f>RawCurrent!AD1</f>
        <v>REdC</v>
      </c>
      <c r="AE1" t="str">
        <f>RawCurrent!AE1</f>
        <v>REdC</v>
      </c>
      <c r="AF1" t="str">
        <f>RawCurrent!AF1</f>
        <v>REdC</v>
      </c>
      <c r="AG1" t="str">
        <f>RawCurrent!AG1</f>
        <v>REdC</v>
      </c>
      <c r="AH1" t="str">
        <f>RawCurrent!AH1</f>
        <v>REdC</v>
      </c>
      <c r="AI1" t="str">
        <f>RawCurrent!AI1</f>
        <v>REdC</v>
      </c>
      <c r="AJ1" t="str">
        <f>RawCurrent!AJ1</f>
        <v>REdC</v>
      </c>
      <c r="AK1" t="str">
        <f>RawCurrent!AK1</f>
        <v>REdC</v>
      </c>
      <c r="AL1" t="str">
        <f>RawCurrent!AL1</f>
        <v>REdC</v>
      </c>
      <c r="AM1" t="str">
        <f>RawCurrent!AM1</f>
        <v>REdC</v>
      </c>
      <c r="AN1" t="str">
        <f>RawCurrent!AN1</f>
        <v>REdC</v>
      </c>
      <c r="AO1" t="str">
        <f>RawCurrent!AO1</f>
        <v>REdC</v>
      </c>
      <c r="AP1" t="str">
        <f>RawCurrent!AP1</f>
        <v>REdC</v>
      </c>
      <c r="AQ1" t="str">
        <f>RawCurrent!AQ1</f>
        <v>REdC</v>
      </c>
      <c r="AR1" t="str">
        <f>RawCurrent!AR1</f>
        <v>REdC</v>
      </c>
      <c r="AS1" t="str">
        <f>RawCurrent!AS1</f>
        <v>REdC</v>
      </c>
      <c r="AT1" t="str">
        <f>RawCurrent!AT1</f>
        <v>REdC</v>
      </c>
      <c r="AU1" t="str">
        <f>RawCurrent!AU1</f>
        <v>REdC</v>
      </c>
      <c r="AV1" t="str">
        <f>RawCurrent!AV1</f>
        <v>REdC</v>
      </c>
      <c r="AW1" t="str">
        <f>RawCurrent!AW1</f>
        <v>REdC</v>
      </c>
      <c r="AX1" t="str">
        <f>RawCurrent!AX1</f>
        <v>REdC</v>
      </c>
      <c r="AY1" t="str">
        <f>RawCurrent!AY1</f>
        <v>REdC</v>
      </c>
      <c r="AZ1" t="str">
        <f>RawCurrent!AZ1</f>
        <v>REdC</v>
      </c>
      <c r="BA1" t="str">
        <f>RawCurrent!BA1</f>
        <v>REdC</v>
      </c>
      <c r="BB1" t="str">
        <f>RawCurrent!BB1</f>
        <v>REdC</v>
      </c>
      <c r="BC1" t="str">
        <f>RawCurrent!BC1</f>
        <v>REdC</v>
      </c>
      <c r="BD1" t="str">
        <f>RawCurrent!BD1</f>
        <v>REdC</v>
      </c>
      <c r="BE1" t="str">
        <f>RawCurrent!BE1</f>
        <v>REdC</v>
      </c>
      <c r="BF1" t="str">
        <f>RawCurrent!BF1</f>
        <v>REdC</v>
      </c>
      <c r="BG1" t="str">
        <f>RawCurrent!BG1</f>
        <v>REdC</v>
      </c>
      <c r="BH1" t="str">
        <f>RawCurrent!BH1</f>
        <v>REdC</v>
      </c>
      <c r="BI1" t="str">
        <f>RawCurrent!BI1</f>
        <v>REdC</v>
      </c>
      <c r="BJ1" t="str">
        <f>RawCurrent!BJ1</f>
        <v>REdC</v>
      </c>
      <c r="BK1" t="str">
        <f>RawCurrent!BK1</f>
        <v>REdC</v>
      </c>
      <c r="BL1" t="str">
        <f>RawCurrent!BL1</f>
        <v>REdC</v>
      </c>
      <c r="BM1" t="str">
        <f>RawCurrent!BM1</f>
        <v>REdC</v>
      </c>
      <c r="BN1" t="str">
        <f>RawCurrent!BN1</f>
        <v>REdC</v>
      </c>
      <c r="BO1" t="str">
        <f>RawCurrent!BO1</f>
        <v>REdC</v>
      </c>
      <c r="BP1" t="str">
        <f>RawCurrent!BP1</f>
        <v>REdC</v>
      </c>
      <c r="BQ1" t="str">
        <f>RawCurrent!BQ1</f>
        <v>REdC</v>
      </c>
      <c r="BR1" t="str">
        <f>RawCurrent!BR1</f>
        <v>REdC</v>
      </c>
      <c r="BS1" t="str">
        <f>RawCurrent!BS1</f>
        <v>REdC</v>
      </c>
      <c r="BT1" t="str">
        <f>RawCurrent!BT1</f>
        <v>REdC</v>
      </c>
      <c r="BU1" t="str">
        <f>RawCurrent!BU1</f>
        <v>REdC</v>
      </c>
      <c r="BV1" t="str">
        <f>RawCurrent!BV1</f>
        <v>REdC</v>
      </c>
      <c r="BW1" t="str">
        <f>RawCurrent!BW1</f>
        <v>REdC</v>
      </c>
      <c r="BX1" t="str">
        <f>RawCurrent!BX1</f>
        <v>REdC</v>
      </c>
      <c r="BY1" t="str">
        <f>RawCurrent!BY1</f>
        <v>REdC</v>
      </c>
      <c r="BZ1" t="str">
        <f>RawCurrent!BZ1</f>
        <v>REdC</v>
      </c>
      <c r="CA1" t="str">
        <f>RawCurrent!CA1</f>
        <v>REdC</v>
      </c>
      <c r="CB1" t="str">
        <f>RawCurrent!CB1</f>
        <v>REdC</v>
      </c>
      <c r="CC1" t="str">
        <f>RawCurrent!CC1</f>
        <v>REdC</v>
      </c>
      <c r="CD1" t="str">
        <f>RawCurrent!CD1</f>
        <v>REdC</v>
      </c>
    </row>
    <row r="2" spans="1:82" x14ac:dyDescent="0.2">
      <c r="A2" s="2" t="s">
        <v>3</v>
      </c>
      <c r="B2" t="str">
        <f>RawCurrent!B2</f>
        <v>WT1_REdC_IV_18704034</v>
      </c>
      <c r="C2" t="str">
        <f>RawCurrent!C2</f>
        <v>WT2_REdC_IV_1.26.2018 WT cell 5 IV'</v>
      </c>
      <c r="D2" t="str">
        <f>RawCurrent!D2</f>
        <v>WT3_REdC_IV_17728035 Final</v>
      </c>
      <c r="E2" t="str">
        <f>RawCurrent!E2</f>
        <v>WT4_REdC_IV_18705015</v>
      </c>
      <c r="F2" t="str">
        <f>RawCurrent!F2</f>
        <v>WT5_REdC_IV_17728025 Final</v>
      </c>
      <c r="G2" t="str">
        <f>RawCurrent!G2</f>
        <v>WT6_REdC_IV_wt iv final</v>
      </c>
      <c r="H2" t="str">
        <f>RawCurrent!H2</f>
        <v>WT7_REdC_IV_1.26.2018</v>
      </c>
      <c r="I2" t="str">
        <f>RawCurrent!I2</f>
        <v>WT8_REdC_IV</v>
      </c>
      <c r="J2" t="str">
        <f>RawCurrent!J2</f>
        <v>WT9_REdC_IV_17504013 Final</v>
      </c>
      <c r="K2" t="str">
        <f>RawCurrent!K2</f>
        <v>WT10_REdC_IV_1.26.2018 WT cell 2 IV' -120 conditioning</v>
      </c>
      <c r="L2" t="str">
        <f>RawCurrent!L2</f>
        <v>WT11_REdC_IV_17723017</v>
      </c>
      <c r="M2" t="str">
        <f>RawCurrent!M2</f>
        <v>WT12_REdC_IV_17721049 Final filtered</v>
      </c>
      <c r="N2" t="str">
        <f>RawCurrent!N2</f>
        <v>WT13_REdC_IV_17723001</v>
      </c>
      <c r="O2" t="str">
        <f>RawCurrent!O2</f>
        <v>WT14_REdC_IV_19n15007</v>
      </c>
      <c r="P2" t="str">
        <f>RawCurrent!P2</f>
        <v>WT15_REdC_IV_19825000</v>
      </c>
      <c r="Q2" t="str">
        <f>RawCurrent!Q2</f>
        <v>WT16_REdC_IV_18705033</v>
      </c>
      <c r="R2" t="str">
        <f>RawCurrent!R2</f>
        <v>WT17_REdC_IV_17721059</v>
      </c>
      <c r="S2" t="str">
        <f>RawCurrent!S2</f>
        <v>WT19_REdC_IV_19n23000 (-80:-10); WT19_REdC_IV_19n23009 (0:+80)</v>
      </c>
      <c r="T2" t="str">
        <f>RawCurrent!T2</f>
        <v>WT20_REdC_IV_18115016</v>
      </c>
      <c r="U2" t="str">
        <f>RawCurrent!U2</f>
        <v>WT21_REdC_IV_19o30001 (-80:0),WT21_REdC_IV_19o30004(10:+80)</v>
      </c>
      <c r="V2" t="str">
        <f>RawCurrent!V2</f>
        <v>WT23_REdC_1.19.2018 IV cell 2 WT leak</v>
      </c>
      <c r="W2" t="str">
        <f>RawCurrent!W2</f>
        <v>WT24_REdC_IV_18705003(-80:10),WT24_REdC_IV_18705002(20:+80)</v>
      </c>
      <c r="X2" t="str">
        <f>RawCurrent!X2</f>
        <v>WT25_REdC_IV_18704045</v>
      </c>
      <c r="Y2" t="str">
        <f>RawCurrent!Y2</f>
        <v>WT26_REdC_IV_17809014</v>
      </c>
      <c r="Z2" t="str">
        <f>RawCurrent!Z2</f>
        <v>WT27_REdC_IV_1.23.2018 IV cell 1 WT</v>
      </c>
      <c r="AA2" t="str">
        <f>RawCurrent!AA2</f>
        <v>WT28_REdC_IV_1.23.2018 IV cell 1 WT</v>
      </c>
      <c r="AB2" t="str">
        <f>RawCurrent!AB2</f>
        <v>WT29_REdC_IV_18o19010</v>
      </c>
      <c r="AC2" t="str">
        <f>RawCurrent!AC2</f>
        <v>WT30_REdC_IV_1.26.2018 WT cell 1 IV p8 20 sweeps</v>
      </c>
      <c r="AD2" t="str">
        <f>RawCurrent!AD2</f>
        <v>WT31_REdC_IV_18o07001</v>
      </c>
      <c r="AE2" t="str">
        <f>RawCurrent!AE2</f>
        <v>WT33_REdC_IV_17728018</v>
      </c>
      <c r="AF2" t="str">
        <f>RawCurrent!AF2</f>
        <v>WT38_REdC_IV_19o21015</v>
      </c>
      <c r="AG2" t="str">
        <f>RawCurrent!AG2</f>
        <v>WT39_REdC_IV_17429002</v>
      </c>
      <c r="AH2" t="str">
        <f>RawCurrent!AH2</f>
        <v>WT40_REdC_IV_17810003</v>
      </c>
      <c r="AI2" t="str">
        <f>RawCurrent!AI2</f>
        <v>WT43_REdC_IV_1.26.2018 WT cell 4 IV</v>
      </c>
      <c r="AJ2" t="str">
        <f>RawCurrent!AJ2</f>
        <v>WT44_REdC_IV_1.14.2018 IV cell 2 NaV1.4 wt</v>
      </c>
      <c r="AK2" t="str">
        <f>RawCurrent!AK2</f>
        <v>WT47_REdC_IV_19911011</v>
      </c>
      <c r="AL2" t="str">
        <f>RawCurrent!AL2</f>
        <v>WT48_REdC_IV_19n06031</v>
      </c>
      <c r="AM2" t="str">
        <f>RawCurrent!AM2</f>
        <v>WT50_REdC_IV_19n06011</v>
      </c>
      <c r="AN2" t="str">
        <f>RawCurrent!AN2</f>
        <v>WT53_REdC_IV_17504004</v>
      </c>
      <c r="AO2" t="str">
        <f>RawCurrent!AO2</f>
        <v>WT54_REdC_IV_1.19.2018 IV cell 1 WT</v>
      </c>
      <c r="AP2" t="str">
        <f>RawCurrent!AP2</f>
        <v>WT63_REdC_IV_19n07011</v>
      </c>
      <c r="AQ2" t="str">
        <f>RawCurrent!AQ2</f>
        <v>WT66_REdC_IV_18704009</v>
      </c>
      <c r="AR2" t="str">
        <f>RawCurrent!AR2</f>
        <v>WT69_REdC_IV_18o18036</v>
      </c>
      <c r="AS2" t="str">
        <f>RawCurrent!AS2</f>
        <v>WT71_REdC_IV_17722009</v>
      </c>
      <c r="AT2" t="str">
        <f>RawCurrent!AT2</f>
        <v>WT74_REdC_IV_0003.abf</v>
      </c>
      <c r="AU2" t="str">
        <f>RawCurrent!AU2</f>
        <v>WT75_REdC_IV_0015.abf</v>
      </c>
      <c r="AV2" t="str">
        <f>RawCurrent!AV2</f>
        <v>WT76_REdC_IV_0012.abf</v>
      </c>
      <c r="AW2" t="str">
        <f>RawCurrent!AW2</f>
        <v>EPN1_REdC_IV_17725093.abf</v>
      </c>
      <c r="AX2" t="str">
        <f>RawCurrent!AX2</f>
        <v>EPN2_REdC_IV_17725017.abf</v>
      </c>
      <c r="AY2" t="str">
        <f>RawCurrent!AY2</f>
        <v>EPN3_REdC_IV_18115045.abf</v>
      </c>
      <c r="AZ2" t="str">
        <f>RawCurrent!AZ2</f>
        <v>EPN4_REdC_IV_IV cell 2 NaV1.4 EPN.abf</v>
      </c>
      <c r="BA2" t="str">
        <f>RawCurrent!BA2</f>
        <v>EPN5_REdC_IV_17725043.abf</v>
      </c>
      <c r="BB2" t="str">
        <f>RawCurrent!BB2</f>
        <v>EPN6_REdC_IV_1.14.2018 IV cell 1 NaV1.4 EPN.abf</v>
      </c>
      <c r="BC2" t="str">
        <f>RawCurrent!BC2</f>
        <v>EPN7_REdC_IV_17718015.abf</v>
      </c>
      <c r="BD2" t="str">
        <f>RawCurrent!BD2</f>
        <v>EPN9_REdC_IV_17725067.abf</v>
      </c>
      <c r="BE2" t="str">
        <f>RawCurrent!BE2</f>
        <v>EPN10_REdC_IV_2016_09_30_0029.abf</v>
      </c>
      <c r="BF2" t="str">
        <f>RawCurrent!BF2</f>
        <v>EPN11_REdC_IV_17725020.abf</v>
      </c>
      <c r="BG2" t="str">
        <f>RawCurrent!BG2</f>
        <v>EPN12_REdC_IV_1.19.2018 IV cell 1 EPN'.abf</v>
      </c>
      <c r="BH2" t="str">
        <f>RawCurrent!BH2</f>
        <v>EPN13_REdC_IV_2016_09_30_0015.abf</v>
      </c>
      <c r="BI2" t="str">
        <f>RawCurrent!BI2</f>
        <v>EPN14_REdC_IV_17725071.abf</v>
      </c>
      <c r="BJ2" t="str">
        <f>RawCurrent!BJ2</f>
        <v>EPN18_REdC_IV_0012.abf</v>
      </c>
      <c r="BK2" t="str">
        <f>RawCurrent!BK2</f>
        <v>LVNV1_REdC_IV_17724088.abf</v>
      </c>
      <c r="BL2" t="str">
        <f>RawCurrent!BL2</f>
        <v>LVNV2_REdC_IV_17724059.abf;LVNV2_REdC_IV_17724048.abf;LVNV2_REdC_IV_17724046.abf</v>
      </c>
      <c r="BM2" t="str">
        <f>RawCurrent!BM2</f>
        <v>LVNV3_REdC_IV_17726022.abf</v>
      </c>
      <c r="BN2" t="str">
        <f>RawCurrent!BN2</f>
        <v>LVNV4_REdC_IV_17429000.abf</v>
      </c>
      <c r="BO2" t="str">
        <f>RawCurrent!BO2</f>
        <v>LVNV4_REdC_IV_17429001.abf</v>
      </c>
      <c r="BP2" t="str">
        <f>RawCurrent!BP2</f>
        <v>LVNV4_REdC_IV_17429002.abf</v>
      </c>
      <c r="BQ2" t="str">
        <f>RawCurrent!BQ2</f>
        <v>LVNV5_REdC_IV_17724073.abf</v>
      </c>
      <c r="BR2" t="str">
        <f>RawCurrent!BR2</f>
        <v>LVNV6_REdC_IV_19915011.abf</v>
      </c>
      <c r="BS2" t="str">
        <f>RawCurrent!BS2</f>
        <v>LVNV7_REdC_IV_19d06007.abf</v>
      </c>
      <c r="BT2" t="str">
        <f>RawCurrent!BT2</f>
        <v>LVNV8_REdC_IV_17724003.abf;LVNV8_REdC_IV_17724001.abf</v>
      </c>
      <c r="BU2" t="str">
        <f>RawCurrent!BU2</f>
        <v>LVNV9_REdC_IV_17724034.abf</v>
      </c>
      <c r="BV2" t="str">
        <f>RawCurrent!BV2</f>
        <v>LVNV10_REdC_IV_17726060.abf;LVNV10_REdC_IV_17726061.abf</v>
      </c>
      <c r="BW2" t="str">
        <f>RawCurrent!BW2</f>
        <v>LVNV12_REdC_IV_19912002.abf</v>
      </c>
      <c r="BX2" t="str">
        <f>RawCurrent!BX2</f>
        <v>LVNV14_REdC_IV_17726099.abf;LVNV14_REdC_IV_17726072.abf;LVNV14_REdC_IV_17726074.abf;LVNV14_REdC_IV_17726083.abf;LVNV14_REdC_IV_17726088.abf;LVNV14_REdC_IV_17726095.abf;LVNV14_REdC_IV_17726098.abf;LVNV14_REdC_IV_17726100.abf</v>
      </c>
      <c r="BY2" t="str">
        <f>RawCurrent!BY2</f>
        <v>LVNV15_REdC_IV_17724016.abf</v>
      </c>
      <c r="BZ2" t="str">
        <f>RawCurrent!BZ2</f>
        <v>LVNV16_REdC_IV_17726035.abf</v>
      </c>
      <c r="CA2" t="str">
        <f>RawCurrent!CA2</f>
        <v>LVNV18_REdC_IV_19911028.abf;LVNV18_REdC_IV_19911026.abf;LVNV18_REdC_IV_19911027.abf;LVNV18_REdC_IV_19911029.abf</v>
      </c>
      <c r="CB2" t="str">
        <f>RawCurrent!CB2</f>
        <v>LVNV19_REdC_IV_17714002.abf;LVNV19_REdC_IV_17714003.abf</v>
      </c>
      <c r="CC2" t="str">
        <f>RawCurrent!CC2</f>
        <v>LVNV20_REdC_IV_17726011.abf</v>
      </c>
      <c r="CD2" t="str">
        <f>RawCurrent!CD2</f>
        <v>LVNV21_REdC_IV_17615002.abf;LVNV4_REdC_IV_17615007.abf</v>
      </c>
    </row>
    <row r="3" spans="1:82" x14ac:dyDescent="0.2">
      <c r="A3" t="s">
        <v>73</v>
      </c>
      <c r="B3">
        <f>RawCurrent!B3</f>
        <v>6.391800536699999</v>
      </c>
      <c r="C3">
        <f>RawCurrent!C3</f>
        <v>3.1770135480600001</v>
      </c>
      <c r="D3">
        <f>RawCurrent!D3</f>
        <v>12.816808360899998</v>
      </c>
      <c r="E3">
        <f>RawCurrent!E3</f>
        <v>6.4393644018000007</v>
      </c>
      <c r="F3">
        <f>RawCurrent!F3</f>
        <v>4.1415547519999993</v>
      </c>
      <c r="G3">
        <f>RawCurrent!G3</f>
        <v>6.7330414951999993</v>
      </c>
      <c r="H3">
        <f>RawCurrent!H3</f>
        <v>6.1017497671000003</v>
      </c>
      <c r="I3">
        <f>RawCurrent!I3</f>
        <v>5.2679979476000014</v>
      </c>
      <c r="J3">
        <f>RawCurrent!J3</f>
        <v>1.9426925711999996</v>
      </c>
      <c r="K3">
        <f>RawCurrent!K3</f>
        <v>7.2663764387999992</v>
      </c>
      <c r="L3">
        <f>RawCurrent!L3</f>
        <v>9.8133792090527017</v>
      </c>
      <c r="M3">
        <f>RawCurrent!M3</f>
        <v>5.9634416576470928</v>
      </c>
      <c r="N3">
        <f>RawCurrent!N3</f>
        <v>8.621972916599999</v>
      </c>
      <c r="O3">
        <f>RawCurrent!O3</f>
        <v>6.9784064186600006</v>
      </c>
      <c r="P3">
        <f>RawCurrent!P3</f>
        <v>5.9439750680000003</v>
      </c>
      <c r="Q3">
        <f>RawCurrent!Q3</f>
        <v>9.3769842030999975</v>
      </c>
      <c r="R3">
        <f>RawCurrent!R3</f>
        <v>5.7659015617000007</v>
      </c>
      <c r="S3">
        <f>RawCurrent!S3</f>
        <v>4.9435101709999989</v>
      </c>
      <c r="T3">
        <f>RawCurrent!T3</f>
        <v>6.3687977963999991</v>
      </c>
      <c r="U3">
        <f>RawCurrent!U3</f>
        <v>4.2012945678399998</v>
      </c>
      <c r="V3">
        <f>RawCurrent!V3</f>
        <v>1.94224344706537</v>
      </c>
      <c r="W3">
        <f>RawCurrent!W3</f>
        <v>5.6914977681000014</v>
      </c>
      <c r="X3">
        <f>RawCurrent!X3</f>
        <v>3.5272978020000001</v>
      </c>
      <c r="Y3">
        <f>RawCurrent!Y3</f>
        <v>3.3474243279999998</v>
      </c>
      <c r="Z3">
        <f>RawCurrent!Z3</f>
        <v>1.9251146577599998</v>
      </c>
      <c r="AA3">
        <f>RawCurrent!AA3</f>
        <v>1.9583813354699993</v>
      </c>
      <c r="AB3">
        <f>RawCurrent!AB3</f>
        <v>12.688791656000001</v>
      </c>
      <c r="AC3">
        <f>RawCurrent!AC3</f>
        <v>4.3809950771999997</v>
      </c>
      <c r="AD3">
        <f>RawCurrent!AD3</f>
        <v>6.8273253735999999</v>
      </c>
      <c r="AE3">
        <f>RawCurrent!AE3</f>
        <v>2.3971099300000001</v>
      </c>
      <c r="AF3">
        <f>RawCurrent!AF3</f>
        <v>3.900568452299999</v>
      </c>
      <c r="AG3">
        <f>RawCurrent!AG3</f>
        <v>4.0726768946000007</v>
      </c>
      <c r="AH3">
        <f>RawCurrent!AH3</f>
        <v>7.5345529800000008</v>
      </c>
      <c r="AI3">
        <f>RawCurrent!AI3</f>
        <v>4.4405213595999999</v>
      </c>
      <c r="AJ3">
        <f>RawCurrent!AJ3</f>
        <v>2.5034119380000006</v>
      </c>
      <c r="AK3">
        <f>RawCurrent!AK3</f>
        <v>5.8217415102857135</v>
      </c>
      <c r="AL3">
        <f>RawCurrent!AL3</f>
        <v>5.4120773374000004</v>
      </c>
      <c r="AM3">
        <f>RawCurrent!AM3</f>
        <v>3.1308680299499994</v>
      </c>
      <c r="AN3">
        <f>RawCurrent!AN3</f>
        <v>2.1530791841999997</v>
      </c>
      <c r="AO3">
        <f>RawCurrent!AO3</f>
        <v>4.6828832297511145</v>
      </c>
      <c r="AP3">
        <f>RawCurrent!AP3</f>
        <v>4.5696121390500002</v>
      </c>
      <c r="AQ3">
        <f>RawCurrent!AQ3</f>
        <v>5.4771448991999998</v>
      </c>
      <c r="AR3">
        <f>RawCurrent!AR3</f>
        <v>4.5332182904499998</v>
      </c>
      <c r="AS3">
        <f>RawCurrent!AS3</f>
        <v>6.2772916932000005</v>
      </c>
      <c r="AT3">
        <f>RawCurrent!AT3</f>
        <v>7.2507659897804499</v>
      </c>
      <c r="AU3">
        <f>RawCurrent!AU3</f>
        <v>5.2424940364182175</v>
      </c>
      <c r="AV3">
        <f>RawCurrent!AV3</f>
        <v>7.8035580797046311</v>
      </c>
      <c r="AW3">
        <f>RawCurrent!AW3</f>
        <v>4.3081732437999998</v>
      </c>
      <c r="AX3">
        <f>RawCurrent!AX3</f>
        <v>5.9116515077315306</v>
      </c>
      <c r="AY3">
        <f>RawCurrent!AY3</f>
        <v>6.3690267548859678</v>
      </c>
      <c r="AZ3">
        <f>RawCurrent!AZ3</f>
        <v>1.9958043233230687</v>
      </c>
      <c r="BA3">
        <f>RawCurrent!BA3</f>
        <v>5.0152046884003711</v>
      </c>
      <c r="BB3">
        <f>RawCurrent!BB3</f>
        <v>2.8197356420516986</v>
      </c>
      <c r="BC3">
        <f>RawCurrent!BC3</f>
        <v>6.8148693932681876</v>
      </c>
      <c r="BD3">
        <f>RawCurrent!BD3</f>
        <v>5.2707788291051818</v>
      </c>
      <c r="BE3">
        <f>RawCurrent!BE3</f>
        <v>3.9566496721089051</v>
      </c>
      <c r="BF3">
        <f>RawCurrent!BF3</f>
        <v>5.5692706669773777</v>
      </c>
      <c r="BG3">
        <f>RawCurrent!BG3</f>
        <v>4.7930427101559818</v>
      </c>
      <c r="BH3">
        <f>RawCurrent!BH3</f>
        <v>4.9504883473366341</v>
      </c>
      <c r="BI3">
        <f>RawCurrent!BI3</f>
        <v>10.871165677992973</v>
      </c>
      <c r="BJ3">
        <f>RawCurrent!BJ3</f>
        <v>7.4679808898985423</v>
      </c>
      <c r="BK3">
        <f>RawCurrent!BK3</f>
        <v>19.946134186819162</v>
      </c>
      <c r="BL3">
        <f>RawCurrent!BL3</f>
        <v>6.4223087544769069</v>
      </c>
      <c r="BM3">
        <f>RawCurrent!BM3</f>
        <v>3.6916910040154773</v>
      </c>
      <c r="BN3">
        <f>RawCurrent!BN3</f>
        <v>3.9347221929654719</v>
      </c>
      <c r="BO3">
        <f>RawCurrent!BO3</f>
        <v>3.9347221929654719</v>
      </c>
      <c r="BP3">
        <f>RawCurrent!BP3</f>
        <v>3.9347221929654719</v>
      </c>
      <c r="BQ3">
        <f>RawCurrent!BQ3</f>
        <v>3.6236144062996232</v>
      </c>
      <c r="BR3">
        <f>RawCurrent!BR3</f>
        <v>4.5734651714511285</v>
      </c>
      <c r="BS3">
        <f>RawCurrent!BS3</f>
        <v>6.030428868010616</v>
      </c>
      <c r="BT3">
        <f>RawCurrent!BT3</f>
        <v>6.5530017198397887</v>
      </c>
      <c r="BU3">
        <f>RawCurrent!BU3</f>
        <v>3.777933176509281</v>
      </c>
      <c r="BV3">
        <f>RawCurrent!BV3</f>
        <v>21.360497201093356</v>
      </c>
      <c r="BW3">
        <f>RawCurrent!BW3</f>
        <v>5.1578729531264251</v>
      </c>
      <c r="BX3">
        <f>RawCurrent!BX3</f>
        <v>7.618925827711827</v>
      </c>
      <c r="BY3">
        <f>RawCurrent!BY3</f>
        <v>3.010194052165716</v>
      </c>
      <c r="BZ3">
        <f>RawCurrent!BZ3</f>
        <v>4.5653243432231205</v>
      </c>
      <c r="CA3">
        <f>RawCurrent!CA3</f>
        <v>2.6636050095151971</v>
      </c>
      <c r="CB3">
        <f>RawCurrent!CB3</f>
        <v>4.3495176746170765</v>
      </c>
      <c r="CC3">
        <f>RawCurrent!CC3</f>
        <v>4.424043523818284</v>
      </c>
      <c r="CD3">
        <f>RawCurrent!CD3</f>
        <v>1.5789424310550071</v>
      </c>
    </row>
    <row r="4" spans="1:82" x14ac:dyDescent="0.2">
      <c r="A4" s="3" t="s">
        <v>1</v>
      </c>
      <c r="B4" t="str">
        <f>RawCurrent!B4</f>
        <v>WT</v>
      </c>
      <c r="C4" t="str">
        <f>RawCurrent!C4</f>
        <v>WT</v>
      </c>
      <c r="D4" t="str">
        <f>RawCurrent!D4</f>
        <v>WT</v>
      </c>
      <c r="E4" t="str">
        <f>RawCurrent!E4</f>
        <v>WT</v>
      </c>
      <c r="F4" t="str">
        <f>RawCurrent!F4</f>
        <v>WT</v>
      </c>
      <c r="G4" t="str">
        <f>RawCurrent!G4</f>
        <v>WT</v>
      </c>
      <c r="H4" t="str">
        <f>RawCurrent!H4</f>
        <v>WT</v>
      </c>
      <c r="I4" t="str">
        <f>RawCurrent!I4</f>
        <v>WT</v>
      </c>
      <c r="J4" t="str">
        <f>RawCurrent!J4</f>
        <v>WT</v>
      </c>
      <c r="K4" t="str">
        <f>RawCurrent!K4</f>
        <v>WT</v>
      </c>
      <c r="L4" t="str">
        <f>RawCurrent!L4</f>
        <v>WT</v>
      </c>
      <c r="M4" t="str">
        <f>RawCurrent!M4</f>
        <v>WT</v>
      </c>
      <c r="N4" t="str">
        <f>RawCurrent!N4</f>
        <v>WT</v>
      </c>
      <c r="O4" t="str">
        <f>RawCurrent!O4</f>
        <v>WT</v>
      </c>
      <c r="P4" t="str">
        <f>RawCurrent!P4</f>
        <v>WT</v>
      </c>
      <c r="Q4" t="str">
        <f>RawCurrent!Q4</f>
        <v>WT</v>
      </c>
      <c r="R4" t="str">
        <f>RawCurrent!R4</f>
        <v>WT</v>
      </c>
      <c r="S4" t="str">
        <f>RawCurrent!S4</f>
        <v>WT</v>
      </c>
      <c r="T4" t="str">
        <f>RawCurrent!T4</f>
        <v>WT</v>
      </c>
      <c r="U4" t="str">
        <f>RawCurrent!U4</f>
        <v>WT</v>
      </c>
      <c r="V4" t="str">
        <f>RawCurrent!V4</f>
        <v>WT</v>
      </c>
      <c r="W4" t="str">
        <f>RawCurrent!W4</f>
        <v>WT</v>
      </c>
      <c r="X4" t="str">
        <f>RawCurrent!X4</f>
        <v>WT</v>
      </c>
      <c r="Y4" t="str">
        <f>RawCurrent!Y4</f>
        <v>WT</v>
      </c>
      <c r="Z4" t="str">
        <f>RawCurrent!Z4</f>
        <v>WT</v>
      </c>
      <c r="AA4" t="str">
        <f>RawCurrent!AA4</f>
        <v>WT</v>
      </c>
      <c r="AB4" t="str">
        <f>RawCurrent!AB4</f>
        <v>WT</v>
      </c>
      <c r="AC4" t="str">
        <f>RawCurrent!AC4</f>
        <v>WT</v>
      </c>
      <c r="AD4" t="str">
        <f>RawCurrent!AD4</f>
        <v>WT</v>
      </c>
      <c r="AE4" t="str">
        <f>RawCurrent!AE4</f>
        <v>WT</v>
      </c>
      <c r="AF4" t="str">
        <f>RawCurrent!AF4</f>
        <v>WT</v>
      </c>
      <c r="AG4" t="str">
        <f>RawCurrent!AG4</f>
        <v>WT</v>
      </c>
      <c r="AH4" t="str">
        <f>RawCurrent!AH4</f>
        <v>WT</v>
      </c>
      <c r="AI4" t="str">
        <f>RawCurrent!AI4</f>
        <v>WT</v>
      </c>
      <c r="AJ4" t="str">
        <f>RawCurrent!AJ4</f>
        <v>WT</v>
      </c>
      <c r="AK4" t="str">
        <f>RawCurrent!AK4</f>
        <v>WT</v>
      </c>
      <c r="AL4" t="str">
        <f>RawCurrent!AL4</f>
        <v>WT</v>
      </c>
      <c r="AM4" t="str">
        <f>RawCurrent!AM4</f>
        <v>WT</v>
      </c>
      <c r="AN4" t="str">
        <f>RawCurrent!AN4</f>
        <v>WT</v>
      </c>
      <c r="AO4" t="str">
        <f>RawCurrent!AO4</f>
        <v>WT</v>
      </c>
      <c r="AP4" t="str">
        <f>RawCurrent!AP4</f>
        <v>WT</v>
      </c>
      <c r="AQ4" t="str">
        <f>RawCurrent!AQ4</f>
        <v>WT</v>
      </c>
      <c r="AR4" t="str">
        <f>RawCurrent!AR4</f>
        <v>WT</v>
      </c>
      <c r="AS4" t="str">
        <f>RawCurrent!AS4</f>
        <v>WT</v>
      </c>
      <c r="AT4" t="str">
        <f>RawCurrent!AT4</f>
        <v>WT</v>
      </c>
      <c r="AU4" t="str">
        <f>RawCurrent!AU4</f>
        <v>WT</v>
      </c>
      <c r="AV4" t="str">
        <f>RawCurrent!AV4</f>
        <v>WT</v>
      </c>
      <c r="AW4" t="str">
        <f>RawCurrent!AW4</f>
        <v>EPN</v>
      </c>
      <c r="AX4" t="str">
        <f>RawCurrent!AX4</f>
        <v>EPN</v>
      </c>
      <c r="AY4" t="str">
        <f>RawCurrent!AY4</f>
        <v>EPN</v>
      </c>
      <c r="AZ4" t="str">
        <f>RawCurrent!AZ4</f>
        <v>EPN</v>
      </c>
      <c r="BA4" t="str">
        <f>RawCurrent!BA4</f>
        <v>EPN</v>
      </c>
      <c r="BB4" t="str">
        <f>RawCurrent!BB4</f>
        <v>EPN</v>
      </c>
      <c r="BC4" t="str">
        <f>RawCurrent!BC4</f>
        <v>EPN</v>
      </c>
      <c r="BD4" t="str">
        <f>RawCurrent!BD4</f>
        <v>EPN</v>
      </c>
      <c r="BE4" t="str">
        <f>RawCurrent!BE4</f>
        <v>EPN</v>
      </c>
      <c r="BF4" t="str">
        <f>RawCurrent!BF4</f>
        <v>EPN</v>
      </c>
      <c r="BG4" t="str">
        <f>RawCurrent!BG4</f>
        <v>EPN</v>
      </c>
      <c r="BH4" t="str">
        <f>RawCurrent!BH4</f>
        <v>EPN</v>
      </c>
      <c r="BI4" t="str">
        <f>RawCurrent!BI4</f>
        <v>EPN</v>
      </c>
      <c r="BJ4" t="str">
        <f>RawCurrent!BJ4</f>
        <v>EPN</v>
      </c>
      <c r="BK4" t="str">
        <f>RawCurrent!BK4</f>
        <v>LVNV</v>
      </c>
      <c r="BL4" t="str">
        <f>RawCurrent!BL4</f>
        <v>LVNV</v>
      </c>
      <c r="BM4" t="str">
        <f>RawCurrent!BM4</f>
        <v>LVNV</v>
      </c>
      <c r="BN4" t="str">
        <f>RawCurrent!BN4</f>
        <v>LVNV</v>
      </c>
      <c r="BO4" t="str">
        <f>RawCurrent!BO4</f>
        <v>LVNV</v>
      </c>
      <c r="BP4" t="str">
        <f>RawCurrent!BP4</f>
        <v>LVNV</v>
      </c>
      <c r="BQ4" t="str">
        <f>RawCurrent!BQ4</f>
        <v>LVNV</v>
      </c>
      <c r="BR4" t="str">
        <f>RawCurrent!BR4</f>
        <v>LVNV</v>
      </c>
      <c r="BS4" t="str">
        <f>RawCurrent!BS4</f>
        <v>LVNV</v>
      </c>
      <c r="BT4" t="str">
        <f>RawCurrent!BT4</f>
        <v>LVNV</v>
      </c>
      <c r="BU4" t="str">
        <f>RawCurrent!BU4</f>
        <v>LVNV</v>
      </c>
      <c r="BV4" t="str">
        <f>RawCurrent!BV4</f>
        <v>LVNV</v>
      </c>
      <c r="BW4" t="str">
        <f>RawCurrent!BW4</f>
        <v>LVNV</v>
      </c>
      <c r="BX4" t="str">
        <f>RawCurrent!BX4</f>
        <v>LVNV</v>
      </c>
      <c r="BY4" t="str">
        <f>RawCurrent!BY4</f>
        <v>LVNV</v>
      </c>
      <c r="BZ4" t="str">
        <f>RawCurrent!BZ4</f>
        <v>LVNV</v>
      </c>
      <c r="CA4" t="str">
        <f>RawCurrent!CA4</f>
        <v>LVNV</v>
      </c>
      <c r="CB4" t="str">
        <f>RawCurrent!CB4</f>
        <v>LVNV</v>
      </c>
      <c r="CC4" t="str">
        <f>RawCurrent!CC4</f>
        <v>LVNV</v>
      </c>
      <c r="CD4" t="str">
        <f>RawCurrent!CD4</f>
        <v>LVNV</v>
      </c>
    </row>
    <row r="5" spans="1:82" x14ac:dyDescent="0.2">
      <c r="A5" s="3" t="s">
        <v>0</v>
      </c>
      <c r="B5" t="str">
        <f>RawCurrent!B5</f>
        <v>WT1</v>
      </c>
      <c r="C5" t="str">
        <f>RawCurrent!C5</f>
        <v>WT2</v>
      </c>
      <c r="D5" t="str">
        <f>RawCurrent!D5</f>
        <v>WT3</v>
      </c>
      <c r="E5" t="str">
        <f>RawCurrent!E5</f>
        <v>WT4</v>
      </c>
      <c r="F5" t="str">
        <f>RawCurrent!F5</f>
        <v>WT5</v>
      </c>
      <c r="G5" t="str">
        <f>RawCurrent!G5</f>
        <v>WT6</v>
      </c>
      <c r="H5" t="str">
        <f>RawCurrent!H5</f>
        <v>WT7</v>
      </c>
      <c r="I5" t="str">
        <f>RawCurrent!I5</f>
        <v>WT8</v>
      </c>
      <c r="J5" t="str">
        <f>RawCurrent!J5</f>
        <v>WT9</v>
      </c>
      <c r="K5" t="str">
        <f>RawCurrent!K5</f>
        <v>WT10</v>
      </c>
      <c r="L5" t="str">
        <f>RawCurrent!L5</f>
        <v>WT11</v>
      </c>
      <c r="M5" t="str">
        <f>RawCurrent!M5</f>
        <v>WT12</v>
      </c>
      <c r="N5" t="str">
        <f>RawCurrent!N5</f>
        <v>WT13</v>
      </c>
      <c r="O5" t="str">
        <f>RawCurrent!O5</f>
        <v>WT14</v>
      </c>
      <c r="P5" t="str">
        <f>RawCurrent!P5</f>
        <v>WT15</v>
      </c>
      <c r="Q5" t="str">
        <f>RawCurrent!Q5</f>
        <v>WT16</v>
      </c>
      <c r="R5" t="str">
        <f>RawCurrent!R5</f>
        <v>WT17</v>
      </c>
      <c r="S5" t="str">
        <f>RawCurrent!S5</f>
        <v>WT19</v>
      </c>
      <c r="T5" t="str">
        <f>RawCurrent!T5</f>
        <v>WT20</v>
      </c>
      <c r="U5" t="str">
        <f>RawCurrent!U5</f>
        <v>WT21</v>
      </c>
      <c r="V5" t="str">
        <f>RawCurrent!V5</f>
        <v>WT23</v>
      </c>
      <c r="W5" t="str">
        <f>RawCurrent!W5</f>
        <v>WT24</v>
      </c>
      <c r="X5" t="str">
        <f>RawCurrent!X5</f>
        <v>WT25</v>
      </c>
      <c r="Y5" t="str">
        <f>RawCurrent!Y5</f>
        <v>WT26</v>
      </c>
      <c r="Z5" t="str">
        <f>RawCurrent!Z5</f>
        <v>WT27</v>
      </c>
      <c r="AA5" t="str">
        <f>RawCurrent!AA5</f>
        <v>WT28</v>
      </c>
      <c r="AB5" t="str">
        <f>RawCurrent!AB5</f>
        <v>WT29</v>
      </c>
      <c r="AC5" t="str">
        <f>RawCurrent!AC5</f>
        <v>WT30</v>
      </c>
      <c r="AD5" t="str">
        <f>RawCurrent!AD5</f>
        <v>WT31</v>
      </c>
      <c r="AE5" t="str">
        <f>RawCurrent!AE5</f>
        <v>WT33</v>
      </c>
      <c r="AF5" t="str">
        <f>RawCurrent!AF5</f>
        <v>WT38</v>
      </c>
      <c r="AG5" t="str">
        <f>RawCurrent!AG5</f>
        <v>WT39</v>
      </c>
      <c r="AH5" t="str">
        <f>RawCurrent!AH5</f>
        <v>WT40</v>
      </c>
      <c r="AI5" t="str">
        <f>RawCurrent!AI5</f>
        <v>WT43</v>
      </c>
      <c r="AJ5" t="str">
        <f>RawCurrent!AJ5</f>
        <v>WT44</v>
      </c>
      <c r="AK5" t="str">
        <f>RawCurrent!AK5</f>
        <v>WT47</v>
      </c>
      <c r="AL5" t="str">
        <f>RawCurrent!AL5</f>
        <v>WT48</v>
      </c>
      <c r="AM5" t="str">
        <f>RawCurrent!AM5</f>
        <v>WT50</v>
      </c>
      <c r="AN5" t="str">
        <f>RawCurrent!AN5</f>
        <v>WT53</v>
      </c>
      <c r="AO5" t="str">
        <f>RawCurrent!AO5</f>
        <v>WT54</v>
      </c>
      <c r="AP5" t="str">
        <f>RawCurrent!AP5</f>
        <v>WT63</v>
      </c>
      <c r="AQ5" t="str">
        <f>RawCurrent!AQ5</f>
        <v>WT66</v>
      </c>
      <c r="AR5" t="str">
        <f>RawCurrent!AR5</f>
        <v>WT69</v>
      </c>
      <c r="AS5" t="str">
        <f>RawCurrent!AS5</f>
        <v>WT71</v>
      </c>
      <c r="AT5" t="str">
        <f>RawCurrent!AT5</f>
        <v>WT74</v>
      </c>
      <c r="AU5" t="str">
        <f>RawCurrent!AU5</f>
        <v>WT75</v>
      </c>
      <c r="AV5" t="str">
        <f>RawCurrent!AV5</f>
        <v>WT76</v>
      </c>
      <c r="AW5" t="str">
        <f>RawCurrent!AW5</f>
        <v>EPN1</v>
      </c>
      <c r="AX5" t="str">
        <f>RawCurrent!AX5</f>
        <v>EPN2</v>
      </c>
      <c r="AY5" t="str">
        <f>RawCurrent!AY5</f>
        <v>EPN3</v>
      </c>
      <c r="AZ5" t="str">
        <f>RawCurrent!AZ5</f>
        <v>EPN4</v>
      </c>
      <c r="BA5" t="str">
        <f>RawCurrent!BA5</f>
        <v>EPN5</v>
      </c>
      <c r="BB5" t="str">
        <f>RawCurrent!BB5</f>
        <v>EPN6</v>
      </c>
      <c r="BC5" t="str">
        <f>RawCurrent!BC5</f>
        <v>EPN7</v>
      </c>
      <c r="BD5" t="str">
        <f>RawCurrent!BD5</f>
        <v>EPN9</v>
      </c>
      <c r="BE5" t="str">
        <f>RawCurrent!BE5</f>
        <v>EPN10</v>
      </c>
      <c r="BF5" t="str">
        <f>RawCurrent!BF5</f>
        <v>EPN11</v>
      </c>
      <c r="BG5" t="str">
        <f>RawCurrent!BG5</f>
        <v>EPN12</v>
      </c>
      <c r="BH5" t="str">
        <f>RawCurrent!BH5</f>
        <v>EPN13</v>
      </c>
      <c r="BI5" t="str">
        <f>RawCurrent!BI5</f>
        <v>EPN14</v>
      </c>
      <c r="BJ5" t="str">
        <f>RawCurrent!BJ5</f>
        <v>EPN18</v>
      </c>
      <c r="BK5" t="str">
        <f>RawCurrent!BK5</f>
        <v>LVNV1</v>
      </c>
      <c r="BL5" t="str">
        <f>RawCurrent!BL5</f>
        <v>LVNV2</v>
      </c>
      <c r="BM5" t="str">
        <f>RawCurrent!BM5</f>
        <v>LVNV3</v>
      </c>
      <c r="BN5" t="str">
        <f>RawCurrent!BN5</f>
        <v>LVNV4</v>
      </c>
      <c r="BO5" t="str">
        <f>RawCurrent!BO5</f>
        <v>LVNV4</v>
      </c>
      <c r="BP5" t="str">
        <f>RawCurrent!BP5</f>
        <v>LVNV4</v>
      </c>
      <c r="BQ5" t="str">
        <f>RawCurrent!BQ5</f>
        <v>LVNV5</v>
      </c>
      <c r="BR5" t="str">
        <f>RawCurrent!BR5</f>
        <v>LVNV6</v>
      </c>
      <c r="BS5" t="str">
        <f>RawCurrent!BS5</f>
        <v>LVNV7</v>
      </c>
      <c r="BT5" t="str">
        <f>RawCurrent!BT5</f>
        <v>LVNV8</v>
      </c>
      <c r="BU5" t="str">
        <f>RawCurrent!BU5</f>
        <v>LVNV9</v>
      </c>
      <c r="BV5" t="str">
        <f>RawCurrent!BV5</f>
        <v>LVNV10</v>
      </c>
      <c r="BW5" t="str">
        <f>RawCurrent!BW5</f>
        <v>LVNV12</v>
      </c>
      <c r="BX5" t="str">
        <f>RawCurrent!BX5</f>
        <v>LVNV14</v>
      </c>
      <c r="BY5" t="str">
        <f>RawCurrent!BY5</f>
        <v>LVNV15</v>
      </c>
      <c r="BZ5" t="str">
        <f>RawCurrent!BZ5</f>
        <v>LVNV16</v>
      </c>
      <c r="CA5" t="str">
        <f>RawCurrent!CA5</f>
        <v>LVNV18</v>
      </c>
      <c r="CB5" t="str">
        <f>RawCurrent!CB5</f>
        <v>LVNV19</v>
      </c>
      <c r="CC5" t="str">
        <f>RawCurrent!CC5</f>
        <v>LVNV20</v>
      </c>
      <c r="CD5" t="str">
        <f>RawCurrent!CD5</f>
        <v>LVNV21</v>
      </c>
    </row>
    <row r="6" spans="1:82" x14ac:dyDescent="0.2">
      <c r="A6" s="3" t="s">
        <v>5</v>
      </c>
    </row>
    <row r="7" spans="1:82" x14ac:dyDescent="0.2">
      <c r="A7" s="3">
        <v>-80</v>
      </c>
      <c r="B7">
        <f>IF(ISBLANK(RawCurrent!B7),"",-(RawCurrent!B7/MIN(RawCurrent!B$7:B$28)))</f>
        <v>2.6898331660920725E-2</v>
      </c>
      <c r="C7">
        <f>IF(ISBLANK(RawCurrent!C7),"",-(RawCurrent!C7/MIN(RawCurrent!C$7:C$28)))</f>
        <v>-3.7751424389552292E-2</v>
      </c>
      <c r="D7">
        <f>IF(ISBLANK(RawCurrent!D7),"",-(RawCurrent!D7/MIN(RawCurrent!D$7:D$28)))</f>
        <v>3.6527778400310379E-2</v>
      </c>
      <c r="E7">
        <f>IF(ISBLANK(RawCurrent!E7),"",-(RawCurrent!E7/MIN(RawCurrent!E$7:E$28)))</f>
        <v>-2.4639191062583696E-2</v>
      </c>
      <c r="F7">
        <f>IF(ISBLANK(RawCurrent!F7),"",-(RawCurrent!F7/MIN(RawCurrent!F$7:F$28)))</f>
        <v>4.3795321606094062E-2</v>
      </c>
      <c r="G7">
        <f>IF(ISBLANK(RawCurrent!G7),"",-(RawCurrent!G7/MIN(RawCurrent!G$7:G$28)))</f>
        <v>8.6573747782341358E-3</v>
      </c>
      <c r="H7">
        <f>IF(ISBLANK(RawCurrent!H7),"",-(RawCurrent!H7/MIN(RawCurrent!H$7:H$28)))</f>
        <v>-8.2486076706457159E-3</v>
      </c>
      <c r="I7">
        <f>IF(ISBLANK(RawCurrent!I7),"",-(RawCurrent!I7/MIN(RawCurrent!I$7:I$28)))</f>
        <v>1.5261838193176593E-2</v>
      </c>
      <c r="J7">
        <f>IF(ISBLANK(RawCurrent!J7),"",-(RawCurrent!J7/MIN(RawCurrent!J$7:J$28)))</f>
        <v>2.4583919646910247E-2</v>
      </c>
      <c r="K7">
        <f>IF(ISBLANK(RawCurrent!K7),"",-(RawCurrent!K7/MIN(RawCurrent!K$7:K$28)))</f>
        <v>6.0165919200037346E-3</v>
      </c>
      <c r="L7">
        <f>IF(ISBLANK(RawCurrent!L7),"",-(RawCurrent!L7/MIN(RawCurrent!L$7:L$28)))</f>
        <v>1.295310280964343E-2</v>
      </c>
      <c r="M7">
        <f>IF(ISBLANK(RawCurrent!M7),"",-(RawCurrent!M7/MIN(RawCurrent!M$7:M$28)))</f>
        <v>-2.1413285607828941E-2</v>
      </c>
      <c r="N7">
        <f>IF(ISBLANK(RawCurrent!N7),"",-(RawCurrent!N7/MIN(RawCurrent!N$7:N$28)))</f>
        <v>1.9361968205799752E-2</v>
      </c>
      <c r="O7">
        <f>IF(ISBLANK(RawCurrent!O7),"",-(RawCurrent!O7/MIN(RawCurrent!O$7:O$28)))</f>
        <v>-2.7043227174501513E-2</v>
      </c>
      <c r="P7">
        <f>IF(ISBLANK(RawCurrent!P7),"",-(RawCurrent!P7/MIN(RawCurrent!P$7:P$28)))</f>
        <v>1.8821594440064399E-2</v>
      </c>
      <c r="Q7">
        <f>IF(ISBLANK(RawCurrent!Q7),"",-(RawCurrent!Q7/MIN(RawCurrent!Q$7:Q$28)))</f>
        <v>1.6870328280370724E-2</v>
      </c>
      <c r="R7">
        <f>IF(ISBLANK(RawCurrent!R7),"",-(RawCurrent!R7/MIN(RawCurrent!R$7:R$28)))</f>
        <v>2.0786960150533405E-2</v>
      </c>
      <c r="S7">
        <f>IF(ISBLANK(RawCurrent!S7),"",-(RawCurrent!S7/MIN(RawCurrent!S$7:S$28)))</f>
        <v>-2.3012207161283386E-2</v>
      </c>
      <c r="T7">
        <f>IF(ISBLANK(RawCurrent!T7),"",-(RawCurrent!T7/MIN(RawCurrent!T$7:T$28)))</f>
        <v>2.2265258308686909E-2</v>
      </c>
      <c r="U7">
        <f>IF(ISBLANK(RawCurrent!U7),"",-(RawCurrent!U7/MIN(RawCurrent!U$7:U$28)))</f>
        <v>1.9840847584279578E-2</v>
      </c>
      <c r="V7">
        <f>IF(ISBLANK(RawCurrent!V7),"",-(RawCurrent!V7/MIN(RawCurrent!V$7:V$28)))</f>
        <v>1.2897565786013152E-2</v>
      </c>
      <c r="W7">
        <f>IF(ISBLANK(RawCurrent!W7),"",-(RawCurrent!W7/MIN(RawCurrent!W$7:W$28)))</f>
        <v>1.7970587936353605E-2</v>
      </c>
      <c r="X7">
        <f>IF(ISBLANK(RawCurrent!X7),"",-(RawCurrent!X7/MIN(RawCurrent!X$7:X$28)))</f>
        <v>-2.1099905084048014E-2</v>
      </c>
      <c r="Y7">
        <f>IF(ISBLANK(RawCurrent!Y7),"",-(RawCurrent!Y7/MIN(RawCurrent!Y$7:Y$28)))</f>
        <v>6.7366871193120723E-4</v>
      </c>
      <c r="Z7">
        <f>IF(ISBLANK(RawCurrent!Z7),"",-(RawCurrent!Z7/MIN(RawCurrent!Z$7:Z$28)))</f>
        <v>1.8530440359962593E-2</v>
      </c>
      <c r="AA7">
        <f>IF(ISBLANK(RawCurrent!AA7),"",-(RawCurrent!AA7/MIN(RawCurrent!AA$7:AA$28)))</f>
        <v>1.3106413703142486E-2</v>
      </c>
      <c r="AB7">
        <f>IF(ISBLANK(RawCurrent!AB7),"",-(RawCurrent!AB7/MIN(RawCurrent!AB$7:AB$28)))</f>
        <v>-5.2517988102626464E-2</v>
      </c>
      <c r="AC7">
        <f>IF(ISBLANK(RawCurrent!AC7),"",-(RawCurrent!AC7/MIN(RawCurrent!AC$7:AC$28)))</f>
        <v>-2.1483350987720064E-2</v>
      </c>
      <c r="AD7">
        <f>IF(ISBLANK(RawCurrent!AD7),"",-(RawCurrent!AD7/MIN(RawCurrent!AD$7:AD$28)))</f>
        <v>5.6433935799454833E-2</v>
      </c>
      <c r="AE7">
        <f>IF(ISBLANK(RawCurrent!AE7),"",-(RawCurrent!AE7/MIN(RawCurrent!AE$7:AE$28)))</f>
        <v>-4.8258598271082934E-2</v>
      </c>
      <c r="AF7">
        <f>IF(ISBLANK(RawCurrent!AF7),"",-(RawCurrent!AF7/MIN(RawCurrent!AF$7:AF$28)))</f>
        <v>-4.6914056177901634E-2</v>
      </c>
      <c r="AG7">
        <f>IF(ISBLANK(RawCurrent!AG7),"",-(RawCurrent!AG7/MIN(RawCurrent!AG$7:AG$28)))</f>
        <v>3.3362882975300295E-2</v>
      </c>
      <c r="AH7">
        <f>IF(ISBLANK(RawCurrent!AH7),"",-(RawCurrent!AH7/MIN(RawCurrent!AH$7:AH$28)))</f>
        <v>-6.8329611553169675E-2</v>
      </c>
      <c r="AI7">
        <f>IF(ISBLANK(RawCurrent!AI7),"",-(RawCurrent!AI7/MIN(RawCurrent!AI$7:AI$28)))</f>
        <v>-2.4235565131720177E-2</v>
      </c>
      <c r="AJ7">
        <f>IF(ISBLANK(RawCurrent!AJ7),"",-(RawCurrent!AJ7/MIN(RawCurrent!AJ$7:AJ$28)))</f>
        <v>-5.1028133835756023E-2</v>
      </c>
      <c r="AK7">
        <f>IF(ISBLANK(RawCurrent!AK7),"",-(RawCurrent!AK7/MIN(RawCurrent!AK$7:AK$28)))</f>
        <v>-3.1216520861890952E-2</v>
      </c>
      <c r="AL7">
        <f>IF(ISBLANK(RawCurrent!AL7),"",-(RawCurrent!AL7/MIN(RawCurrent!AL$7:AL$28)))</f>
        <v>-5.7863375935545962E-2</v>
      </c>
      <c r="AM7">
        <f>IF(ISBLANK(RawCurrent!AM7),"",-(RawCurrent!AM7/MIN(RawCurrent!AM$7:AM$28)))</f>
        <v>2.9898766319760278E-2</v>
      </c>
      <c r="AN7">
        <f>IF(ISBLANK(RawCurrent!AN7),"",-(RawCurrent!AN7/MIN(RawCurrent!AN$7:AN$28)))</f>
        <v>2.5671844988526999E-2</v>
      </c>
      <c r="AO7">
        <f>IF(ISBLANK(RawCurrent!AO7),"",-(RawCurrent!AO7/MIN(RawCurrent!AO$7:AO$28)))</f>
        <v>-5.8265830698026252E-2</v>
      </c>
      <c r="AP7">
        <f>IF(ISBLANK(RawCurrent!AP7),"",-(RawCurrent!AP7/MIN(RawCurrent!AP$7:AP$28)))</f>
        <v>3.1264186668228451E-2</v>
      </c>
      <c r="AQ7">
        <f>IF(ISBLANK(RawCurrent!AQ7),"",-(RawCurrent!AQ7/MIN(RawCurrent!AQ$7:AQ$28)))</f>
        <v>8.1802916498127029E-2</v>
      </c>
      <c r="AR7">
        <f>IF(ISBLANK(RawCurrent!AR7),"",-(RawCurrent!AR7/MIN(RawCurrent!AR$7:AR$28)))</f>
        <v>-0.11927007868109965</v>
      </c>
      <c r="AS7">
        <f>IF(ISBLANK(RawCurrent!AS7),"",-(RawCurrent!AS7/MIN(RawCurrent!AS$7:AS$28)))</f>
        <v>-8.7911940127519766E-2</v>
      </c>
      <c r="AT7">
        <f>IF(ISBLANK(RawCurrent!AT7),"",-(RawCurrent!AT7/MIN(RawCurrent!AT$7:AT$28)))</f>
        <v>-6.4046886416130447E-2</v>
      </c>
      <c r="AU7">
        <f>IF(ISBLANK(RawCurrent!AU7),"",-(RawCurrent!AU7/MIN(RawCurrent!AU$7:AU$28)))</f>
        <v>8.3572631119934425E-3</v>
      </c>
      <c r="AV7">
        <f>IF(ISBLANK(RawCurrent!AV7),"",-(RawCurrent!AV7/MIN(RawCurrent!AV$7:AV$28)))</f>
        <v>4.2158067872073796E-2</v>
      </c>
      <c r="AW7">
        <f>IF(ISBLANK(RawCurrent!AW7),"",-(RawCurrent!AW7/MIN(RawCurrent!AW$7:AW$28)))</f>
        <v>3.2655046133935217E-2</v>
      </c>
      <c r="AX7">
        <f>IF(ISBLANK(RawCurrent!AX7),"",-(RawCurrent!AX7/MIN(RawCurrent!AX$7:AX$28)))</f>
        <v>-2.2523199130284926E-2</v>
      </c>
      <c r="AY7">
        <f>IF(ISBLANK(RawCurrent!AY7),"",-(RawCurrent!AY7/MIN(RawCurrent!AY$7:AY$28)))</f>
        <v>1.2293179547858087E-2</v>
      </c>
      <c r="AZ7">
        <f>IF(ISBLANK(RawCurrent!AZ7),"",-(RawCurrent!AZ7/MIN(RawCurrent!AZ$7:AZ$28)))</f>
        <v>1.2650222679638811E-2</v>
      </c>
      <c r="BA7">
        <f>IF(ISBLANK(RawCurrent!BA7),"",-(RawCurrent!BA7/MIN(RawCurrent!BA$7:BA$28)))</f>
        <v>1.0979709051656904E-3</v>
      </c>
      <c r="BB7" t="str">
        <f>IF(ISBLANK(RawCurrent!BB7),"",-(RawCurrent!BB7/MIN(RawCurrent!BB$7:BB$28)))</f>
        <v/>
      </c>
      <c r="BC7">
        <f>IF(ISBLANK(RawCurrent!BC7),"",-(RawCurrent!BC7/MIN(RawCurrent!BC$7:BC$28)))</f>
        <v>4.2172871364635671E-3</v>
      </c>
      <c r="BD7">
        <f>IF(ISBLANK(RawCurrent!BD7),"",-(RawCurrent!BD7/MIN(RawCurrent!BD$7:BD$28)))</f>
        <v>7.8370669646316671E-2</v>
      </c>
      <c r="BE7" t="str">
        <f>IF(ISBLANK(RawCurrent!BE7),"",-(RawCurrent!BE7/MIN(RawCurrent!BE$7:BE$28)))</f>
        <v/>
      </c>
      <c r="BF7">
        <f>IF(ISBLANK(RawCurrent!BF7),"",-(RawCurrent!BF7/MIN(RawCurrent!BF$7:BF$28)))</f>
        <v>3.8542085279213725E-2</v>
      </c>
      <c r="BG7">
        <f>IF(ISBLANK(RawCurrent!BG7),"",-(RawCurrent!BG7/MIN(RawCurrent!BG$7:BG$28)))</f>
        <v>6.411744151222859E-2</v>
      </c>
      <c r="BH7">
        <f>IF(ISBLANK(RawCurrent!BH7),"",-(RawCurrent!BH7/MIN(RawCurrent!BH$7:BH$28)))</f>
        <v>-6.793487970091816E-2</v>
      </c>
      <c r="BI7">
        <f>IF(ISBLANK(RawCurrent!BI7),"",-(RawCurrent!BI7/MIN(RawCurrent!BI$7:BI$28)))</f>
        <v>0.18851772066383021</v>
      </c>
      <c r="BJ7">
        <f>IF(ISBLANK(RawCurrent!BJ7),"",-(RawCurrent!BJ7/MIN(RawCurrent!BJ$7:BJ$28)))</f>
        <v>6.1338465394564466E-3</v>
      </c>
      <c r="BK7">
        <f>IF(ISBLANK(RawCurrent!BK7),"",-(RawCurrent!BK7/MIN(RawCurrent!BK$7:BK$28)))</f>
        <v>-2.5383795309526117E-2</v>
      </c>
      <c r="BL7">
        <f>IF(ISBLANK(RawCurrent!BL7),"",-(RawCurrent!BL7/MIN(RawCurrent!BL$7:BL$28)))</f>
        <v>7.4742268041237117E-3</v>
      </c>
      <c r="BM7">
        <f>IF(ISBLANK(RawCurrent!BM7),"",-(RawCurrent!BM7/MIN(RawCurrent!BM$7:BM$28)))</f>
        <v>-2.1477779975654403E-2</v>
      </c>
      <c r="BN7">
        <f>IF(ISBLANK(RawCurrent!BN7),"",-(RawCurrent!BN7/MIN(RawCurrent!BN$7:BN$28)))</f>
        <v>4.1481688204498615E-2</v>
      </c>
      <c r="BO7">
        <f>IF(ISBLANK(RawCurrent!BO7),"",-(RawCurrent!BO7/MIN(RawCurrent!BO$7:BO$28)))</f>
        <v>5.0205907803215537E-2</v>
      </c>
      <c r="BP7">
        <f>IF(ISBLANK(RawCurrent!BP7),"",-(RawCurrent!BP7/MIN(RawCurrent!BP$7:BP$28)))</f>
        <v>2.7309898616636744E-2</v>
      </c>
      <c r="BQ7">
        <f>IF(ISBLANK(RawCurrent!BQ7),"",-(RawCurrent!BQ7/MIN(RawCurrent!BQ$7:BQ$28)))</f>
        <v>6.0186932326487065E-2</v>
      </c>
      <c r="BR7">
        <f>IF(ISBLANK(RawCurrent!BR7),"",-(RawCurrent!BR7/MIN(RawCurrent!BR$7:BR$28)))</f>
        <v>8.5230146408047051E-3</v>
      </c>
      <c r="BS7">
        <f>IF(ISBLANK(RawCurrent!BS7),"",-(RawCurrent!BS7/MIN(RawCurrent!BS$7:BS$28)))</f>
        <v>-2.2807640031882286E-3</v>
      </c>
      <c r="BT7">
        <f>IF(ISBLANK(RawCurrent!BT7),"",-(RawCurrent!BT7/MIN(RawCurrent!BT$7:BT$28)))</f>
        <v>3.0366710649750356E-2</v>
      </c>
      <c r="BU7">
        <f>IF(ISBLANK(RawCurrent!BU7),"",-(RawCurrent!BU7/MIN(RawCurrent!BU$7:BU$28)))</f>
        <v>1.5133540273471057E-2</v>
      </c>
      <c r="BV7">
        <f>IF(ISBLANK(RawCurrent!BV7),"",-(RawCurrent!BV7/MIN(RawCurrent!BV$7:BV$28)))</f>
        <v>-3.0492844267057579E-2</v>
      </c>
      <c r="BW7">
        <f>IF(ISBLANK(RawCurrent!BW7),"",-(RawCurrent!BW7/MIN(RawCurrent!BW$7:BW$28)))</f>
        <v>3.2535233759072489E-2</v>
      </c>
      <c r="BX7">
        <f>IF(ISBLANK(RawCurrent!BX7),"",-(RawCurrent!BX7/MIN(RawCurrent!BX$7:BX$28)))</f>
        <v>7.3873498739565916E-4</v>
      </c>
      <c r="BY7">
        <f>IF(ISBLANK(RawCurrent!BY7),"",-(RawCurrent!BY7/MIN(RawCurrent!BY$7:BY$28)))</f>
        <v>-8.7607214938876576E-2</v>
      </c>
      <c r="BZ7">
        <f>IF(ISBLANK(RawCurrent!BZ7),"",-(RawCurrent!BZ7/MIN(RawCurrent!BZ$7:BZ$28)))</f>
        <v>0.12377485867788786</v>
      </c>
      <c r="CA7">
        <f>IF(ISBLANK(RawCurrent!CA7),"",-(RawCurrent!CA7/MIN(RawCurrent!CA$7:CA$28)))</f>
        <v>-7.8039439951609404E-3</v>
      </c>
      <c r="CB7">
        <f>IF(ISBLANK(RawCurrent!CB7),"",-(RawCurrent!CB7/MIN(RawCurrent!CB$7:CB$28)))</f>
        <v>-2.8686387358893574E-3</v>
      </c>
      <c r="CC7">
        <f>IF(ISBLANK(RawCurrent!CC7),"",-(RawCurrent!CC7/MIN(RawCurrent!CC$7:CC$28)))</f>
        <v>-0.10885348972893988</v>
      </c>
      <c r="CD7">
        <f>IF(ISBLANK(RawCurrent!CD7),"",-(RawCurrent!CD7/MIN(RawCurrent!CD$7:CD$28)))</f>
        <v>4.9072543932693813E-3</v>
      </c>
    </row>
    <row r="8" spans="1:82" x14ac:dyDescent="0.2">
      <c r="A8" s="3">
        <f>A7+10</f>
        <v>-70</v>
      </c>
      <c r="B8">
        <f>IF(ISBLANK(RawCurrent!B8),"",-(RawCurrent!B8/MIN(RawCurrent!B$7:B$28)))</f>
        <v>-2.4204714051879742E-2</v>
      </c>
      <c r="C8">
        <f>IF(ISBLANK(RawCurrent!C8),"",-(RawCurrent!C8/MIN(RawCurrent!C$7:C$28)))</f>
        <v>3.2739533653094094E-2</v>
      </c>
      <c r="D8">
        <f>IF(ISBLANK(RawCurrent!D8),"",-(RawCurrent!D8/MIN(RawCurrent!D$7:D$28)))</f>
        <v>3.7800020698327538E-2</v>
      </c>
      <c r="E8">
        <f>IF(ISBLANK(RawCurrent!E8),"",-(RawCurrent!E8/MIN(RawCurrent!E$7:E$28)))</f>
        <v>-1.7521347530534376E-2</v>
      </c>
      <c r="F8">
        <f>IF(ISBLANK(RawCurrent!F8),"",-(RawCurrent!F8/MIN(RawCurrent!F$7:F$28)))</f>
        <v>4.5177225743104843E-2</v>
      </c>
      <c r="G8">
        <f>IF(ISBLANK(RawCurrent!G8),"",-(RawCurrent!G8/MIN(RawCurrent!G$7:G$28)))</f>
        <v>6.9468972581593407E-3</v>
      </c>
      <c r="H8">
        <f>IF(ISBLANK(RawCurrent!H8),"",-(RawCurrent!H8/MIN(RawCurrent!H$7:H$28)))</f>
        <v>-1.004907158121467E-2</v>
      </c>
      <c r="I8">
        <f>IF(ISBLANK(RawCurrent!I8),"",-(RawCurrent!I8/MIN(RawCurrent!I$7:I$28)))</f>
        <v>2.2538373310240889E-2</v>
      </c>
      <c r="J8">
        <f>IF(ISBLANK(RawCurrent!J8),"",-(RawCurrent!J8/MIN(RawCurrent!J$7:J$28)))</f>
        <v>-2.3429771961064765E-2</v>
      </c>
      <c r="K8">
        <f>IF(ISBLANK(RawCurrent!K8),"",-(RawCurrent!K8/MIN(RawCurrent!K$7:K$28)))</f>
        <v>7.062104523177592E-3</v>
      </c>
      <c r="L8">
        <f>IF(ISBLANK(RawCurrent!L8),"",-(RawCurrent!L8/MIN(RawCurrent!L$7:L$28)))</f>
        <v>1.4896353714985431E-2</v>
      </c>
      <c r="M8">
        <f>IF(ISBLANK(RawCurrent!M8),"",-(RawCurrent!M8/MIN(RawCurrent!M$7:M$28)))</f>
        <v>2.2660039878285972E-2</v>
      </c>
      <c r="N8">
        <f>IF(ISBLANK(RawCurrent!N8),"",-(RawCurrent!N8/MIN(RawCurrent!N$7:N$28)))</f>
        <v>2.1334739018660745E-2</v>
      </c>
      <c r="O8">
        <f>IF(ISBLANK(RawCurrent!O8),"",-(RawCurrent!O8/MIN(RawCurrent!O$7:O$28)))</f>
        <v>1.8120133071718902E-2</v>
      </c>
      <c r="P8">
        <f>IF(ISBLANK(RawCurrent!P8),"",-(RawCurrent!P8/MIN(RawCurrent!P$7:P$28)))</f>
        <v>1.5519569573578862E-2</v>
      </c>
      <c r="Q8">
        <f>IF(ISBLANK(RawCurrent!Q8),"",-(RawCurrent!Q8/MIN(RawCurrent!Q$7:Q$28)))</f>
        <v>2.4713939441002607E-2</v>
      </c>
      <c r="R8">
        <f>IF(ISBLANK(RawCurrent!R8),"",-(RawCurrent!R8/MIN(RawCurrent!R$7:R$28)))</f>
        <v>2.0220529259136956E-2</v>
      </c>
      <c r="S8">
        <f>IF(ISBLANK(RawCurrent!S8),"",-(RawCurrent!S8/MIN(RawCurrent!S$7:S$28)))</f>
        <v>-2.3191323204953287E-2</v>
      </c>
      <c r="T8">
        <f>IF(ISBLANK(RawCurrent!T8),"",-(RawCurrent!T8/MIN(RawCurrent!T$7:T$28)))</f>
        <v>2.6429892770256209E-2</v>
      </c>
      <c r="U8">
        <f>IF(ISBLANK(RawCurrent!U8),"",-(RawCurrent!U8/MIN(RawCurrent!U$7:U$28)))</f>
        <v>1.711862141988691E-2</v>
      </c>
      <c r="V8">
        <f>IF(ISBLANK(RawCurrent!V8),"",-(RawCurrent!V8/MIN(RawCurrent!V$7:V$28)))</f>
        <v>1.3614930439206013E-2</v>
      </c>
      <c r="W8">
        <f>IF(ISBLANK(RawCurrent!W8),"",-(RawCurrent!W8/MIN(RawCurrent!W$7:W$28)))</f>
        <v>-2.1884980486260669E-2</v>
      </c>
      <c r="X8">
        <f>IF(ISBLANK(RawCurrent!X8),"",-(RawCurrent!X8/MIN(RawCurrent!X$7:X$28)))</f>
        <v>-2.0330776652307796E-2</v>
      </c>
      <c r="Y8">
        <f>IF(ISBLANK(RawCurrent!Y8),"",-(RawCurrent!Y8/MIN(RawCurrent!Y$7:Y$28)))</f>
        <v>-1.324570046578283E-2</v>
      </c>
      <c r="Z8">
        <f>IF(ISBLANK(RawCurrent!Z8),"",-(RawCurrent!Z8/MIN(RawCurrent!Z$7:Z$28)))</f>
        <v>-1.7504859910309409E-2</v>
      </c>
      <c r="AA8">
        <f>IF(ISBLANK(RawCurrent!AA8),"",-(RawCurrent!AA8/MIN(RawCurrent!AA$7:AA$28)))</f>
        <v>-1.3683351007071479E-2</v>
      </c>
      <c r="AB8">
        <f>IF(ISBLANK(RawCurrent!AB8),"",-(RawCurrent!AB8/MIN(RawCurrent!AB$7:AB$28)))</f>
        <v>4.3788440160215651E-2</v>
      </c>
      <c r="AC8">
        <f>IF(ISBLANK(RawCurrent!AC8),"",-(RawCurrent!AC8/MIN(RawCurrent!AC$7:AC$28)))</f>
        <v>1.8944460445639338E-2</v>
      </c>
      <c r="AD8">
        <f>IF(ISBLANK(RawCurrent!AD8),"",-(RawCurrent!AD8/MIN(RawCurrent!AD$7:AD$28)))</f>
        <v>4.6967615291851256E-2</v>
      </c>
      <c r="AE8">
        <f>IF(ISBLANK(RawCurrent!AE8),"",-(RawCurrent!AE8/MIN(RawCurrent!AE$7:AE$28)))</f>
        <v>4.7663261206351559E-2</v>
      </c>
      <c r="AF8">
        <f>IF(ISBLANK(RawCurrent!AF8),"",-(RawCurrent!AF8/MIN(RawCurrent!AF$7:AF$28)))</f>
        <v>5.417589376651024E-2</v>
      </c>
      <c r="AG8">
        <f>IF(ISBLANK(RawCurrent!AG8),"",-(RawCurrent!AG8/MIN(RawCurrent!AG$7:AG$28)))</f>
        <v>2.5277578275107009E-2</v>
      </c>
      <c r="AH8">
        <f>IF(ISBLANK(RawCurrent!AH8),"",-(RawCurrent!AH8/MIN(RawCurrent!AH$7:AH$28)))</f>
        <v>4.4595103777373676E-2</v>
      </c>
      <c r="AI8">
        <f>IF(ISBLANK(RawCurrent!AI8),"",-(RawCurrent!AI8/MIN(RawCurrent!AI$7:AI$28)))</f>
        <v>-4.1158343541570469E-2</v>
      </c>
      <c r="AJ8">
        <f>IF(ISBLANK(RawCurrent!AJ8),"",-(RawCurrent!AJ8/MIN(RawCurrent!AJ$7:AJ$28)))</f>
        <v>-4.0854749068109895E-2</v>
      </c>
      <c r="AK8">
        <f>IF(ISBLANK(RawCurrent!AK8),"",-(RawCurrent!AK8/MIN(RawCurrent!AK$7:AK$28)))</f>
        <v>3.1557229600277292E-2</v>
      </c>
      <c r="AL8">
        <f>IF(ISBLANK(RawCurrent!AL8),"",-(RawCurrent!AL8/MIN(RawCurrent!AL$7:AL$28)))</f>
        <v>3.0077960573596199E-2</v>
      </c>
      <c r="AM8">
        <f>IF(ISBLANK(RawCurrent!AM8),"",-(RawCurrent!AM8/MIN(RawCurrent!AM$7:AM$28)))</f>
        <v>-2.9238107976227327E-2</v>
      </c>
      <c r="AN8">
        <f>IF(ISBLANK(RawCurrent!AN8),"",-(RawCurrent!AN8/MIN(RawCurrent!AN$7:AN$28)))</f>
        <v>3.1092365690827538E-2</v>
      </c>
      <c r="AO8">
        <f>IF(ISBLANK(RawCurrent!AO8),"",-(RawCurrent!AO8/MIN(RawCurrent!AO$7:AO$28)))</f>
        <v>5.9444880564021384E-2</v>
      </c>
      <c r="AP8">
        <f>IF(ISBLANK(RawCurrent!AP8),"",-(RawCurrent!AP8/MIN(RawCurrent!AP$7:AP$28)))</f>
        <v>5.278071311894398E-2</v>
      </c>
      <c r="AQ8">
        <f>IF(ISBLANK(RawCurrent!AQ8),"",-(RawCurrent!AQ8/MIN(RawCurrent!AQ$7:AQ$28)))</f>
        <v>0.11064878457416433</v>
      </c>
      <c r="AR8">
        <f>IF(ISBLANK(RawCurrent!AR8),"",-(RawCurrent!AR8/MIN(RawCurrent!AR$7:AR$28)))</f>
        <v>6.9667034155897478E-2</v>
      </c>
      <c r="AS8">
        <f>IF(ISBLANK(RawCurrent!AS8),"",-(RawCurrent!AS8/MIN(RawCurrent!AS$7:AS$28)))</f>
        <v>7.4908194758590396E-2</v>
      </c>
      <c r="AT8">
        <f>IF(ISBLANK(RawCurrent!AT8),"",-(RawCurrent!AT8/MIN(RawCurrent!AT$7:AT$28)))</f>
        <v>4.2340494303692688E-2</v>
      </c>
      <c r="AU8">
        <f>IF(ISBLANK(RawCurrent!AU8),"",-(RawCurrent!AU8/MIN(RawCurrent!AU$7:AU$28)))</f>
        <v>2.3853231210994724E-2</v>
      </c>
      <c r="AV8">
        <f>IF(ISBLANK(RawCurrent!AV8),"",-(RawCurrent!AV8/MIN(RawCurrent!AV$7:AV$28)))</f>
        <v>5.0901458880830391E-2</v>
      </c>
      <c r="AW8">
        <f>IF(ISBLANK(RawCurrent!AW8),"",-(RawCurrent!AW8/MIN(RawCurrent!AW$7:AW$28)))</f>
        <v>4.6901452485803824E-2</v>
      </c>
      <c r="AX8">
        <f>IF(ISBLANK(RawCurrent!AX8),"",-(RawCurrent!AX8/MIN(RawCurrent!AX$7:AX$28)))</f>
        <v>2.5970370843590111E-2</v>
      </c>
      <c r="AY8">
        <f>IF(ISBLANK(RawCurrent!AY8),"",-(RawCurrent!AY8/MIN(RawCurrent!AY$7:AY$28)))</f>
        <v>2.1533590660774149E-3</v>
      </c>
      <c r="AZ8">
        <f>IF(ISBLANK(RawCurrent!AZ8),"",-(RawCurrent!AZ8/MIN(RawCurrent!AZ$7:AZ$28)))</f>
        <v>1.7371649247258251E-2</v>
      </c>
      <c r="BA8">
        <f>IF(ISBLANK(RawCurrent!BA8),"",-(RawCurrent!BA8/MIN(RawCurrent!BA$7:BA$28)))</f>
        <v>-1.008788568642064E-3</v>
      </c>
      <c r="BB8" t="str">
        <f>IF(ISBLANK(RawCurrent!BB8),"",-(RawCurrent!BB8/MIN(RawCurrent!BB$7:BB$28)))</f>
        <v/>
      </c>
      <c r="BC8">
        <f>IF(ISBLANK(RawCurrent!BC8),"",-(RawCurrent!BC8/MIN(RawCurrent!BC$7:BC$28)))</f>
        <v>-4.5957218152672683E-3</v>
      </c>
      <c r="BD8">
        <f>IF(ISBLANK(RawCurrent!BD8),"",-(RawCurrent!BD8/MIN(RawCurrent!BD$7:BD$28)))</f>
        <v>-3.4803888345837863E-2</v>
      </c>
      <c r="BE8">
        <f>IF(ISBLANK(RawCurrent!BE8),"",-(RawCurrent!BE8/MIN(RawCurrent!BE$7:BE$28)))</f>
        <v>-7.4739215593531791E-2</v>
      </c>
      <c r="BF8">
        <f>IF(ISBLANK(RawCurrent!BF8),"",-(RawCurrent!BF8/MIN(RawCurrent!BF$7:BF$28)))</f>
        <v>6.9124401509888106E-2</v>
      </c>
      <c r="BG8">
        <f>IF(ISBLANK(RawCurrent!BG8),"",-(RawCurrent!BG8/MIN(RawCurrent!BG$7:BG$28)))</f>
        <v>-4.4815330883986329E-2</v>
      </c>
      <c r="BH8">
        <f>IF(ISBLANK(RawCurrent!BH8),"",-(RawCurrent!BH8/MIN(RawCurrent!BH$7:BH$28)))</f>
        <v>-8.1852934219375603E-2</v>
      </c>
      <c r="BI8">
        <f>IF(ISBLANK(RawCurrent!BI8),"",-(RawCurrent!BI8/MIN(RawCurrent!BI$7:BI$28)))</f>
        <v>7.9388640874865954E-2</v>
      </c>
      <c r="BJ8">
        <f>IF(ISBLANK(RawCurrent!BJ8),"",-(RawCurrent!BJ8/MIN(RawCurrent!BJ$7:BJ$28)))</f>
        <v>-1.4739541684365092E-2</v>
      </c>
      <c r="BK8">
        <f>IF(ISBLANK(RawCurrent!BK8),"",-(RawCurrent!BK8/MIN(RawCurrent!BK$7:BK$28)))</f>
        <v>-2.1668710607848134E-2</v>
      </c>
      <c r="BL8">
        <f>IF(ISBLANK(RawCurrent!BL8),"",-(RawCurrent!BL8/MIN(RawCurrent!BL$7:BL$28)))</f>
        <v>6.8926492720183495E-3</v>
      </c>
      <c r="BM8">
        <f>IF(ISBLANK(RawCurrent!BM8),"",-(RawCurrent!BM8/MIN(RawCurrent!BM$7:BM$28)))</f>
        <v>2.2358469295328698E-2</v>
      </c>
      <c r="BN8">
        <f>IF(ISBLANK(RawCurrent!BN8),"",-(RawCurrent!BN8/MIN(RawCurrent!BN$7:BN$28)))</f>
        <v>6.2300443999906294E-2</v>
      </c>
      <c r="BO8">
        <f>IF(ISBLANK(RawCurrent!BO8),"",-(RawCurrent!BO8/MIN(RawCurrent!BO$7:BO$28)))</f>
        <v>-3.3445721696006167E-2</v>
      </c>
      <c r="BP8">
        <f>IF(ISBLANK(RawCurrent!BP8),"",-(RawCurrent!BP8/MIN(RawCurrent!BP$7:BP$28)))</f>
        <v>3.2868534750084222E-2</v>
      </c>
      <c r="BQ8">
        <f>IF(ISBLANK(RawCurrent!BQ8),"",-(RawCurrent!BQ8/MIN(RawCurrent!BQ$7:BQ$28)))</f>
        <v>0.1012657114111358</v>
      </c>
      <c r="BR8">
        <f>IF(ISBLANK(RawCurrent!BR8),"",-(RawCurrent!BR8/MIN(RawCurrent!BR$7:BR$28)))</f>
        <v>-5.8497672758463258E-2</v>
      </c>
      <c r="BS8">
        <f>IF(ISBLANK(RawCurrent!BS8),"",-(RawCurrent!BS8/MIN(RawCurrent!BS$7:BS$28)))</f>
        <v>-2.9396155739892977E-2</v>
      </c>
      <c r="BT8">
        <f>IF(ISBLANK(RawCurrent!BT8),"",-(RawCurrent!BT8/MIN(RawCurrent!BT$7:BT$28)))</f>
        <v>3.5558373074655626E-2</v>
      </c>
      <c r="BU8">
        <f>IF(ISBLANK(RawCurrent!BU8),"",-(RawCurrent!BU8/MIN(RawCurrent!BU$7:BU$28)))</f>
        <v>-8.7198981751981472E-2</v>
      </c>
      <c r="BV8">
        <f>IF(ISBLANK(RawCurrent!BV8),"",-(RawCurrent!BV8/MIN(RawCurrent!BV$7:BV$28)))</f>
        <v>-4.8967887944903813E-4</v>
      </c>
      <c r="BW8">
        <f>IF(ISBLANK(RawCurrent!BW8),"",-(RawCurrent!BW8/MIN(RawCurrent!BW$7:BW$28)))</f>
        <v>4.1095969317853143E-2</v>
      </c>
      <c r="BX8">
        <f>IF(ISBLANK(RawCurrent!BX8),"",-(RawCurrent!BX8/MIN(RawCurrent!BX$7:BX$28)))</f>
        <v>-2.5588375515948506E-4</v>
      </c>
      <c r="BY8">
        <f>IF(ISBLANK(RawCurrent!BY8),"",-(RawCurrent!BY8/MIN(RawCurrent!BY$7:BY$28)))</f>
        <v>-0.11447123980143388</v>
      </c>
      <c r="BZ8">
        <f>IF(ISBLANK(RawCurrent!BZ8),"",-(RawCurrent!BZ8/MIN(RawCurrent!BZ$7:BZ$28)))</f>
        <v>6.6326978145613905E-2</v>
      </c>
      <c r="CA8">
        <f>IF(ISBLANK(RawCurrent!CA8),"",-(RawCurrent!CA8/MIN(RawCurrent!CA$7:CA$28)))</f>
        <v>2.7641195407900322E-2</v>
      </c>
      <c r="CB8">
        <f>IF(ISBLANK(RawCurrent!CB8),"",-(RawCurrent!CB8/MIN(RawCurrent!CB$7:CB$28)))</f>
        <v>-1.1191909376862956E-2</v>
      </c>
      <c r="CC8">
        <f>IF(ISBLANK(RawCurrent!CC8),"",-(RawCurrent!CC8/MIN(RawCurrent!CC$7:CC$28)))</f>
        <v>0.10635300808688376</v>
      </c>
      <c r="CD8">
        <f>IF(ISBLANK(RawCurrent!CD8),"",-(RawCurrent!CD8/MIN(RawCurrent!CD$7:CD$28)))</f>
        <v>3.9656124050523253E-3</v>
      </c>
    </row>
    <row r="9" spans="1:82" x14ac:dyDescent="0.2">
      <c r="A9" s="3">
        <f t="shared" ref="A9:A27" si="0">A8+10</f>
        <v>-60</v>
      </c>
      <c r="B9">
        <f>IF(ISBLANK(RawCurrent!B9),"",-(RawCurrent!B9/MIN(RawCurrent!B$7:B$28)))</f>
        <v>-2.2972838069731785E-2</v>
      </c>
      <c r="C9">
        <f>IF(ISBLANK(RawCurrent!C9),"",-(RawCurrent!C9/MIN(RawCurrent!C$7:C$28)))</f>
        <v>4.5688692529947707E-2</v>
      </c>
      <c r="D9">
        <f>IF(ISBLANK(RawCurrent!D9),"",-(RawCurrent!D9/MIN(RawCurrent!D$7:D$28)))</f>
        <v>4.5111468818481743E-2</v>
      </c>
      <c r="E9">
        <f>IF(ISBLANK(RawCurrent!E9),"",-(RawCurrent!E9/MIN(RawCurrent!E$7:E$28)))</f>
        <v>-1.3236277294719719E-2</v>
      </c>
      <c r="F9">
        <f>IF(ISBLANK(RawCurrent!F9),"",-(RawCurrent!F9/MIN(RawCurrent!F$7:F$28)))</f>
        <v>-4.3721366924986751E-2</v>
      </c>
      <c r="G9">
        <f>IF(ISBLANK(RawCurrent!G9),"",-(RawCurrent!G9/MIN(RawCurrent!G$7:G$28)))</f>
        <v>1.0059949167498517E-2</v>
      </c>
      <c r="H9">
        <f>IF(ISBLANK(RawCurrent!H9),"",-(RawCurrent!H9/MIN(RawCurrent!H$7:H$28)))</f>
        <v>9.2871193515509931E-3</v>
      </c>
      <c r="I9">
        <f>IF(ISBLANK(RawCurrent!I9),"",-(RawCurrent!I9/MIN(RawCurrent!I$7:I$28)))</f>
        <v>2.855189573833114E-2</v>
      </c>
      <c r="J9">
        <f>IF(ISBLANK(RawCurrent!J9),"",-(RawCurrent!J9/MIN(RawCurrent!J$7:J$28)))</f>
        <v>-2.2008084495536796E-2</v>
      </c>
      <c r="K9">
        <f>IF(ISBLANK(RawCurrent!K9),"",-(RawCurrent!K9/MIN(RawCurrent!K$7:K$28)))</f>
        <v>6.1498226043190602E-3</v>
      </c>
      <c r="L9">
        <f>IF(ISBLANK(RawCurrent!L9),"",-(RawCurrent!L9/MIN(RawCurrent!L$7:L$28)))</f>
        <v>1.6444166758267154E-2</v>
      </c>
      <c r="M9">
        <f>IF(ISBLANK(RawCurrent!M9),"",-(RawCurrent!M9/MIN(RawCurrent!M$7:M$28)))</f>
        <v>-2.2028392052127036E-2</v>
      </c>
      <c r="N9">
        <f>IF(ISBLANK(RawCurrent!N9),"",-(RawCurrent!N9/MIN(RawCurrent!N$7:N$28)))</f>
        <v>2.6759940547054883E-2</v>
      </c>
      <c r="O9">
        <f>IF(ISBLANK(RawCurrent!O9),"",-(RawCurrent!O9/MIN(RawCurrent!O$7:O$28)))</f>
        <v>1.3959473443664022E-2</v>
      </c>
      <c r="P9">
        <f>IF(ISBLANK(RawCurrent!P9),"",-(RawCurrent!P9/MIN(RawCurrent!P$7:P$28)))</f>
        <v>-2.3015623014297958E-2</v>
      </c>
      <c r="Q9">
        <f>IF(ISBLANK(RawCurrent!Q9),"",-(RawCurrent!Q9/MIN(RawCurrent!Q$7:Q$28)))</f>
        <v>3.6205962014375662E-2</v>
      </c>
      <c r="R9">
        <f>IF(ISBLANK(RawCurrent!R9),"",-(RawCurrent!R9/MIN(RawCurrent!R$7:R$28)))</f>
        <v>1.4842979207657588E-2</v>
      </c>
      <c r="S9">
        <f>IF(ISBLANK(RawCurrent!S9),"",-(RawCurrent!S9/MIN(RawCurrent!S$7:S$28)))</f>
        <v>-1.9947143515487185E-2</v>
      </c>
      <c r="T9">
        <f>IF(ISBLANK(RawCurrent!T9),"",-(RawCurrent!T9/MIN(RawCurrent!T$7:T$28)))</f>
        <v>2.2804459666290022E-2</v>
      </c>
      <c r="U9">
        <f>IF(ISBLANK(RawCurrent!U9),"",-(RawCurrent!U9/MIN(RawCurrent!U$7:U$28)))</f>
        <v>2.0207310287889264E-2</v>
      </c>
      <c r="V9">
        <f>IF(ISBLANK(RawCurrent!V9),"",-(RawCurrent!V9/MIN(RawCurrent!V$7:V$28)))</f>
        <v>1.0629038693478978E-2</v>
      </c>
      <c r="W9">
        <f>IF(ISBLANK(RawCurrent!W9),"",-(RawCurrent!W9/MIN(RawCurrent!W$7:W$28)))</f>
        <v>-2.4454145070957257E-2</v>
      </c>
      <c r="X9">
        <f>IF(ISBLANK(RawCurrent!X9),"",-(RawCurrent!X9/MIN(RawCurrent!X$7:X$28)))</f>
        <v>-2.2783403301294906E-2</v>
      </c>
      <c r="Y9">
        <f>IF(ISBLANK(RawCurrent!Y9),"",-(RawCurrent!Y9/MIN(RawCurrent!Y$7:Y$28)))</f>
        <v>-4.8894137405947606E-2</v>
      </c>
      <c r="Z9">
        <f>IF(ISBLANK(RawCurrent!Z9),"",-(RawCurrent!Z9/MIN(RawCurrent!Z$7:Z$28)))</f>
        <v>-1.608778953707905E-2</v>
      </c>
      <c r="AA9">
        <f>IF(ISBLANK(RawCurrent!AA9),"",-(RawCurrent!AA9/MIN(RawCurrent!AA$7:AA$28)))</f>
        <v>-1.6446141331666012E-2</v>
      </c>
      <c r="AB9">
        <f>IF(ISBLANK(RawCurrent!AB9),"",-(RawCurrent!AB9/MIN(RawCurrent!AB$7:AB$28)))</f>
        <v>-3.6969880789667967E-2</v>
      </c>
      <c r="AC9">
        <f>IF(ISBLANK(RawCurrent!AC9),"",-(RawCurrent!AC9/MIN(RawCurrent!AC$7:AC$28)))</f>
        <v>2.576988996008157E-2</v>
      </c>
      <c r="AD9">
        <f>IF(ISBLANK(RawCurrent!AD9),"",-(RawCurrent!AD9/MIN(RawCurrent!AD$7:AD$28)))</f>
        <v>4.0867655654839206E-2</v>
      </c>
      <c r="AE9">
        <f>IF(ISBLANK(RawCurrent!AE9),"",-(RawCurrent!AE9/MIN(RawCurrent!AE$7:AE$28)))</f>
        <v>-5.7244199698493113E-2</v>
      </c>
      <c r="AF9">
        <f>IF(ISBLANK(RawCurrent!AF9),"",-(RawCurrent!AF9/MIN(RawCurrent!AF$7:AF$28)))</f>
        <v>-5.3530819313562406E-2</v>
      </c>
      <c r="AG9">
        <f>IF(ISBLANK(RawCurrent!AG9),"",-(RawCurrent!AG9/MIN(RawCurrent!AG$7:AG$28)))</f>
        <v>4.2514936340463799E-2</v>
      </c>
      <c r="AH9">
        <f>IF(ISBLANK(RawCurrent!AH9),"",-(RawCurrent!AH9/MIN(RawCurrent!AH$7:AH$28)))</f>
        <v>-6.7345285533766147E-2</v>
      </c>
      <c r="AI9">
        <f>IF(ISBLANK(RawCurrent!AI9),"",-(RawCurrent!AI9/MIN(RawCurrent!AI$7:AI$28)))</f>
        <v>-3.211921722999591E-2</v>
      </c>
      <c r="AJ9">
        <f>IF(ISBLANK(RawCurrent!AJ9),"",-(RawCurrent!AJ9/MIN(RawCurrent!AJ$7:AJ$28)))</f>
        <v>-5.1575538637725099E-2</v>
      </c>
      <c r="AK9">
        <f>IF(ISBLANK(RawCurrent!AK9),"",-(RawCurrent!AK9/MIN(RawCurrent!AK$7:AK$28)))</f>
        <v>-2.8648363225392708E-2</v>
      </c>
      <c r="AL9">
        <f>IF(ISBLANK(RawCurrent!AL9),"",-(RawCurrent!AL9/MIN(RawCurrent!AL$7:AL$28)))</f>
        <v>3.2952194266346817E-2</v>
      </c>
      <c r="AM9">
        <f>IF(ISBLANK(RawCurrent!AM9),"",-(RawCurrent!AM9/MIN(RawCurrent!AM$7:AM$28)))</f>
        <v>-2.9551588157822148E-2</v>
      </c>
      <c r="AN9">
        <f>IF(ISBLANK(RawCurrent!AN9),"",-(RawCurrent!AN9/MIN(RawCurrent!AN$7:AN$28)))</f>
        <v>3.2043025305470631E-2</v>
      </c>
      <c r="AO9">
        <f>IF(ISBLANK(RawCurrent!AO9),"",-(RawCurrent!AO9/MIN(RawCurrent!AO$7:AO$28)))</f>
        <v>6.2474439202747374E-2</v>
      </c>
      <c r="AP9">
        <f>IF(ISBLANK(RawCurrent!AP9),"",-(RawCurrent!AP9/MIN(RawCurrent!AP$7:AP$28)))</f>
        <v>7.1406389358093569E-2</v>
      </c>
      <c r="AQ9">
        <f>IF(ISBLANK(RawCurrent!AQ9),"",-(RawCurrent!AQ9/MIN(RawCurrent!AQ$7:AQ$28)))</f>
        <v>-0.10476280008267898</v>
      </c>
      <c r="AR9">
        <f>IF(ISBLANK(RawCurrent!AR9),"",-(RawCurrent!AR9/MIN(RawCurrent!AR$7:AR$28)))</f>
        <v>-9.6352126280794842E-2</v>
      </c>
      <c r="AS9">
        <f>IF(ISBLANK(RawCurrent!AS9),"",-(RawCurrent!AS9/MIN(RawCurrent!AS$7:AS$28)))</f>
        <v>6.6278526180483091E-2</v>
      </c>
      <c r="AT9">
        <f>IF(ISBLANK(RawCurrent!AT9),"",-(RawCurrent!AT9/MIN(RawCurrent!AT$7:AT$28)))</f>
        <v>4.3937390894277534E-2</v>
      </c>
      <c r="AU9">
        <f>IF(ISBLANK(RawCurrent!AU9),"",-(RawCurrent!AU9/MIN(RawCurrent!AU$7:AU$28)))</f>
        <v>2.7227517349085014E-2</v>
      </c>
      <c r="AV9">
        <f>IF(ISBLANK(RawCurrent!AV9),"",-(RawCurrent!AV9/MIN(RawCurrent!AV$7:AV$28)))</f>
        <v>8.8754989363074618E-2</v>
      </c>
      <c r="AW9">
        <f>IF(ISBLANK(RawCurrent!AW9),"",-(RawCurrent!AW9/MIN(RawCurrent!AW$7:AW$28)))</f>
        <v>4.5816571862056468E-2</v>
      </c>
      <c r="AX9">
        <f>IF(ISBLANK(RawCurrent!AX9),"",-(RawCurrent!AX9/MIN(RawCurrent!AX$7:AX$28)))</f>
        <v>-2.2459078889878463E-2</v>
      </c>
      <c r="AY9">
        <f>IF(ISBLANK(RawCurrent!AY9),"",-(RawCurrent!AY9/MIN(RawCurrent!AY$7:AY$28)))</f>
        <v>1.6950320765170342E-2</v>
      </c>
      <c r="AZ9">
        <f>IF(ISBLANK(RawCurrent!AZ9),"",-(RawCurrent!AZ9/MIN(RawCurrent!AZ$7:AZ$28)))</f>
        <v>2.2785684713175915E-2</v>
      </c>
      <c r="BA9">
        <f>IF(ISBLANK(RawCurrent!BA9),"",-(RawCurrent!BA9/MIN(RawCurrent!BA$7:BA$28)))</f>
        <v>-3.2607329744941942E-3</v>
      </c>
      <c r="BB9" t="str">
        <f>IF(ISBLANK(RawCurrent!BB9),"",-(RawCurrent!BB9/MIN(RawCurrent!BB$7:BB$28)))</f>
        <v/>
      </c>
      <c r="BC9" t="str">
        <f>IF(ISBLANK(RawCurrent!BC9),"",-(RawCurrent!BC9/MIN(RawCurrent!BC$7:BC$28)))</f>
        <v/>
      </c>
      <c r="BD9">
        <f>IF(ISBLANK(RawCurrent!BD9),"",-(RawCurrent!BD9/MIN(RawCurrent!BD$7:BD$28)))</f>
        <v>-4.6749507269492466E-2</v>
      </c>
      <c r="BE9">
        <f>IF(ISBLANK(RawCurrent!BE9),"",-(RawCurrent!BE9/MIN(RawCurrent!BE$7:BE$28)))</f>
        <v>-8.2541316697593958E-2</v>
      </c>
      <c r="BF9">
        <f>IF(ISBLANK(RawCurrent!BF9),"",-(RawCurrent!BF9/MIN(RawCurrent!BF$7:BF$28)))</f>
        <v>7.0187104008356732E-2</v>
      </c>
      <c r="BG9">
        <f>IF(ISBLANK(RawCurrent!BG9),"",-(RawCurrent!BG9/MIN(RawCurrent!BG$7:BG$28)))</f>
        <v>-2.7624836860266844E-2</v>
      </c>
      <c r="BH9">
        <f>IF(ISBLANK(RawCurrent!BH9),"",-(RawCurrent!BH9/MIN(RawCurrent!BH$7:BH$28)))</f>
        <v>-8.4720487862902386E-2</v>
      </c>
      <c r="BI9">
        <f>IF(ISBLANK(RawCurrent!BI9),"",-(RawCurrent!BI9/MIN(RawCurrent!BI$7:BI$28)))</f>
        <v>0.10469982894291149</v>
      </c>
      <c r="BJ9">
        <f>IF(ISBLANK(RawCurrent!BJ9),"",-(RawCurrent!BJ9/MIN(RawCurrent!BJ$7:BJ$28)))</f>
        <v>1.7119840341467303E-2</v>
      </c>
      <c r="BK9">
        <f>IF(ISBLANK(RawCurrent!BK9),"",-(RawCurrent!BK9/MIN(RawCurrent!BK$7:BK$28)))</f>
        <v>-7.9694191768442425E-3</v>
      </c>
      <c r="BL9">
        <f>IF(ISBLANK(RawCurrent!BL9),"",-(RawCurrent!BL9/MIN(RawCurrent!BL$7:BL$28)))</f>
        <v>8.5944175062562574E-3</v>
      </c>
      <c r="BM9">
        <f>IF(ISBLANK(RawCurrent!BM9),"",-(RawCurrent!BM9/MIN(RawCurrent!BM$7:BM$28)))</f>
        <v>-3.4129277723760731E-2</v>
      </c>
      <c r="BN9">
        <f>IF(ISBLANK(RawCurrent!BN9),"",-(RawCurrent!BN9/MIN(RawCurrent!BN$7:BN$28)))</f>
        <v>-5.360549420618857E-2</v>
      </c>
      <c r="BO9">
        <f>IF(ISBLANK(RawCurrent!BO9),"",-(RawCurrent!BO9/MIN(RawCurrent!BO$7:BO$28)))</f>
        <v>4.2705772907526557E-2</v>
      </c>
      <c r="BP9">
        <f>IF(ISBLANK(RawCurrent!BP9),"",-(RawCurrent!BP9/MIN(RawCurrent!BP$7:BP$28)))</f>
        <v>4.5467180275068325E-2</v>
      </c>
      <c r="BQ9">
        <f>IF(ISBLANK(RawCurrent!BQ9),"",-(RawCurrent!BQ9/MIN(RawCurrent!BQ$7:BQ$28)))</f>
        <v>1.1067958915076477E-2</v>
      </c>
      <c r="BR9">
        <f>IF(ISBLANK(RawCurrent!BR9),"",-(RawCurrent!BR9/MIN(RawCurrent!BR$7:BR$28)))</f>
        <v>-3.5496047314802978E-2</v>
      </c>
      <c r="BS9">
        <f>IF(ISBLANK(RawCurrent!BS9),"",-(RawCurrent!BS9/MIN(RawCurrent!BS$7:BS$28)))</f>
        <v>1.1461045243305872E-2</v>
      </c>
      <c r="BT9">
        <f>IF(ISBLANK(RawCurrent!BT9),"",-(RawCurrent!BT9/MIN(RawCurrent!BT$7:BT$28)))</f>
        <v>5.2448361962518883E-2</v>
      </c>
      <c r="BU9">
        <f>IF(ISBLANK(RawCurrent!BU9),"",-(RawCurrent!BU9/MIN(RawCurrent!BU$7:BU$28)))</f>
        <v>4.584450721235251E-2</v>
      </c>
      <c r="BV9">
        <f>IF(ISBLANK(RawCurrent!BV9),"",-(RawCurrent!BV9/MIN(RawCurrent!BV$7:BV$28)))</f>
        <v>-2.2157048408432099E-2</v>
      </c>
      <c r="BW9">
        <f>IF(ISBLANK(RawCurrent!BW9),"",-(RawCurrent!BW9/MIN(RawCurrent!BW$7:BW$28)))</f>
        <v>4.1017241383577194E-2</v>
      </c>
      <c r="BX9">
        <f>IF(ISBLANK(RawCurrent!BX9),"",-(RawCurrent!BX9/MIN(RawCurrent!BX$7:BX$28)))</f>
        <v>-1.4076582153934258E-3</v>
      </c>
      <c r="BY9">
        <f>IF(ISBLANK(RawCurrent!BY9),"",-(RawCurrent!BY9/MIN(RawCurrent!BY$7:BY$28)))</f>
        <v>0.13068821124958024</v>
      </c>
      <c r="BZ9">
        <f>IF(ISBLANK(RawCurrent!BZ9),"",-(RawCurrent!BZ9/MIN(RawCurrent!BZ$7:BZ$28)))</f>
        <v>-0.10046161899776306</v>
      </c>
      <c r="CA9">
        <f>IF(ISBLANK(RawCurrent!CA9),"",-(RawCurrent!CA9/MIN(RawCurrent!CA$7:CA$28)))</f>
        <v>5.7074033918624319E-2</v>
      </c>
      <c r="CB9">
        <f>IF(ISBLANK(RawCurrent!CB9),"",-(RawCurrent!CB9/MIN(RawCurrent!CB$7:CB$28)))</f>
        <v>2.1630605033573128E-2</v>
      </c>
      <c r="CC9">
        <f>IF(ISBLANK(RawCurrent!CC9),"",-(RawCurrent!CC9/MIN(RawCurrent!CC$7:CC$28)))</f>
        <v>5.9076342173934523E-3</v>
      </c>
      <c r="CD9">
        <f>IF(ISBLANK(RawCurrent!CD9),"",-(RawCurrent!CD9/MIN(RawCurrent!CD$7:CD$28)))</f>
        <v>4.7923830337045135E-2</v>
      </c>
    </row>
    <row r="10" spans="1:82" x14ac:dyDescent="0.2">
      <c r="A10" s="3">
        <f t="shared" si="0"/>
        <v>-50</v>
      </c>
      <c r="B10">
        <f>IF(ISBLANK(RawCurrent!B10),"",-(RawCurrent!B10/MIN(RawCurrent!B$7:B$28)))</f>
        <v>-3.1979033454561712E-2</v>
      </c>
      <c r="C10">
        <f>IF(ISBLANK(RawCurrent!C10),"",-(RawCurrent!C10/MIN(RawCurrent!C$7:C$28)))</f>
        <v>-5.4400474758198397E-2</v>
      </c>
      <c r="D10">
        <f>IF(ISBLANK(RawCurrent!D10),"",-(RawCurrent!D10/MIN(RawCurrent!D$7:D$28)))</f>
        <v>4.5945519976647482E-2</v>
      </c>
      <c r="E10">
        <f>IF(ISBLANK(RawCurrent!E10),"",-(RawCurrent!E10/MIN(RawCurrent!E$7:E$28)))</f>
        <v>1.8423017390027656E-2</v>
      </c>
      <c r="F10">
        <f>IF(ISBLANK(RawCurrent!F10),"",-(RawCurrent!F10/MIN(RawCurrent!F$7:F$28)))</f>
        <v>3.9649626367865266E-2</v>
      </c>
      <c r="G10">
        <f>IF(ISBLANK(RawCurrent!G10),"",-(RawCurrent!G10/MIN(RawCurrent!G$7:G$28)))</f>
        <v>1.0068901562509842E-2</v>
      </c>
      <c r="H10">
        <f>IF(ISBLANK(RawCurrent!H10),"",-(RawCurrent!H10/MIN(RawCurrent!H$7:H$28)))</f>
        <v>-1.0312495082647807E-2</v>
      </c>
      <c r="I10">
        <f>IF(ISBLANK(RawCurrent!I10),"",-(RawCurrent!I10/MIN(RawCurrent!I$7:I$28)))</f>
        <v>3.5365674802508865E-2</v>
      </c>
      <c r="J10">
        <f>IF(ISBLANK(RawCurrent!J10),"",-(RawCurrent!J10/MIN(RawCurrent!J$7:J$28)))</f>
        <v>-2.0029555804836008E-2</v>
      </c>
      <c r="K10">
        <f>IF(ISBLANK(RawCurrent!K10),"",-(RawCurrent!K10/MIN(RawCurrent!K$7:K$28)))</f>
        <v>-7.3850940464568193E-3</v>
      </c>
      <c r="L10">
        <f>IF(ISBLANK(RawCurrent!L10),"",-(RawCurrent!L10/MIN(RawCurrent!L$7:L$28)))</f>
        <v>1.7863430326954161E-2</v>
      </c>
      <c r="M10">
        <f>IF(ISBLANK(RawCurrent!M10),"",-(RawCurrent!M10/MIN(RawCurrent!M$7:M$28)))</f>
        <v>-2.0059204562491755E-2</v>
      </c>
      <c r="N10">
        <f>IF(ISBLANK(RawCurrent!N10),"",-(RawCurrent!N10/MIN(RawCurrent!N$7:N$28)))</f>
        <v>-3.58975110285868E-2</v>
      </c>
      <c r="O10">
        <f>IF(ISBLANK(RawCurrent!O10),"",-(RawCurrent!O10/MIN(RawCurrent!O$7:O$28)))</f>
        <v>-1.8659946780113158E-2</v>
      </c>
      <c r="P10">
        <f>IF(ISBLANK(RawCurrent!P10),"",-(RawCurrent!P10/MIN(RawCurrent!P$7:P$28)))</f>
        <v>1.6279180597323237E-2</v>
      </c>
      <c r="Q10">
        <f>IF(ISBLANK(RawCurrent!Q10),"",-(RawCurrent!Q10/MIN(RawCurrent!Q$7:Q$28)))</f>
        <v>3.6805847442947133E-2</v>
      </c>
      <c r="R10">
        <f>IF(ISBLANK(RawCurrent!R10),"",-(RawCurrent!R10/MIN(RawCurrent!R$7:R$28)))</f>
        <v>1.8038176705318026E-2</v>
      </c>
      <c r="S10">
        <f>IF(ISBLANK(RawCurrent!S10),"",-(RawCurrent!S10/MIN(RawCurrent!S$7:S$28)))</f>
        <v>-2.2098444887648429E-2</v>
      </c>
      <c r="T10">
        <f>IF(ISBLANK(RawCurrent!T10),"",-(RawCurrent!T10/MIN(RawCurrent!T$7:T$28)))</f>
        <v>-2.2812203874973333E-2</v>
      </c>
      <c r="U10">
        <f>IF(ISBLANK(RawCurrent!U10),"",-(RawCurrent!U10/MIN(RawCurrent!U$7:U$28)))</f>
        <v>-2.361009299338012E-2</v>
      </c>
      <c r="V10">
        <f>IF(ISBLANK(RawCurrent!V10),"",-(RawCurrent!V10/MIN(RawCurrent!V$7:V$28)))</f>
        <v>1.5190764587573236E-2</v>
      </c>
      <c r="W10">
        <f>IF(ISBLANK(RawCurrent!W10),"",-(RawCurrent!W10/MIN(RawCurrent!W$7:W$28)))</f>
        <v>1.9306968122915963E-2</v>
      </c>
      <c r="X10">
        <f>IF(ISBLANK(RawCurrent!X10),"",-(RawCurrent!X10/MIN(RawCurrent!X$7:X$28)))</f>
        <v>-3.0092737237178105E-2</v>
      </c>
      <c r="Y10">
        <f>IF(ISBLANK(RawCurrent!Y10),"",-(RawCurrent!Y10/MIN(RawCurrent!Y$7:Y$28)))</f>
        <v>-3.5795861698316001E-2</v>
      </c>
      <c r="Z10">
        <f>IF(ISBLANK(RawCurrent!Z10),"",-(RawCurrent!Z10/MIN(RawCurrent!Z$7:Z$28)))</f>
        <v>2.3670549268578894E-2</v>
      </c>
      <c r="AA10">
        <f>IF(ISBLANK(RawCurrent!AA10),"",-(RawCurrent!AA10/MIN(RawCurrent!AA$7:AA$28)))</f>
        <v>2.4156940393498055E-2</v>
      </c>
      <c r="AB10">
        <f>IF(ISBLANK(RawCurrent!AB10),"",-(RawCurrent!AB10/MIN(RawCurrent!AB$7:AB$28)))</f>
        <v>4.2093917257085389E-2</v>
      </c>
      <c r="AC10">
        <f>IF(ISBLANK(RawCurrent!AC10),"",-(RawCurrent!AC10/MIN(RawCurrent!AC$7:AC$28)))</f>
        <v>3.0787681872799663E-2</v>
      </c>
      <c r="AD10">
        <f>IF(ISBLANK(RawCurrent!AD10),"",-(RawCurrent!AD10/MIN(RawCurrent!AD$7:AD$28)))</f>
        <v>4.582039938836141E-2</v>
      </c>
      <c r="AE10">
        <f>IF(ISBLANK(RawCurrent!AE10),"",-(RawCurrent!AE10/MIN(RawCurrent!AE$7:AE$28)))</f>
        <v>-4.8763080927492507E-2</v>
      </c>
      <c r="AF10">
        <f>IF(ISBLANK(RawCurrent!AF10),"",-(RawCurrent!AF10/MIN(RawCurrent!AF$7:AF$28)))</f>
        <v>5.8291246018027175E-2</v>
      </c>
      <c r="AG10">
        <f>IF(ISBLANK(RawCurrent!AG10),"",-(RawCurrent!AG10/MIN(RawCurrent!AG$7:AG$28)))</f>
        <v>-2.9026903218819098E-2</v>
      </c>
      <c r="AH10">
        <f>IF(ISBLANK(RawCurrent!AH10),"",-(RawCurrent!AH10/MIN(RawCurrent!AH$7:AH$28)))</f>
        <v>7.9277107650732079E-2</v>
      </c>
      <c r="AI10">
        <f>IF(ISBLANK(RawCurrent!AI10),"",-(RawCurrent!AI10/MIN(RawCurrent!AI$7:AI$28)))</f>
        <v>-2.313331459826461E-2</v>
      </c>
      <c r="AJ10">
        <f>IF(ISBLANK(RawCurrent!AJ10),"",-(RawCurrent!AJ10/MIN(RawCurrent!AJ$7:AJ$28)))</f>
        <v>2.1638039593264932E-2</v>
      </c>
      <c r="AK10">
        <f>IF(ISBLANK(RawCurrent!AK10),"",-(RawCurrent!AK10/MIN(RawCurrent!AK$7:AK$28)))</f>
        <v>-2.825169962881743E-2</v>
      </c>
      <c r="AL10">
        <f>IF(ISBLANK(RawCurrent!AL10),"",-(RawCurrent!AL10/MIN(RawCurrent!AL$7:AL$28)))</f>
        <v>4.4354984895228995E-2</v>
      </c>
      <c r="AM10">
        <f>IF(ISBLANK(RawCurrent!AM10),"",-(RawCurrent!AM10/MIN(RawCurrent!AM$7:AM$28)))</f>
        <v>2.8774343047783372E-2</v>
      </c>
      <c r="AN10">
        <f>IF(ISBLANK(RawCurrent!AN10),"",-(RawCurrent!AN10/MIN(RawCurrent!AN$7:AN$28)))</f>
        <v>2.9072750180830605E-2</v>
      </c>
      <c r="AO10">
        <f>IF(ISBLANK(RawCurrent!AO10),"",-(RawCurrent!AO10/MIN(RawCurrent!AO$7:AO$28)))</f>
        <v>8.224994502768794E-2</v>
      </c>
      <c r="AP10">
        <f>IF(ISBLANK(RawCurrent!AP10),"",-(RawCurrent!AP10/MIN(RawCurrent!AP$7:AP$28)))</f>
        <v>5.7382182133387409E-2</v>
      </c>
      <c r="AQ10">
        <f>IF(ISBLANK(RawCurrent!AQ10),"",-(RawCurrent!AQ10/MIN(RawCurrent!AQ$7:AQ$28)))</f>
        <v>-8.4054864129645579E-2</v>
      </c>
      <c r="AR10">
        <f>IF(ISBLANK(RawCurrent!AR10),"",-(RawCurrent!AR10/MIN(RawCurrent!AR$7:AR$28)))</f>
        <v>-0.11568186696090835</v>
      </c>
      <c r="AS10">
        <f>IF(ISBLANK(RawCurrent!AS10),"",-(RawCurrent!AS10/MIN(RawCurrent!AS$7:AS$28)))</f>
        <v>-5.8647470544117959E-2</v>
      </c>
      <c r="AT10">
        <f>IF(ISBLANK(RawCurrent!AT10),"",-(RawCurrent!AT10/MIN(RawCurrent!AT$7:AT$28)))</f>
        <v>-4.100333294138394E-2</v>
      </c>
      <c r="AU10">
        <f>IF(ISBLANK(RawCurrent!AU10),"",-(RawCurrent!AU10/MIN(RawCurrent!AU$7:AU$28)))</f>
        <v>3.3011448437850081E-2</v>
      </c>
      <c r="AV10">
        <f>IF(ISBLANK(RawCurrent!AV10),"",-(RawCurrent!AV10/MIN(RawCurrent!AV$7:AV$28)))</f>
        <v>5.8810810927401112E-2</v>
      </c>
      <c r="AW10">
        <f>IF(ISBLANK(RawCurrent!AW10),"",-(RawCurrent!AW10/MIN(RawCurrent!AW$7:AW$28)))</f>
        <v>4.5032210139044328E-2</v>
      </c>
      <c r="AX10">
        <f>IF(ISBLANK(RawCurrent!AX10),"",-(RawCurrent!AX10/MIN(RawCurrent!AX$7:AX$28)))</f>
        <v>2.7935425093229091E-2</v>
      </c>
      <c r="AY10">
        <f>IF(ISBLANK(RawCurrent!AY10),"",-(RawCurrent!AY10/MIN(RawCurrent!AY$7:AY$28)))</f>
        <v>1.1783752328671784E-2</v>
      </c>
      <c r="AZ10">
        <f>IF(ISBLANK(RawCurrent!AZ10),"",-(RawCurrent!AZ10/MIN(RawCurrent!AZ$7:AZ$28)))</f>
        <v>2.7985281416927035E-2</v>
      </c>
      <c r="BA10">
        <f>IF(ISBLANK(RawCurrent!BA10),"",-(RawCurrent!BA10/MIN(RawCurrent!BA$7:BA$28)))</f>
        <v>3.1715506379705639E-3</v>
      </c>
      <c r="BB10" t="str">
        <f>IF(ISBLANK(RawCurrent!BB10),"",-(RawCurrent!BB10/MIN(RawCurrent!BB$7:BB$28)))</f>
        <v/>
      </c>
      <c r="BC10">
        <f>IF(ISBLANK(RawCurrent!BC10),"",-(RawCurrent!BC10/MIN(RawCurrent!BC$7:BC$28)))</f>
        <v>-2.0137347028987246E-3</v>
      </c>
      <c r="BD10">
        <f>IF(ISBLANK(RawCurrent!BD10),"",-(RawCurrent!BD10/MIN(RawCurrent!BD$7:BD$28)))</f>
        <v>5.4853312197401964E-2</v>
      </c>
      <c r="BE10">
        <f>IF(ISBLANK(RawCurrent!BE10),"",-(RawCurrent!BE10/MIN(RawCurrent!BE$7:BE$28)))</f>
        <v>-9.4339761507310937E-2</v>
      </c>
      <c r="BF10">
        <f>IF(ISBLANK(RawCurrent!BF10),"",-(RawCurrent!BF10/MIN(RawCurrent!BF$7:BF$28)))</f>
        <v>0.10268527119368263</v>
      </c>
      <c r="BG10">
        <f>IF(ISBLANK(RawCurrent!BG10),"",-(RawCurrent!BG10/MIN(RawCurrent!BG$7:BG$28)))</f>
        <v>-4.1608092613566419E-2</v>
      </c>
      <c r="BH10">
        <f>IF(ISBLANK(RawCurrent!BH10),"",-(RawCurrent!BH10/MIN(RawCurrent!BH$7:BH$28)))</f>
        <v>-0.11027180306381945</v>
      </c>
      <c r="BI10">
        <f>IF(ISBLANK(RawCurrent!BI10),"",-(RawCurrent!BI10/MIN(RawCurrent!BI$7:BI$28)))</f>
        <v>0.12210374758830185</v>
      </c>
      <c r="BJ10" t="str">
        <f>IF(ISBLANK(RawCurrent!BJ10),"",-(RawCurrent!BJ10/MIN(RawCurrent!BJ$7:BJ$28)))</f>
        <v/>
      </c>
      <c r="BK10">
        <f>IF(ISBLANK(RawCurrent!BK10),"",-(RawCurrent!BK10/MIN(RawCurrent!BK$7:BK$28)))</f>
        <v>5.1387843726719076E-3</v>
      </c>
      <c r="BL10">
        <f>IF(ISBLANK(RawCurrent!BL10),"",-(RawCurrent!BL10/MIN(RawCurrent!BL$7:BL$28)))</f>
        <v>1.2368545316152647E-2</v>
      </c>
      <c r="BM10">
        <f>IF(ISBLANK(RawCurrent!BM10),"",-(RawCurrent!BM10/MIN(RawCurrent!BM$7:BM$28)))</f>
        <v>3.5831336744857022E-2</v>
      </c>
      <c r="BN10">
        <f>IF(ISBLANK(RawCurrent!BN10),"",-(RawCurrent!BN10/MIN(RawCurrent!BN$7:BN$28)))</f>
        <v>8.9652857936992653E-2</v>
      </c>
      <c r="BO10">
        <f>IF(ISBLANK(RawCurrent!BO10),"",-(RawCurrent!BO10/MIN(RawCurrent!BO$7:BO$28)))</f>
        <v>5.0241579572699292E-2</v>
      </c>
      <c r="BP10">
        <f>IF(ISBLANK(RawCurrent!BP10),"",-(RawCurrent!BP10/MIN(RawCurrent!BP$7:BP$28)))</f>
        <v>5.7665139376185469E-2</v>
      </c>
      <c r="BQ10">
        <f>IF(ISBLANK(RawCurrent!BQ10),"",-(RawCurrent!BQ10/MIN(RawCurrent!BQ$7:BQ$28)))</f>
        <v>-3.8697513255011818E-3</v>
      </c>
      <c r="BR10">
        <f>IF(ISBLANK(RawCurrent!BR10),"",-(RawCurrent!BR10/MIN(RawCurrent!BR$7:BR$28)))</f>
        <v>3.6330883523429537E-2</v>
      </c>
      <c r="BS10">
        <f>IF(ISBLANK(RawCurrent!BS10),"",-(RawCurrent!BS10/MIN(RawCurrent!BS$7:BS$28)))</f>
        <v>-6.2364402679508562E-3</v>
      </c>
      <c r="BT10">
        <f>IF(ISBLANK(RawCurrent!BT10),"",-(RawCurrent!BT10/MIN(RawCurrent!BT$7:BT$28)))</f>
        <v>7.1225021653626439E-3</v>
      </c>
      <c r="BU10" t="str">
        <f>IF(ISBLANK(RawCurrent!BU10),"",-(RawCurrent!BU10/MIN(RawCurrent!BU$7:BU$28)))</f>
        <v/>
      </c>
      <c r="BV10">
        <f>IF(ISBLANK(RawCurrent!BV10),"",-(RawCurrent!BV10/MIN(RawCurrent!BV$7:BV$28)))</f>
        <v>-8.3316203890548162E-4</v>
      </c>
      <c r="BW10">
        <f>IF(ISBLANK(RawCurrent!BW10),"",-(RawCurrent!BW10/MIN(RawCurrent!BW$7:BW$28)))</f>
        <v>4.4123547018107633E-2</v>
      </c>
      <c r="BX10">
        <f>IF(ISBLANK(RawCurrent!BX10),"",-(RawCurrent!BX10/MIN(RawCurrent!BX$7:BX$28)))</f>
        <v>6.2802774668273579E-4</v>
      </c>
      <c r="BY10">
        <f>IF(ISBLANK(RawCurrent!BY10),"",-(RawCurrent!BY10/MIN(RawCurrent!BY$7:BY$28)))</f>
        <v>-9.8509136597929148E-2</v>
      </c>
      <c r="BZ10">
        <f>IF(ISBLANK(RawCurrent!BZ10),"",-(RawCurrent!BZ10/MIN(RawCurrent!BZ$7:BZ$28)))</f>
        <v>0.10380445108224708</v>
      </c>
      <c r="CA10">
        <f>IF(ISBLANK(RawCurrent!CA10),"",-(RawCurrent!CA10/MIN(RawCurrent!CA$7:CA$28)))</f>
        <v>4.4883595789879514E-2</v>
      </c>
      <c r="CB10">
        <f>IF(ISBLANK(RawCurrent!CB10),"",-(RawCurrent!CB10/MIN(RawCurrent!CB$7:CB$28)))</f>
        <v>1.5135221988351601E-2</v>
      </c>
      <c r="CC10">
        <f>IF(ISBLANK(RawCurrent!CC10),"",-(RawCurrent!CC10/MIN(RawCurrent!CC$7:CC$28)))</f>
        <v>0.10849274484010825</v>
      </c>
      <c r="CD10">
        <f>IF(ISBLANK(RawCurrent!CD10),"",-(RawCurrent!CD10/MIN(RawCurrent!CD$7:CD$28)))</f>
        <v>3.4863398313967897E-2</v>
      </c>
    </row>
    <row r="11" spans="1:82" x14ac:dyDescent="0.2">
      <c r="A11" s="3">
        <f t="shared" si="0"/>
        <v>-40</v>
      </c>
      <c r="B11">
        <f>IF(ISBLANK(RawCurrent!B11),"",-(RawCurrent!B11/MIN(RawCurrent!B$7:B$28)))</f>
        <v>-3.2947829334746923E-2</v>
      </c>
      <c r="C11">
        <f>IF(ISBLANK(RawCurrent!C11),"",-(RawCurrent!C11/MIN(RawCurrent!C$7:C$28)))</f>
        <v>-6.7771389409662292E-2</v>
      </c>
      <c r="D11">
        <f>IF(ISBLANK(RawCurrent!D11),"",-(RawCurrent!D11/MIN(RawCurrent!D$7:D$28)))</f>
        <v>5.2465443157517694E-2</v>
      </c>
      <c r="E11">
        <f>IF(ISBLANK(RawCurrent!E11),"",-(RawCurrent!E11/MIN(RawCurrent!E$7:E$28)))</f>
        <v>2.1939159342152622E-2</v>
      </c>
      <c r="F11">
        <f>IF(ISBLANK(RawCurrent!F11),"",-(RawCurrent!F11/MIN(RawCurrent!F$7:F$28)))</f>
        <v>-3.8881525476679141E-2</v>
      </c>
      <c r="G11">
        <f>IF(ISBLANK(RawCurrent!G11),"",-(RawCurrent!G11/MIN(RawCurrent!G$7:G$28)))</f>
        <v>-2.0392541331036285E-2</v>
      </c>
      <c r="H11">
        <f>IF(ISBLANK(RawCurrent!H11),"",-(RawCurrent!H11/MIN(RawCurrent!H$7:H$28)))</f>
        <v>-8.5164908322399157E-3</v>
      </c>
      <c r="I11">
        <f>IF(ISBLANK(RawCurrent!I11),"",-(RawCurrent!I11/MIN(RawCurrent!I$7:I$28)))</f>
        <v>3.75736671967076E-2</v>
      </c>
      <c r="J11">
        <f>IF(ISBLANK(RawCurrent!J11),"",-(RawCurrent!J11/MIN(RawCurrent!J$7:J$28)))</f>
        <v>2.6508788865109538E-2</v>
      </c>
      <c r="K11">
        <f>IF(ISBLANK(RawCurrent!K11),"",-(RawCurrent!K11/MIN(RawCurrent!K$7:K$28)))</f>
        <v>-7.9656992533700816E-3</v>
      </c>
      <c r="L11">
        <f>IF(ISBLANK(RawCurrent!L11),"",-(RawCurrent!L11/MIN(RawCurrent!L$7:L$28)))</f>
        <v>1.4789552126327135E-2</v>
      </c>
      <c r="M11">
        <f>IF(ISBLANK(RawCurrent!M11),"",-(RawCurrent!M11/MIN(RawCurrent!M$7:M$28)))</f>
        <v>3.16079909967713E-2</v>
      </c>
      <c r="N11">
        <f>IF(ISBLANK(RawCurrent!N11),"",-(RawCurrent!N11/MIN(RawCurrent!N$7:N$28)))</f>
        <v>2.4493720412575609E-2</v>
      </c>
      <c r="O11">
        <f>IF(ISBLANK(RawCurrent!O11),"",-(RawCurrent!O11/MIN(RawCurrent!O$7:O$28)))</f>
        <v>2.1026930488102027E-2</v>
      </c>
      <c r="P11">
        <f>IF(ISBLANK(RawCurrent!P11),"",-(RawCurrent!P11/MIN(RawCurrent!P$7:P$28)))</f>
        <v>-1.6642554660071904E-2</v>
      </c>
      <c r="Q11">
        <f>IF(ISBLANK(RawCurrent!Q11),"",-(RawCurrent!Q11/MIN(RawCurrent!Q$7:Q$28)))</f>
        <v>5.240500132626958E-2</v>
      </c>
      <c r="R11">
        <f>IF(ISBLANK(RawCurrent!R11),"",-(RawCurrent!R11/MIN(RawCurrent!R$7:R$28)))</f>
        <v>2.0486041355073953E-2</v>
      </c>
      <c r="S11">
        <f>IF(ISBLANK(RawCurrent!S11),"",-(RawCurrent!S11/MIN(RawCurrent!S$7:S$28)))</f>
        <v>-0.13127019317631664</v>
      </c>
      <c r="T11">
        <f>IF(ISBLANK(RawCurrent!T11),"",-(RawCurrent!T11/MIN(RawCurrent!T$7:T$28)))</f>
        <v>-5.7261909068367894E-2</v>
      </c>
      <c r="U11">
        <f>IF(ISBLANK(RawCurrent!U11),"",-(RawCurrent!U11/MIN(RawCurrent!U$7:U$28)))</f>
        <v>1.5338706607769306E-2</v>
      </c>
      <c r="V11">
        <f>IF(ISBLANK(RawCurrent!V11),"",-(RawCurrent!V11/MIN(RawCurrent!V$7:V$28)))</f>
        <v>2.346856090463792E-2</v>
      </c>
      <c r="W11">
        <f>IF(ISBLANK(RawCurrent!W11),"",-(RawCurrent!W11/MIN(RawCurrent!W$7:W$28)))</f>
        <v>2.2908672131961464E-2</v>
      </c>
      <c r="X11">
        <f>IF(ISBLANK(RawCurrent!X11),"",-(RawCurrent!X11/MIN(RawCurrent!X$7:X$28)))</f>
        <v>2.7807249593063545E-2</v>
      </c>
      <c r="Y11">
        <f>IF(ISBLANK(RawCurrent!Y11),"",-(RawCurrent!Y11/MIN(RawCurrent!Y$7:Y$28)))</f>
        <v>-1.9485995163023989E-2</v>
      </c>
      <c r="Z11">
        <f>IF(ISBLANK(RawCurrent!Z11),"",-(RawCurrent!Z11/MIN(RawCurrent!Z$7:Z$28)))</f>
        <v>-2.66357084546072E-2</v>
      </c>
      <c r="AA11">
        <f>IF(ISBLANK(RawCurrent!AA11),"",-(RawCurrent!AA11/MIN(RawCurrent!AA$7:AA$28)))</f>
        <v>-2.4178191186472183E-2</v>
      </c>
      <c r="AB11">
        <f>IF(ISBLANK(RawCurrent!AB11),"",-(RawCurrent!AB11/MIN(RawCurrent!AB$7:AB$28)))</f>
        <v>4.9909428000396439E-2</v>
      </c>
      <c r="AC11">
        <f>IF(ISBLANK(RawCurrent!AC11),"",-(RawCurrent!AC11/MIN(RawCurrent!AC$7:AC$28)))</f>
        <v>-3.2848718549884706E-2</v>
      </c>
      <c r="AD11">
        <f>IF(ISBLANK(RawCurrent!AD11),"",-(RawCurrent!AD11/MIN(RawCurrent!AD$7:AD$28)))</f>
        <v>-6.819981860976021E-2</v>
      </c>
      <c r="AE11">
        <f>IF(ISBLANK(RawCurrent!AE11),"",-(RawCurrent!AE11/MIN(RawCurrent!AE$7:AE$28)))</f>
        <v>-7.0877936044424772E-2</v>
      </c>
      <c r="AF11">
        <f>IF(ISBLANK(RawCurrent!AF11),"",-(RawCurrent!AF11/MIN(RawCurrent!AF$7:AF$28)))</f>
        <v>5.7309639999090785E-2</v>
      </c>
      <c r="AG11">
        <f>IF(ISBLANK(RawCurrent!AG11),"",-(RawCurrent!AG11/MIN(RawCurrent!AG$7:AG$28)))</f>
        <v>4.1560908721077747E-2</v>
      </c>
      <c r="AH11">
        <f>IF(ISBLANK(RawCurrent!AH11),"",-(RawCurrent!AH11/MIN(RawCurrent!AH$7:AH$28)))</f>
        <v>9.475224253185921E-2</v>
      </c>
      <c r="AI11">
        <f>IF(ISBLANK(RawCurrent!AI11),"",-(RawCurrent!AI11/MIN(RawCurrent!AI$7:AI$28)))</f>
        <v>-4.314369931014865E-2</v>
      </c>
      <c r="AJ11">
        <f>IF(ISBLANK(RawCurrent!AJ11),"",-(RawCurrent!AJ11/MIN(RawCurrent!AJ$7:AJ$28)))</f>
        <v>-4.7733903276927669E-2</v>
      </c>
      <c r="AK11">
        <f>IF(ISBLANK(RawCurrent!AK11),"",-(RawCurrent!AK11/MIN(RawCurrent!AK$7:AK$28)))</f>
        <v>-4.0061123147666529E-2</v>
      </c>
      <c r="AL11">
        <f>IF(ISBLANK(RawCurrent!AL11),"",-(RawCurrent!AL11/MIN(RawCurrent!AL$7:AL$28)))</f>
        <v>4.8666245200353134E-2</v>
      </c>
      <c r="AM11">
        <f>IF(ISBLANK(RawCurrent!AM11),"",-(RawCurrent!AM11/MIN(RawCurrent!AM$7:AM$28)))</f>
        <v>-3.4834402960318804E-2</v>
      </c>
      <c r="AN11">
        <f>IF(ISBLANK(RawCurrent!AN11),"",-(RawCurrent!AN11/MIN(RawCurrent!AN$7:AN$28)))</f>
        <v>-3.4705876841832427E-2</v>
      </c>
      <c r="AO11">
        <f>IF(ISBLANK(RawCurrent!AO11),"",-(RawCurrent!AO11/MIN(RawCurrent!AO$7:AO$28)))</f>
        <v>0.10521217187903326</v>
      </c>
      <c r="AP11">
        <f>IF(ISBLANK(RawCurrent!AP11),"",-(RawCurrent!AP11/MIN(RawCurrent!AP$7:AP$28)))</f>
        <v>7.9787465839229244E-2</v>
      </c>
      <c r="AQ11">
        <f>IF(ISBLANK(RawCurrent!AQ11),"",-(RawCurrent!AQ11/MIN(RawCurrent!AQ$7:AQ$28)))</f>
        <v>8.5827512309071707E-2</v>
      </c>
      <c r="AR11">
        <f>IF(ISBLANK(RawCurrent!AR11),"",-(RawCurrent!AR11/MIN(RawCurrent!AR$7:AR$28)))</f>
        <v>0.10536764130017062</v>
      </c>
      <c r="AS11">
        <f>IF(ISBLANK(RawCurrent!AS11),"",-(RawCurrent!AS11/MIN(RawCurrent!AS$7:AS$28)))</f>
        <v>-7.2010237067206564E-2</v>
      </c>
      <c r="AT11">
        <f>IF(ISBLANK(RawCurrent!AT11),"",-(RawCurrent!AT11/MIN(RawCurrent!AT$7:AT$28)))</f>
        <v>5.4498065321026169E-2</v>
      </c>
      <c r="AU11">
        <f>IF(ISBLANK(RawCurrent!AU11),"",-(RawCurrent!AU11/MIN(RawCurrent!AU$7:AU$28)))</f>
        <v>3.1257960906078415E-2</v>
      </c>
      <c r="AV11">
        <f>IF(ISBLANK(RawCurrent!AV11),"",-(RawCurrent!AV11/MIN(RawCurrent!AV$7:AV$28)))</f>
        <v>4.1915427610557859E-2</v>
      </c>
      <c r="AW11">
        <f>IF(ISBLANK(RawCurrent!AW11),"",-(RawCurrent!AW11/MIN(RawCurrent!AW$7:AW$28)))</f>
        <v>5.2664098419061688E-2</v>
      </c>
      <c r="AX11">
        <f>IF(ISBLANK(RawCurrent!AX11),"",-(RawCurrent!AX11/MIN(RawCurrent!AX$7:AX$28)))</f>
        <v>-5.7532773217213319E-2</v>
      </c>
      <c r="AY11">
        <f>IF(ISBLANK(RawCurrent!AY11),"",-(RawCurrent!AY11/MIN(RawCurrent!AY$7:AY$28)))</f>
        <v>-3.8410845753054097E-2</v>
      </c>
      <c r="AZ11">
        <f>IF(ISBLANK(RawCurrent!AZ11),"",-(RawCurrent!AZ11/MIN(RawCurrent!AZ$7:AZ$28)))</f>
        <v>3.4562993540950541E-2</v>
      </c>
      <c r="BA11">
        <f>IF(ISBLANK(RawCurrent!BA11),"",-(RawCurrent!BA11/MIN(RawCurrent!BA$7:BA$28)))</f>
        <v>3.0521139480929112E-2</v>
      </c>
      <c r="BB11">
        <f>IF(ISBLANK(RawCurrent!BB11),"",-(RawCurrent!BB11/MIN(RawCurrent!BB$7:BB$28)))</f>
        <v>0.16012417447725694</v>
      </c>
      <c r="BC11">
        <f>IF(ISBLANK(RawCurrent!BC11),"",-(RawCurrent!BC11/MIN(RawCurrent!BC$7:BC$28)))</f>
        <v>2.3921693817024422E-3</v>
      </c>
      <c r="BD11">
        <f>IF(ISBLANK(RawCurrent!BD11),"",-(RawCurrent!BD11/MIN(RawCurrent!BD$7:BD$28)))</f>
        <v>6.2409175999599734E-2</v>
      </c>
      <c r="BE11">
        <f>IF(ISBLANK(RawCurrent!BE11),"",-(RawCurrent!BE11/MIN(RawCurrent!BE$7:BE$28)))</f>
        <v>-8.3094736998039792E-2</v>
      </c>
      <c r="BF11">
        <f>IF(ISBLANK(RawCurrent!BF11),"",-(RawCurrent!BF11/MIN(RawCurrent!BF$7:BF$28)))</f>
        <v>9.4577012089291645E-2</v>
      </c>
      <c r="BG11">
        <f>IF(ISBLANK(RawCurrent!BG11),"",-(RawCurrent!BG11/MIN(RawCurrent!BG$7:BG$28)))</f>
        <v>5.2643971983866479E-2</v>
      </c>
      <c r="BH11">
        <f>IF(ISBLANK(RawCurrent!BH11),"",-(RawCurrent!BH11/MIN(RawCurrent!BH$7:BH$28)))</f>
        <v>-8.2739002754823696E-2</v>
      </c>
      <c r="BI11">
        <f>IF(ISBLANK(RawCurrent!BI11),"",-(RawCurrent!BI11/MIN(RawCurrent!BI$7:BI$28)))</f>
        <v>0.10077345231664711</v>
      </c>
      <c r="BJ11">
        <f>IF(ISBLANK(RawCurrent!BJ11),"",-(RawCurrent!BJ11/MIN(RawCurrent!BJ$7:BJ$28)))</f>
        <v>-8.5141451965586677E-3</v>
      </c>
      <c r="BK11">
        <f>IF(ISBLANK(RawCurrent!BK11),"",-(RawCurrent!BK11/MIN(RawCurrent!BK$7:BK$28)))</f>
        <v>1.7741628807528682E-2</v>
      </c>
      <c r="BL11">
        <f>IF(ISBLANK(RawCurrent!BL11),"",-(RawCurrent!BL11/MIN(RawCurrent!BL$7:BL$28)))</f>
        <v>-1.3234311095593927E-2</v>
      </c>
      <c r="BM11">
        <f>IF(ISBLANK(RawCurrent!BM11),"",-(RawCurrent!BM11/MIN(RawCurrent!BM$7:BM$28)))</f>
        <v>3.9973018128983018E-2</v>
      </c>
      <c r="BN11">
        <f>IF(ISBLANK(RawCurrent!BN11),"",-(RawCurrent!BN11/MIN(RawCurrent!BN$7:BN$28)))</f>
        <v>0.10890780898968087</v>
      </c>
      <c r="BO11">
        <f>IF(ISBLANK(RawCurrent!BO11),"",-(RawCurrent!BO11/MIN(RawCurrent!BO$7:BO$28)))</f>
        <v>6.8326774224271275E-2</v>
      </c>
      <c r="BP11">
        <f>IF(ISBLANK(RawCurrent!BP11),"",-(RawCurrent!BP11/MIN(RawCurrent!BP$7:BP$28)))</f>
        <v>4.7613391496509075E-2</v>
      </c>
      <c r="BQ11">
        <f>IF(ISBLANK(RawCurrent!BQ11),"",-(RawCurrent!BQ11/MIN(RawCurrent!BQ$7:BQ$28)))</f>
        <v>-1.7325655160831371E-2</v>
      </c>
      <c r="BR11">
        <f>IF(ISBLANK(RawCurrent!BR11),"",-(RawCurrent!BR11/MIN(RawCurrent!BR$7:BR$28)))</f>
        <v>-6.1220293072854148E-2</v>
      </c>
      <c r="BS11">
        <f>IF(ISBLANK(RawCurrent!BS11),"",-(RawCurrent!BS11/MIN(RawCurrent!BS$7:BS$28)))</f>
        <v>-2.5416641551451107E-2</v>
      </c>
      <c r="BT11">
        <f>IF(ISBLANK(RawCurrent!BT11),"",-(RawCurrent!BT11/MIN(RawCurrent!BT$7:BT$28)))</f>
        <v>6.7894080885031016E-2</v>
      </c>
      <c r="BU11">
        <f>IF(ISBLANK(RawCurrent!BU11),"",-(RawCurrent!BU11/MIN(RawCurrent!BU$7:BU$28)))</f>
        <v>3.829803164080376E-2</v>
      </c>
      <c r="BV11">
        <f>IF(ISBLANK(RawCurrent!BV11),"",-(RawCurrent!BV11/MIN(RawCurrent!BV$7:BV$28)))</f>
        <v>6.6471665689939174E-2</v>
      </c>
      <c r="BW11">
        <f>IF(ISBLANK(RawCurrent!BW11),"",-(RawCurrent!BW11/MIN(RawCurrent!BW$7:BW$28)))</f>
        <v>-3.553276992646736E-2</v>
      </c>
      <c r="BX11">
        <f>IF(ISBLANK(RawCurrent!BX11),"",-(RawCurrent!BX11/MIN(RawCurrent!BX$7:BX$28)))</f>
        <v>2.9677923647454865E-4</v>
      </c>
      <c r="BY11">
        <f>IF(ISBLANK(RawCurrent!BY11),"",-(RawCurrent!BY11/MIN(RawCurrent!BY$7:BY$28)))</f>
        <v>7.3119933178571919E-2</v>
      </c>
      <c r="BZ11">
        <f>IF(ISBLANK(RawCurrent!BZ11),"",-(RawCurrent!BZ11/MIN(RawCurrent!BZ$7:BZ$28)))</f>
        <v>0.11036465735435924</v>
      </c>
      <c r="CA11">
        <f>IF(ISBLANK(RawCurrent!CA11),"",-(RawCurrent!CA11/MIN(RawCurrent!CA$7:CA$28)))</f>
        <v>-5.713640441190012E-2</v>
      </c>
      <c r="CB11">
        <f>IF(ISBLANK(RawCurrent!CB11),"",-(RawCurrent!CB11/MIN(RawCurrent!CB$7:CB$28)))</f>
        <v>-0.12009438771813404</v>
      </c>
      <c r="CC11">
        <f>IF(ISBLANK(RawCurrent!CC11),"",-(RawCurrent!CC11/MIN(RawCurrent!CC$7:CC$28)))</f>
        <v>0.11333292467318688</v>
      </c>
      <c r="CD11">
        <f>IF(ISBLANK(RawCurrent!CD11),"",-(RawCurrent!CD11/MIN(RawCurrent!CD$7:CD$28)))</f>
        <v>5.6792531977636028E-2</v>
      </c>
    </row>
    <row r="12" spans="1:82" x14ac:dyDescent="0.2">
      <c r="A12" s="3">
        <f t="shared" si="0"/>
        <v>-30</v>
      </c>
      <c r="B12">
        <f>IF(ISBLANK(RawCurrent!B12),"",-(RawCurrent!B12/MIN(RawCurrent!B$7:B$28)))</f>
        <v>-7.9330805494692749E-2</v>
      </c>
      <c r="C12">
        <f>IF(ISBLANK(RawCurrent!C12),"",-(RawCurrent!C12/MIN(RawCurrent!C$7:C$28)))</f>
        <v>-0.30256280001757269</v>
      </c>
      <c r="D12">
        <f>IF(ISBLANK(RawCurrent!D12),"",-(RawCurrent!D12/MIN(RawCurrent!D$7:D$28)))</f>
        <v>3.9789961098989746E-2</v>
      </c>
      <c r="E12">
        <f>IF(ISBLANK(RawCurrent!E12),"",-(RawCurrent!E12/MIN(RawCurrent!E$7:E$28)))</f>
        <v>-6.0939940854116637E-2</v>
      </c>
      <c r="F12">
        <f>IF(ISBLANK(RawCurrent!F12),"",-(RawCurrent!F12/MIN(RawCurrent!F$7:F$28)))</f>
        <v>-8.2291321922623187E-2</v>
      </c>
      <c r="G12">
        <f>IF(ISBLANK(RawCurrent!G12),"",-(RawCurrent!G12/MIN(RawCurrent!G$7:G$28)))</f>
        <v>-0.23802254308326098</v>
      </c>
      <c r="H12">
        <f>IF(ISBLANK(RawCurrent!H12),"",-(RawCurrent!H12/MIN(RawCurrent!H$7:H$28)))</f>
        <v>-2.842220665649102E-2</v>
      </c>
      <c r="I12">
        <f>IF(ISBLANK(RawCurrent!I12),"",-(RawCurrent!I12/MIN(RawCurrent!I$7:I$28)))</f>
        <v>-0.23291629186905355</v>
      </c>
      <c r="J12">
        <f>IF(ISBLANK(RawCurrent!J12),"",-(RawCurrent!J12/MIN(RawCurrent!J$7:J$28)))</f>
        <v>-4.0241090143757048E-2</v>
      </c>
      <c r="K12">
        <f>IF(ISBLANK(RawCurrent!K12),"",-(RawCurrent!K12/MIN(RawCurrent!K$7:K$28)))</f>
        <v>-3.6544577428130005E-2</v>
      </c>
      <c r="L12">
        <f>IF(ISBLANK(RawCurrent!L12),"",-(RawCurrent!L12/MIN(RawCurrent!L$7:L$28)))</f>
        <v>-4.8823277914186676E-2</v>
      </c>
      <c r="M12">
        <f>IF(ISBLANK(RawCurrent!M12),"",-(RawCurrent!M12/MIN(RawCurrent!M$7:M$28)))</f>
        <v>-4.6671773385970304E-2</v>
      </c>
      <c r="N12">
        <f>IF(ISBLANK(RawCurrent!N12),"",-(RawCurrent!N12/MIN(RawCurrent!N$7:N$28)))</f>
        <v>-9.597675499928611E-2</v>
      </c>
      <c r="O12">
        <f>IF(ISBLANK(RawCurrent!O12),"",-(RawCurrent!O12/MIN(RawCurrent!O$7:O$28)))</f>
        <v>-4.9960642737688361E-2</v>
      </c>
      <c r="P12">
        <f>IF(ISBLANK(RawCurrent!P12),"",-(RawCurrent!P12/MIN(RawCurrent!P$7:P$28)))</f>
        <v>-1.6675568132881419E-2</v>
      </c>
      <c r="Q12">
        <f>IF(ISBLANK(RawCurrent!Q12),"",-(RawCurrent!Q12/MIN(RawCurrent!Q$7:Q$28)))</f>
        <v>5.7681477583767987E-2</v>
      </c>
      <c r="R12">
        <f>IF(ISBLANK(RawCurrent!R12),"",-(RawCurrent!R12/MIN(RawCurrent!R$7:R$28)))</f>
        <v>-2.3312935623570112E-2</v>
      </c>
      <c r="S12">
        <f>IF(ISBLANK(RawCurrent!S12),"",-(RawCurrent!S12/MIN(RawCurrent!S$7:S$28)))</f>
        <v>-0.43996640899900175</v>
      </c>
      <c r="T12">
        <f>IF(ISBLANK(RawCurrent!T12),"",-(RawCurrent!T12/MIN(RawCurrent!T$7:T$28)))</f>
        <v>-0.33103647380225981</v>
      </c>
      <c r="U12">
        <f>IF(ISBLANK(RawCurrent!U12),"",-(RawCurrent!U12/MIN(RawCurrent!U$7:U$28)))</f>
        <v>-6.1825989567167505E-2</v>
      </c>
      <c r="V12">
        <f>IF(ISBLANK(RawCurrent!V12),"",-(RawCurrent!V12/MIN(RawCurrent!V$7:V$28)))</f>
        <v>-3.7113873500616658E-2</v>
      </c>
      <c r="W12">
        <f>IF(ISBLANK(RawCurrent!W12),"",-(RawCurrent!W12/MIN(RawCurrent!W$7:W$28)))</f>
        <v>-4.522521947426783E-2</v>
      </c>
      <c r="X12">
        <f>IF(ISBLANK(RawCurrent!X12),"",-(RawCurrent!X12/MIN(RawCurrent!X$7:X$28)))</f>
        <v>-7.7453385062350888E-2</v>
      </c>
      <c r="Y12">
        <f>IF(ISBLANK(RawCurrent!Y12),"",-(RawCurrent!Y12/MIN(RawCurrent!Y$7:Y$28)))</f>
        <v>-4.5772124686492298E-2</v>
      </c>
      <c r="Z12">
        <f>IF(ISBLANK(RawCurrent!Z12),"",-(RawCurrent!Z12/MIN(RawCurrent!Z$7:Z$28)))</f>
        <v>-9.8505644729282138E-2</v>
      </c>
      <c r="AA12">
        <f>IF(ISBLANK(RawCurrent!AA12),"",-(RawCurrent!AA12/MIN(RawCurrent!AA$7:AA$28)))</f>
        <v>-9.7326596502269214E-2</v>
      </c>
      <c r="AB12">
        <f>IF(ISBLANK(RawCurrent!AB12),"",-(RawCurrent!AB12/MIN(RawCurrent!AB$7:AB$28)))</f>
        <v>-8.8101782400034218E-2</v>
      </c>
      <c r="AC12">
        <f>IF(ISBLANK(RawCurrent!AC12),"",-(RawCurrent!AC12/MIN(RawCurrent!AC$7:AC$28)))</f>
        <v>-0.14617571098807311</v>
      </c>
      <c r="AD12">
        <f>IF(ISBLANK(RawCurrent!AD12),"",-(RawCurrent!AD12/MIN(RawCurrent!AD$7:AD$28)))</f>
        <v>3.9075968998927402E-2</v>
      </c>
      <c r="AE12">
        <f>IF(ISBLANK(RawCurrent!AE12),"",-(RawCurrent!AE12/MIN(RawCurrent!AE$7:AE$28)))</f>
        <v>-0.11007588616843172</v>
      </c>
      <c r="AF12">
        <f>IF(ISBLANK(RawCurrent!AF12),"",-(RawCurrent!AF12/MIN(RawCurrent!AF$7:AF$28)))</f>
        <v>-9.8998866198267518E-2</v>
      </c>
      <c r="AG12">
        <f>IF(ISBLANK(RawCurrent!AG12),"",-(RawCurrent!AG12/MIN(RawCurrent!AG$7:AG$28)))</f>
        <v>-7.9268314397541798E-2</v>
      </c>
      <c r="AH12">
        <f>IF(ISBLANK(RawCurrent!AH12),"",-(RawCurrent!AH12/MIN(RawCurrent!AH$7:AH$28)))</f>
        <v>8.4754810792615445E-2</v>
      </c>
      <c r="AI12">
        <f>IF(ISBLANK(RawCurrent!AI12),"",-(RawCurrent!AI12/MIN(RawCurrent!AI$7:AI$28)))</f>
        <v>-0.10651415493610106</v>
      </c>
      <c r="AJ12">
        <f>IF(ISBLANK(RawCurrent!AJ12),"",-(RawCurrent!AJ12/MIN(RawCurrent!AJ$7:AJ$28)))</f>
        <v>-9.5634846836542359E-2</v>
      </c>
      <c r="AK12">
        <f>IF(ISBLANK(RawCurrent!AK12),"",-(RawCurrent!AK12/MIN(RawCurrent!AK$7:AK$28)))</f>
        <v>-0.10638905543940527</v>
      </c>
      <c r="AL12">
        <f>IF(ISBLANK(RawCurrent!AL12),"",-(RawCurrent!AL12/MIN(RawCurrent!AL$7:AL$28)))</f>
        <v>4.8612726411147479E-2</v>
      </c>
      <c r="AM12">
        <f>IF(ISBLANK(RawCurrent!AM12),"",-(RawCurrent!AM12/MIN(RawCurrent!AM$7:AM$28)))</f>
        <v>4.3254775305425507E-2</v>
      </c>
      <c r="AN12">
        <f>IF(ISBLANK(RawCurrent!AN12),"",-(RawCurrent!AN12/MIN(RawCurrent!AN$7:AN$28)))</f>
        <v>-4.9329266861057722E-2</v>
      </c>
      <c r="AO12">
        <f>IF(ISBLANK(RawCurrent!AO12),"",-(RawCurrent!AO12/MIN(RawCurrent!AO$7:AO$28)))</f>
        <v>-0.24070893568292659</v>
      </c>
      <c r="AP12">
        <f>IF(ISBLANK(RawCurrent!AP12),"",-(RawCurrent!AP12/MIN(RawCurrent!AP$7:AP$28)))</f>
        <v>9.2263515264682988E-2</v>
      </c>
      <c r="AQ12">
        <f>IF(ISBLANK(RawCurrent!AQ12),"",-(RawCurrent!AQ12/MIN(RawCurrent!AQ$7:AQ$28)))</f>
        <v>0.13249922299589675</v>
      </c>
      <c r="AR12">
        <f>IF(ISBLANK(RawCurrent!AR12),"",-(RawCurrent!AR12/MIN(RawCurrent!AR$7:AR$28)))</f>
        <v>-0.12627053588402268</v>
      </c>
      <c r="AS12">
        <f>IF(ISBLANK(RawCurrent!AS12),"",-(RawCurrent!AS12/MIN(RawCurrent!AS$7:AS$28)))</f>
        <v>7.0417733696389387E-2</v>
      </c>
      <c r="AT12">
        <f>IF(ISBLANK(RawCurrent!AT12),"",-(RawCurrent!AT12/MIN(RawCurrent!AT$7:AT$28)))</f>
        <v>-3.5123586593279695E-2</v>
      </c>
      <c r="AU12">
        <f>IF(ISBLANK(RawCurrent!AU12),"",-(RawCurrent!AU12/MIN(RawCurrent!AU$7:AU$28)))</f>
        <v>3.8311482050803217E-2</v>
      </c>
      <c r="AV12">
        <f>IF(ISBLANK(RawCurrent!AV12),"",-(RawCurrent!AV12/MIN(RawCurrent!AV$7:AV$28)))</f>
        <v>-0.11609860711412852</v>
      </c>
      <c r="AW12">
        <f>IF(ISBLANK(RawCurrent!AW12),"",-(RawCurrent!AW12/MIN(RawCurrent!AW$7:AW$28)))</f>
        <v>5.064675971817971E-2</v>
      </c>
      <c r="AX12">
        <f>IF(ISBLANK(RawCurrent!AX12),"",-(RawCurrent!AX12/MIN(RawCurrent!AX$7:AX$28)))</f>
        <v>-9.3978273498715417E-2</v>
      </c>
      <c r="AY12">
        <f>IF(ISBLANK(RawCurrent!AY12),"",-(RawCurrent!AY12/MIN(RawCurrent!AY$7:AY$28)))</f>
        <v>-0.21321944594708031</v>
      </c>
      <c r="AZ12">
        <f>IF(ISBLANK(RawCurrent!AZ12),"",-(RawCurrent!AZ12/MIN(RawCurrent!AZ$7:AZ$28)))</f>
        <v>4.0542568972342471E-2</v>
      </c>
      <c r="BA12">
        <f>IF(ISBLANK(RawCurrent!BA12),"",-(RawCurrent!BA12/MIN(RawCurrent!BA$7:BA$28)))</f>
        <v>-1.6948740198211742E-2</v>
      </c>
      <c r="BB12">
        <f>IF(ISBLANK(RawCurrent!BB12),"",-(RawCurrent!BB12/MIN(RawCurrent!BB$7:BB$28)))</f>
        <v>0.11909240931478048</v>
      </c>
      <c r="BC12">
        <f>IF(ISBLANK(RawCurrent!BC12),"",-(RawCurrent!BC12/MIN(RawCurrent!BC$7:BC$28)))</f>
        <v>-5.6437096955720197E-2</v>
      </c>
      <c r="BD12">
        <f>IF(ISBLANK(RawCurrent!BD12),"",-(RawCurrent!BD12/MIN(RawCurrent!BD$7:BD$28)))</f>
        <v>0.1119690145197485</v>
      </c>
      <c r="BE12">
        <f>IF(ISBLANK(RawCurrent!BE12),"",-(RawCurrent!BE12/MIN(RawCurrent!BE$7:BE$28)))</f>
        <v>-0.10366577290248463</v>
      </c>
      <c r="BF12">
        <f>IF(ISBLANK(RawCurrent!BF12),"",-(RawCurrent!BF12/MIN(RawCurrent!BF$7:BF$28)))</f>
        <v>8.5648166020942482E-2</v>
      </c>
      <c r="BG12">
        <f>IF(ISBLANK(RawCurrent!BG12),"",-(RawCurrent!BG12/MIN(RawCurrent!BG$7:BG$28)))</f>
        <v>-0.10466188129846994</v>
      </c>
      <c r="BH12">
        <f>IF(ISBLANK(RawCurrent!BH12),"",-(RawCurrent!BH12/MIN(RawCurrent!BH$7:BH$28)))</f>
        <v>-0.16547777937080105</v>
      </c>
      <c r="BI12">
        <f>IF(ISBLANK(RawCurrent!BI12),"",-(RawCurrent!BI12/MIN(RawCurrent!BI$7:BI$28)))</f>
        <v>9.4695321930894971E-2</v>
      </c>
      <c r="BJ12">
        <f>IF(ISBLANK(RawCurrent!BJ12),"",-(RawCurrent!BJ12/MIN(RawCurrent!BJ$7:BJ$28)))</f>
        <v>-2.4077636416074726E-2</v>
      </c>
      <c r="BK12">
        <f>IF(ISBLANK(RawCurrent!BK12),"",-(RawCurrent!BK12/MIN(RawCurrent!BK$7:BK$28)))</f>
        <v>3.2141511914017887E-2</v>
      </c>
      <c r="BL12">
        <f>IF(ISBLANK(RawCurrent!BL12),"",-(RawCurrent!BL12/MIN(RawCurrent!BL$7:BL$28)))</f>
        <v>-7.8744378038678176E-2</v>
      </c>
      <c r="BM12">
        <f>IF(ISBLANK(RawCurrent!BM12),"",-(RawCurrent!BM12/MIN(RawCurrent!BM$7:BM$28)))</f>
        <v>-4.1657212999611858E-2</v>
      </c>
      <c r="BN12">
        <f>IF(ISBLANK(RawCurrent!BN12),"",-(RawCurrent!BN12/MIN(RawCurrent!BN$7:BN$28)))</f>
        <v>0.12062891537700141</v>
      </c>
      <c r="BO12">
        <f>IF(ISBLANK(RawCurrent!BO12),"",-(RawCurrent!BO12/MIN(RawCurrent!BO$7:BO$28)))</f>
        <v>-8.8213458647552034E-2</v>
      </c>
      <c r="BP12">
        <f>IF(ISBLANK(RawCurrent!BP12),"",-(RawCurrent!BP12/MIN(RawCurrent!BP$7:BP$28)))</f>
        <v>-0.10099435633467056</v>
      </c>
      <c r="BQ12">
        <f>IF(ISBLANK(RawCurrent!BQ12),"",-(RawCurrent!BQ12/MIN(RawCurrent!BQ$7:BQ$28)))</f>
        <v>1.2522659718507521E-2</v>
      </c>
      <c r="BR12">
        <f>IF(ISBLANK(RawCurrent!BR12),"",-(RawCurrent!BR12/MIN(RawCurrent!BR$7:BR$28)))</f>
        <v>-6.7172584222895571E-2</v>
      </c>
      <c r="BS12">
        <f>IF(ISBLANK(RawCurrent!BS12),"",-(RawCurrent!BS12/MIN(RawCurrent!BS$7:BS$28)))</f>
        <v>-0.13929468799</v>
      </c>
      <c r="BT12">
        <f>IF(ISBLANK(RawCurrent!BT12),"",-(RawCurrent!BT12/MIN(RawCurrent!BT$7:BT$28)))</f>
        <v>-1.1153925211898832E-2</v>
      </c>
      <c r="BU12">
        <f>IF(ISBLANK(RawCurrent!BU12),"",-(RawCurrent!BU12/MIN(RawCurrent!BU$7:BU$28)))</f>
        <v>-8.9189832819577292E-2</v>
      </c>
      <c r="BV12">
        <f>IF(ISBLANK(RawCurrent!BV12),"",-(RawCurrent!BV12/MIN(RawCurrent!BV$7:BV$28)))</f>
        <v>-9.8034194074849493E-2</v>
      </c>
      <c r="BW12">
        <f>IF(ISBLANK(RawCurrent!BW12),"",-(RawCurrent!BW12/MIN(RawCurrent!BW$7:BW$28)))</f>
        <v>-3.2715238565223008E-2</v>
      </c>
      <c r="BX12">
        <f>IF(ISBLANK(RawCurrent!BX12),"",-(RawCurrent!BX12/MIN(RawCurrent!BX$7:BX$28)))</f>
        <v>-2.7425703766045313E-2</v>
      </c>
      <c r="BY12">
        <f>IF(ISBLANK(RawCurrent!BY12),"",-(RawCurrent!BY12/MIN(RawCurrent!BY$7:BY$28)))</f>
        <v>-6.0747764218381232E-2</v>
      </c>
      <c r="BZ12">
        <f>IF(ISBLANK(RawCurrent!BZ12),"",-(RawCurrent!BZ12/MIN(RawCurrent!BZ$7:BZ$28)))</f>
        <v>0.13998012247773686</v>
      </c>
      <c r="CA12">
        <f>IF(ISBLANK(RawCurrent!CA12),"",-(RawCurrent!CA12/MIN(RawCurrent!CA$7:CA$28)))</f>
        <v>-0.13403721913272956</v>
      </c>
      <c r="CB12">
        <f>IF(ISBLANK(RawCurrent!CB12),"",-(RawCurrent!CB12/MIN(RawCurrent!CB$7:CB$28)))</f>
        <v>-0.24181878015908356</v>
      </c>
      <c r="CC12">
        <f>IF(ISBLANK(RawCurrent!CC12),"",-(RawCurrent!CC12/MIN(RawCurrent!CC$7:CC$28)))</f>
        <v>-0.12783910067733667</v>
      </c>
      <c r="CD12">
        <f>IF(ISBLANK(RawCurrent!CD12),"",-(RawCurrent!CD12/MIN(RawCurrent!CD$7:CD$28)))</f>
        <v>-9.7300944838351583E-2</v>
      </c>
    </row>
    <row r="13" spans="1:82" x14ac:dyDescent="0.2">
      <c r="A13" s="3">
        <f t="shared" si="0"/>
        <v>-20</v>
      </c>
      <c r="B13">
        <f>IF(ISBLANK(RawCurrent!B13),"",-(RawCurrent!B13/MIN(RawCurrent!B$7:B$28)))</f>
        <v>-0.33802112575452126</v>
      </c>
      <c r="C13">
        <f>IF(ISBLANK(RawCurrent!C13),"",-(RawCurrent!C13/MIN(RawCurrent!C$7:C$28)))</f>
        <v>-0.73789054090863992</v>
      </c>
      <c r="D13">
        <f>IF(ISBLANK(RawCurrent!D13),"",-(RawCurrent!D13/MIN(RawCurrent!D$7:D$28)))</f>
        <v>-0.39589637645599468</v>
      </c>
      <c r="E13">
        <f>IF(ISBLANK(RawCurrent!E13),"",-(RawCurrent!E13/MIN(RawCurrent!E$7:E$28)))</f>
        <v>-0.38051188704668981</v>
      </c>
      <c r="F13">
        <f>IF(ISBLANK(RawCurrent!F13),"",-(RawCurrent!F13/MIN(RawCurrent!F$7:F$28)))</f>
        <v>-0.3521653394836694</v>
      </c>
      <c r="G13">
        <f>IF(ISBLANK(RawCurrent!G13),"",-(RawCurrent!G13/MIN(RawCurrent!G$7:G$28)))</f>
        <v>-0.93307968089118576</v>
      </c>
      <c r="H13">
        <f>IF(ISBLANK(RawCurrent!H13),"",-(RawCurrent!H13/MIN(RawCurrent!H$7:H$28)))</f>
        <v>-0.14231897486673181</v>
      </c>
      <c r="I13">
        <f>IF(ISBLANK(RawCurrent!I13),"",-(RawCurrent!I13/MIN(RawCurrent!I$7:I$28)))</f>
        <v>-0.94391694086853895</v>
      </c>
      <c r="J13">
        <f>IF(ISBLANK(RawCurrent!J13),"",-(RawCurrent!J13/MIN(RawCurrent!J$7:J$28)))</f>
        <v>-0.21881552694795875</v>
      </c>
      <c r="K13">
        <f>IF(ISBLANK(RawCurrent!K13),"",-(RawCurrent!K13/MIN(RawCurrent!K$7:K$28)))</f>
        <v>-0.28791610175694593</v>
      </c>
      <c r="L13">
        <f>IF(ISBLANK(RawCurrent!L13),"",-(RawCurrent!L13/MIN(RawCurrent!L$7:L$28)))</f>
        <v>-0.2470517365193898</v>
      </c>
      <c r="M13">
        <f>IF(ISBLANK(RawCurrent!M13),"",-(RawCurrent!M13/MIN(RawCurrent!M$7:M$28)))</f>
        <v>-0.45071258989748136</v>
      </c>
      <c r="N13">
        <f>IF(ISBLANK(RawCurrent!N13),"",-(RawCurrent!N13/MIN(RawCurrent!N$7:N$28)))</f>
        <v>-0.94356581413313889</v>
      </c>
      <c r="O13">
        <f>IF(ISBLANK(RawCurrent!O13),"",-(RawCurrent!O13/MIN(RawCurrent!O$7:O$28)))</f>
        <v>-0.33899105614464681</v>
      </c>
      <c r="P13">
        <f>IF(ISBLANK(RawCurrent!P13),"",-(RawCurrent!P13/MIN(RawCurrent!P$7:P$28)))</f>
        <v>-3.7214446635471618E-2</v>
      </c>
      <c r="Q13">
        <f>IF(ISBLANK(RawCurrent!Q13),"",-(RawCurrent!Q13/MIN(RawCurrent!Q$7:Q$28)))</f>
        <v>-0.20163651131140456</v>
      </c>
      <c r="R13">
        <f>IF(ISBLANK(RawCurrent!R13),"",-(RawCurrent!R13/MIN(RawCurrent!R$7:R$28)))</f>
        <v>-0.1239517712469252</v>
      </c>
      <c r="S13">
        <f>IF(ISBLANK(RawCurrent!S13),"",-(RawCurrent!S13/MIN(RawCurrent!S$7:S$28)))</f>
        <v>-0.80987411910905471</v>
      </c>
      <c r="T13">
        <f>IF(ISBLANK(RawCurrent!T13),"",-(RawCurrent!T13/MIN(RawCurrent!T$7:T$28)))</f>
        <v>-0.69466078564182765</v>
      </c>
      <c r="U13">
        <f>IF(ISBLANK(RawCurrent!U13),"",-(RawCurrent!U13/MIN(RawCurrent!U$7:U$28)))</f>
        <v>-0.33221650882700599</v>
      </c>
      <c r="V13">
        <f>IF(ISBLANK(RawCurrent!V13),"",-(RawCurrent!V13/MIN(RawCurrent!V$7:V$28)))</f>
        <v>-0.17627650116728438</v>
      </c>
      <c r="W13">
        <f>IF(ISBLANK(RawCurrent!W13),"",-(RawCurrent!W13/MIN(RawCurrent!W$7:W$28)))</f>
        <v>-0.18281890812707915</v>
      </c>
      <c r="X13">
        <f>IF(ISBLANK(RawCurrent!X13),"",-(RawCurrent!X13/MIN(RawCurrent!X$7:X$28)))</f>
        <v>-0.31588097938573867</v>
      </c>
      <c r="Y13">
        <f>IF(ISBLANK(RawCurrent!Y13),"",-(RawCurrent!Y13/MIN(RawCurrent!Y$7:Y$28)))</f>
        <v>-0.19604681117878861</v>
      </c>
      <c r="Z13">
        <f>IF(ISBLANK(RawCurrent!Z13),"",-(RawCurrent!Z13/MIN(RawCurrent!Z$7:Z$28)))</f>
        <v>-0.29041413386305565</v>
      </c>
      <c r="AA13">
        <f>IF(ISBLANK(RawCurrent!AA13),"",-(RawCurrent!AA13/MIN(RawCurrent!AA$7:AA$28)))</f>
        <v>-0.28905686499520389</v>
      </c>
      <c r="AB13">
        <f>IF(ISBLANK(RawCurrent!AB13),"",-(RawCurrent!AB13/MIN(RawCurrent!AB$7:AB$28)))</f>
        <v>-0.30990661662262714</v>
      </c>
      <c r="AC13">
        <f>IF(ISBLANK(RawCurrent!AC13),"",-(RawCurrent!AC13/MIN(RawCurrent!AC$7:AC$28)))</f>
        <v>-0.67082564515348231</v>
      </c>
      <c r="AD13">
        <f>IF(ISBLANK(RawCurrent!AD13),"",-(RawCurrent!AD13/MIN(RawCurrent!AD$7:AD$28)))</f>
        <v>-4.0478922163222561E-2</v>
      </c>
      <c r="AE13">
        <f>IF(ISBLANK(RawCurrent!AE13),"",-(RawCurrent!AE13/MIN(RawCurrent!AE$7:AE$28)))</f>
        <v>-0.31755791038623804</v>
      </c>
      <c r="AF13">
        <f>IF(ISBLANK(RawCurrent!AF13),"",-(RawCurrent!AF13/MIN(RawCurrent!AF$7:AF$28)))</f>
        <v>-0.28505196599437294</v>
      </c>
      <c r="AG13">
        <f>IF(ISBLANK(RawCurrent!AG13),"",-(RawCurrent!AG13/MIN(RawCurrent!AG$7:AG$28)))</f>
        <v>-0.36317211306339181</v>
      </c>
      <c r="AH13">
        <f>IF(ISBLANK(RawCurrent!AH13),"",-(RawCurrent!AH13/MIN(RawCurrent!AH$7:AH$28)))</f>
        <v>-0.19828170831939004</v>
      </c>
      <c r="AI13">
        <f>IF(ISBLANK(RawCurrent!AI13),"",-(RawCurrent!AI13/MIN(RawCurrent!AI$7:AI$28)))</f>
        <v>-0.3373276512236934</v>
      </c>
      <c r="AJ13">
        <f>IF(ISBLANK(RawCurrent!AJ13),"",-(RawCurrent!AJ13/MIN(RawCurrent!AJ$7:AJ$28)))</f>
        <v>-0.24014602677039895</v>
      </c>
      <c r="AK13">
        <f>IF(ISBLANK(RawCurrent!AK13),"",-(RawCurrent!AK13/MIN(RawCurrent!AK$7:AK$28)))</f>
        <v>-0.46574271916892246</v>
      </c>
      <c r="AL13">
        <f>IF(ISBLANK(RawCurrent!AL13),"",-(RawCurrent!AL13/MIN(RawCurrent!AL$7:AL$28)))</f>
        <v>7.78285311733211E-2</v>
      </c>
      <c r="AM13">
        <f>IF(ISBLANK(RawCurrent!AM13),"",-(RawCurrent!AM13/MIN(RawCurrent!AM$7:AM$28)))</f>
        <v>-0.15696338060221904</v>
      </c>
      <c r="AN13">
        <f>IF(ISBLANK(RawCurrent!AN13),"",-(RawCurrent!AN13/MIN(RawCurrent!AN$7:AN$28)))</f>
        <v>-0.21689199775327253</v>
      </c>
      <c r="AO13">
        <f>IF(ISBLANK(RawCurrent!AO13),"",-(RawCurrent!AO13/MIN(RawCurrent!AO$7:AO$28)))</f>
        <v>-0.5004184269314389</v>
      </c>
      <c r="AP13">
        <f>IF(ISBLANK(RawCurrent!AP13),"",-(RawCurrent!AP13/MIN(RawCurrent!AP$7:AP$28)))</f>
        <v>-0.16733003635609753</v>
      </c>
      <c r="AQ13">
        <f>IF(ISBLANK(RawCurrent!AQ13),"",-(RawCurrent!AQ13/MIN(RawCurrent!AQ$7:AQ$28)))</f>
        <v>-0.35331883597313374</v>
      </c>
      <c r="AR13">
        <f>IF(ISBLANK(RawCurrent!AR13),"",-(RawCurrent!AR13/MIN(RawCurrent!AR$7:AR$28)))</f>
        <v>-0.38192383787997591</v>
      </c>
      <c r="AS13">
        <f>IF(ISBLANK(RawCurrent!AS13),"",-(RawCurrent!AS13/MIN(RawCurrent!AS$7:AS$28)))</f>
        <v>-0.31867229424214305</v>
      </c>
      <c r="AT13">
        <f>IF(ISBLANK(RawCurrent!AT13),"",-(RawCurrent!AT13/MIN(RawCurrent!AT$7:AT$28)))</f>
        <v>-0.1138129598086642</v>
      </c>
      <c r="AU13">
        <f>IF(ISBLANK(RawCurrent!AU13),"",-(RawCurrent!AU13/MIN(RawCurrent!AU$7:AU$28)))</f>
        <v>-0.17328877076137686</v>
      </c>
      <c r="AV13">
        <f>IF(ISBLANK(RawCurrent!AV13),"",-(RawCurrent!AV13/MIN(RawCurrent!AV$7:AV$28)))</f>
        <v>-0.17108954101334137</v>
      </c>
      <c r="AW13">
        <f>IF(ISBLANK(RawCurrent!AW13),"",-(RawCurrent!AW13/MIN(RawCurrent!AW$7:AW$28)))</f>
        <v>-0.15385468598144045</v>
      </c>
      <c r="AX13">
        <f>IF(ISBLANK(RawCurrent!AX13),"",-(RawCurrent!AX13/MIN(RawCurrent!AX$7:AX$28)))</f>
        <v>-0.54734746434141213</v>
      </c>
      <c r="AY13">
        <f>IF(ISBLANK(RawCurrent!AY13),"",-(RawCurrent!AY13/MIN(RawCurrent!AY$7:AY$28)))</f>
        <v>-0.57887711120350516</v>
      </c>
      <c r="AZ13">
        <f>IF(ISBLANK(RawCurrent!AZ13),"",-(RawCurrent!AZ13/MIN(RawCurrent!AZ$7:AZ$28)))</f>
        <v>-0.19045550019895047</v>
      </c>
      <c r="BA13">
        <f>IF(ISBLANK(RawCurrent!BA13),"",-(RawCurrent!BA13/MIN(RawCurrent!BA$7:BA$28)))</f>
        <v>-0.17576502157814933</v>
      </c>
      <c r="BB13">
        <f>IF(ISBLANK(RawCurrent!BB13),"",-(RawCurrent!BB13/MIN(RawCurrent!BB$7:BB$28)))</f>
        <v>-0.28873408017473084</v>
      </c>
      <c r="BC13">
        <f>IF(ISBLANK(RawCurrent!BC13),"",-(RawCurrent!BC13/MIN(RawCurrent!BC$7:BC$28)))</f>
        <v>-0.39336480999536422</v>
      </c>
      <c r="BD13">
        <f>IF(ISBLANK(RawCurrent!BD13),"",-(RawCurrent!BD13/MIN(RawCurrent!BD$7:BD$28)))</f>
        <v>-0.18969279503235306</v>
      </c>
      <c r="BE13">
        <f>IF(ISBLANK(RawCurrent!BE13),"",-(RawCurrent!BE13/MIN(RawCurrent!BE$7:BE$28)))</f>
        <v>-0.22071544949229779</v>
      </c>
      <c r="BF13">
        <f>IF(ISBLANK(RawCurrent!BF13),"",-(RawCurrent!BF13/MIN(RawCurrent!BF$7:BF$28)))</f>
        <v>-0.10564234659306942</v>
      </c>
      <c r="BG13">
        <f>IF(ISBLANK(RawCurrent!BG13),"",-(RawCurrent!BG13/MIN(RawCurrent!BG$7:BG$28)))</f>
        <v>-0.23867329745738503</v>
      </c>
      <c r="BH13">
        <f>IF(ISBLANK(RawCurrent!BH13),"",-(RawCurrent!BH13/MIN(RawCurrent!BH$7:BH$28)))</f>
        <v>-0.30577692035977905</v>
      </c>
      <c r="BI13">
        <f>IF(ISBLANK(RawCurrent!BI13),"",-(RawCurrent!BI13/MIN(RawCurrent!BI$7:BI$28)))</f>
        <v>-0.21810727691141502</v>
      </c>
      <c r="BJ13">
        <f>IF(ISBLANK(RawCurrent!BJ13),"",-(RawCurrent!BJ13/MIN(RawCurrent!BJ$7:BJ$28)))</f>
        <v>-0.20992401440115147</v>
      </c>
      <c r="BK13">
        <f>IF(ISBLANK(RawCurrent!BK13),"",-(RawCurrent!BK13/MIN(RawCurrent!BK$7:BK$28)))</f>
        <v>-0.13417222863529857</v>
      </c>
      <c r="BL13">
        <f>IF(ISBLANK(RawCurrent!BL13),"",-(RawCurrent!BL13/MIN(RawCurrent!BL$7:BL$28)))</f>
        <v>-0.38415043327593762</v>
      </c>
      <c r="BM13">
        <f>IF(ISBLANK(RawCurrent!BM13),"",-(RawCurrent!BM13/MIN(RawCurrent!BM$7:BM$28)))</f>
        <v>-0.21059929073914654</v>
      </c>
      <c r="BN13">
        <f>IF(ISBLANK(RawCurrent!BN13),"",-(RawCurrent!BN13/MIN(RawCurrent!BN$7:BN$28)))</f>
        <v>-0.26237098052575336</v>
      </c>
      <c r="BO13">
        <f>IF(ISBLANK(RawCurrent!BO13),"",-(RawCurrent!BO13/MIN(RawCurrent!BO$7:BO$28)))</f>
        <v>-0.37872624629371165</v>
      </c>
      <c r="BP13">
        <f>IF(ISBLANK(RawCurrent!BP13),"",-(RawCurrent!BP13/MIN(RawCurrent!BP$7:BP$28)))</f>
        <v>-0.38584721895803337</v>
      </c>
      <c r="BQ13">
        <f>IF(ISBLANK(RawCurrent!BQ13),"",-(RawCurrent!BQ13/MIN(RawCurrent!BQ$7:BQ$28)))</f>
        <v>-0.26278780443136562</v>
      </c>
      <c r="BR13">
        <f>IF(ISBLANK(RawCurrent!BR13),"",-(RawCurrent!BR13/MIN(RawCurrent!BR$7:BR$28)))</f>
        <v>-0.24732723596916736</v>
      </c>
      <c r="BS13">
        <f>IF(ISBLANK(RawCurrent!BS13),"",-(RawCurrent!BS13/MIN(RawCurrent!BS$7:BS$28)))</f>
        <v>-0.51300458707318231</v>
      </c>
      <c r="BT13">
        <f>IF(ISBLANK(RawCurrent!BT13),"",-(RawCurrent!BT13/MIN(RawCurrent!BT$7:BT$28)))</f>
        <v>-0.23655754379311394</v>
      </c>
      <c r="BU13">
        <f>IF(ISBLANK(RawCurrent!BU13),"",-(RawCurrent!BU13/MIN(RawCurrent!BU$7:BU$28)))</f>
        <v>-0.23749366494212043</v>
      </c>
      <c r="BV13">
        <f>IF(ISBLANK(RawCurrent!BV13),"",-(RawCurrent!BV13/MIN(RawCurrent!BV$7:BV$28)))</f>
        <v>-0.33332642962168285</v>
      </c>
      <c r="BW13">
        <f>IF(ISBLANK(RawCurrent!BW13),"",-(RawCurrent!BW13/MIN(RawCurrent!BW$7:BW$28)))</f>
        <v>-7.0397647065228899E-2</v>
      </c>
      <c r="BX13">
        <f>IF(ISBLANK(RawCurrent!BX13),"",-(RawCurrent!BX13/MIN(RawCurrent!BX$7:BX$28)))</f>
        <v>-0.32998568774160242</v>
      </c>
      <c r="BY13">
        <f>IF(ISBLANK(RawCurrent!BY13),"",-(RawCurrent!BY13/MIN(RawCurrent!BY$7:BY$28)))</f>
        <v>-0.20221668236236814</v>
      </c>
      <c r="BZ13">
        <f>IF(ISBLANK(RawCurrent!BZ13),"",-(RawCurrent!BZ13/MIN(RawCurrent!BZ$7:BZ$28)))</f>
        <v>-0.27390254313127593</v>
      </c>
      <c r="CA13">
        <f>IF(ISBLANK(RawCurrent!CA13),"",-(RawCurrent!CA13/MIN(RawCurrent!CA$7:CA$28)))</f>
        <v>-0.26253070315730886</v>
      </c>
      <c r="CB13">
        <f>IF(ISBLANK(RawCurrent!CB13),"",-(RawCurrent!CB13/MIN(RawCurrent!CB$7:CB$28)))</f>
        <v>-0.46383621511328288</v>
      </c>
      <c r="CC13">
        <f>IF(ISBLANK(RawCurrent!CC13),"",-(RawCurrent!CC13/MIN(RawCurrent!CC$7:CC$28)))</f>
        <v>-0.21519211986569428</v>
      </c>
      <c r="CD13">
        <f>IF(ISBLANK(RawCurrent!CD13),"",-(RawCurrent!CD13/MIN(RawCurrent!CD$7:CD$28)))</f>
        <v>-0.26847353889133752</v>
      </c>
    </row>
    <row r="14" spans="1:82" x14ac:dyDescent="0.2">
      <c r="A14" s="3">
        <f t="shared" si="0"/>
        <v>-10</v>
      </c>
      <c r="B14">
        <f>IF(ISBLANK(RawCurrent!B14),"",-(RawCurrent!B14/MIN(RawCurrent!B$7:B$28)))</f>
        <v>-0.72599300856975169</v>
      </c>
      <c r="C14">
        <f>IF(ISBLANK(RawCurrent!C14),"",-(RawCurrent!C14/MIN(RawCurrent!C$7:C$28)))</f>
        <v>-0.93498752585193268</v>
      </c>
      <c r="D14">
        <f>IF(ISBLANK(RawCurrent!D14),"",-(RawCurrent!D14/MIN(RawCurrent!D$7:D$28)))</f>
        <v>-0.92311043518273861</v>
      </c>
      <c r="E14">
        <f>IF(ISBLANK(RawCurrent!E14),"",-(RawCurrent!E14/MIN(RawCurrent!E$7:E$28)))</f>
        <v>-0.8335981402377689</v>
      </c>
      <c r="F14">
        <f>IF(ISBLANK(RawCurrent!F14),"",-(RawCurrent!F14/MIN(RawCurrent!F$7:F$28)))</f>
        <v>-0.8026739017751322</v>
      </c>
      <c r="G14">
        <f>IF(ISBLANK(RawCurrent!G14),"",-(RawCurrent!G14/MIN(RawCurrent!G$7:G$28)))</f>
        <v>-1</v>
      </c>
      <c r="H14">
        <f>IF(ISBLANK(RawCurrent!H14),"",-(RawCurrent!H14/MIN(RawCurrent!H$7:H$28)))</f>
        <v>-0.54715961634364452</v>
      </c>
      <c r="I14">
        <f>IF(ISBLANK(RawCurrent!I14),"",-(RawCurrent!I14/MIN(RawCurrent!I$7:I$28)))</f>
        <v>-1</v>
      </c>
      <c r="J14">
        <f>IF(ISBLANK(RawCurrent!J14),"",-(RawCurrent!J14/MIN(RawCurrent!J$7:J$28)))</f>
        <v>-0.75572559680550111</v>
      </c>
      <c r="K14">
        <f>IF(ISBLANK(RawCurrent!K14),"",-(RawCurrent!K14/MIN(RawCurrent!K$7:K$28)))</f>
        <v>-0.73412839156051624</v>
      </c>
      <c r="L14">
        <f>IF(ISBLANK(RawCurrent!L14),"",-(RawCurrent!L14/MIN(RawCurrent!L$7:L$28)))</f>
        <v>-0.680294388284022</v>
      </c>
      <c r="M14">
        <f>IF(ISBLANK(RawCurrent!M14),"",-(RawCurrent!M14/MIN(RawCurrent!M$7:M$28)))</f>
        <v>-0.93976146096074509</v>
      </c>
      <c r="N14">
        <f>IF(ISBLANK(RawCurrent!N14),"",-(RawCurrent!N14/MIN(RawCurrent!N$7:N$28)))</f>
        <v>-1</v>
      </c>
      <c r="O14">
        <f>IF(ISBLANK(RawCurrent!O14),"",-(RawCurrent!O14/MIN(RawCurrent!O$7:O$28)))</f>
        <v>-0.85451369240932795</v>
      </c>
      <c r="P14">
        <f>IF(ISBLANK(RawCurrent!P14),"",-(RawCurrent!P14/MIN(RawCurrent!P$7:P$28)))</f>
        <v>-9.2392175061599732E-2</v>
      </c>
      <c r="Q14">
        <f>IF(ISBLANK(RawCurrent!Q14),"",-(RawCurrent!Q14/MIN(RawCurrent!Q$7:Q$28)))</f>
        <v>-0.63408383537060065</v>
      </c>
      <c r="R14">
        <f>IF(ISBLANK(RawCurrent!R14),"",-(RawCurrent!R14/MIN(RawCurrent!R$7:R$28)))</f>
        <v>-0.48379084286855473</v>
      </c>
      <c r="S14">
        <f>IF(ISBLANK(RawCurrent!S14),"",-(RawCurrent!S14/MIN(RawCurrent!S$7:S$28)))</f>
        <v>-0.97065474982260003</v>
      </c>
      <c r="T14">
        <f>IF(ISBLANK(RawCurrent!T14),"",-(RawCurrent!T14/MIN(RawCurrent!T$7:T$28)))</f>
        <v>-0.94545956525155939</v>
      </c>
      <c r="U14">
        <f>IF(ISBLANK(RawCurrent!U14),"",-(RawCurrent!U14/MIN(RawCurrent!U$7:U$28)))</f>
        <v>-0.85959587706930118</v>
      </c>
      <c r="V14">
        <f>IF(ISBLANK(RawCurrent!V14),"",-(RawCurrent!V14/MIN(RawCurrent!V$7:V$28)))</f>
        <v>-0.57275790901610646</v>
      </c>
      <c r="W14">
        <f>IF(ISBLANK(RawCurrent!W14),"",-(RawCurrent!W14/MIN(RawCurrent!W$7:W$28)))</f>
        <v>-0.47692978278557185</v>
      </c>
      <c r="X14">
        <f>IF(ISBLANK(RawCurrent!X14),"",-(RawCurrent!X14/MIN(RawCurrent!X$7:X$28)))</f>
        <v>-0.71420151029851697</v>
      </c>
      <c r="Y14">
        <f>IF(ISBLANK(RawCurrent!Y14),"",-(RawCurrent!Y14/MIN(RawCurrent!Y$7:Y$28)))</f>
        <v>-0.50657058402006439</v>
      </c>
      <c r="Z14">
        <f>IF(ISBLANK(RawCurrent!Z14),"",-(RawCurrent!Z14/MIN(RawCurrent!Z$7:Z$28)))</f>
        <v>-0.59539870323009869</v>
      </c>
      <c r="AA14">
        <f>IF(ISBLANK(RawCurrent!AA14),"",-(RawCurrent!AA14/MIN(RawCurrent!AA$7:AA$28)))</f>
        <v>-0.59568654068420579</v>
      </c>
      <c r="AB14">
        <f>IF(ISBLANK(RawCurrent!AB14),"",-(RawCurrent!AB14/MIN(RawCurrent!AB$7:AB$28)))</f>
        <v>-0.80189006426764098</v>
      </c>
      <c r="AC14">
        <f>IF(ISBLANK(RawCurrent!AC14),"",-(RawCurrent!AC14/MIN(RawCurrent!AC$7:AC$28)))</f>
        <v>-0.92983676950559602</v>
      </c>
      <c r="AD14">
        <f>IF(ISBLANK(RawCurrent!AD14),"",-(RawCurrent!AD14/MIN(RawCurrent!AD$7:AD$28)))</f>
        <v>-0.15328001045833536</v>
      </c>
      <c r="AE14">
        <f>IF(ISBLANK(RawCurrent!AE14),"",-(RawCurrent!AE14/MIN(RawCurrent!AE$7:AE$28)))</f>
        <v>-0.47836667585235837</v>
      </c>
      <c r="AF14">
        <f>IF(ISBLANK(RawCurrent!AF14),"",-(RawCurrent!AF14/MIN(RawCurrent!AF$7:AF$28)))</f>
        <v>-0.72492762988510406</v>
      </c>
      <c r="AG14">
        <f>IF(ISBLANK(RawCurrent!AG14),"",-(RawCurrent!AG14/MIN(RawCurrent!AG$7:AG$28)))</f>
        <v>-0.75264979231937801</v>
      </c>
      <c r="AH14">
        <f>IF(ISBLANK(RawCurrent!AH14),"",-(RawCurrent!AH14/MIN(RawCurrent!AH$7:AH$28)))</f>
        <v>-0.56184982894548474</v>
      </c>
      <c r="AI14">
        <f>IF(ISBLANK(RawCurrent!AI14),"",-(RawCurrent!AI14/MIN(RawCurrent!AI$7:AI$28)))</f>
        <v>-0.64802546085831125</v>
      </c>
      <c r="AJ14">
        <f>IF(ISBLANK(RawCurrent!AJ14),"",-(RawCurrent!AJ14/MIN(RawCurrent!AJ$7:AJ$28)))</f>
        <v>-0.64708849444210192</v>
      </c>
      <c r="AK14">
        <f>IF(ISBLANK(RawCurrent!AK14),"",-(RawCurrent!AK14/MIN(RawCurrent!AK$7:AK$28)))</f>
        <v>-0.84910003424778024</v>
      </c>
      <c r="AL14">
        <f>IF(ISBLANK(RawCurrent!AL14),"",-(RawCurrent!AL14/MIN(RawCurrent!AL$7:AL$28)))</f>
        <v>-0.34958657587548503</v>
      </c>
      <c r="AM14">
        <f>IF(ISBLANK(RawCurrent!AM14),"",-(RawCurrent!AM14/MIN(RawCurrent!AM$7:AM$28)))</f>
        <v>-0.60724823811422546</v>
      </c>
      <c r="AN14">
        <f>IF(ISBLANK(RawCurrent!AN14),"",-(RawCurrent!AN14/MIN(RawCurrent!AN$7:AN$28)))</f>
        <v>-0.6705281522572466</v>
      </c>
      <c r="AO14">
        <f>IF(ISBLANK(RawCurrent!AO14),"",-(RawCurrent!AO14/MIN(RawCurrent!AO$7:AO$28)))</f>
        <v>-0.74711238677562664</v>
      </c>
      <c r="AP14">
        <f>IF(ISBLANK(RawCurrent!AP14),"",-(RawCurrent!AP14/MIN(RawCurrent!AP$7:AP$28)))</f>
        <v>-0.50342834766379452</v>
      </c>
      <c r="AQ14">
        <f>IF(ISBLANK(RawCurrent!AQ14),"",-(RawCurrent!AQ14/MIN(RawCurrent!AQ$7:AQ$28)))</f>
        <v>-0.63118608186256475</v>
      </c>
      <c r="AR14">
        <f>IF(ISBLANK(RawCurrent!AR14),"",-(RawCurrent!AR14/MIN(RawCurrent!AR$7:AR$28)))</f>
        <v>-0.66118965769209648</v>
      </c>
      <c r="AS14">
        <f>IF(ISBLANK(RawCurrent!AS14),"",-(RawCurrent!AS14/MIN(RawCurrent!AS$7:AS$28)))</f>
        <v>-0.67079559002434019</v>
      </c>
      <c r="AT14">
        <f>IF(ISBLANK(RawCurrent!AT14),"",-(RawCurrent!AT14/MIN(RawCurrent!AT$7:AT$28)))</f>
        <v>-0.55613726412924613</v>
      </c>
      <c r="AU14">
        <f>IF(ISBLANK(RawCurrent!AU14),"",-(RawCurrent!AU14/MIN(RawCurrent!AU$7:AU$28)))</f>
        <v>-0.57353269388988026</v>
      </c>
      <c r="AV14">
        <f>IF(ISBLANK(RawCurrent!AV14),"",-(RawCurrent!AV14/MIN(RawCurrent!AV$7:AV$28)))</f>
        <v>-0.50376715201720546</v>
      </c>
      <c r="AW14">
        <f>IF(ISBLANK(RawCurrent!AW14),"",-(RawCurrent!AW14/MIN(RawCurrent!AW$7:AW$28)))</f>
        <v>-0.53165914935180136</v>
      </c>
      <c r="AX14">
        <f>IF(ISBLANK(RawCurrent!AX14),"",-(RawCurrent!AX14/MIN(RawCurrent!AX$7:AX$28)))</f>
        <v>-0.86465064550471071</v>
      </c>
      <c r="AY14">
        <f>IF(ISBLANK(RawCurrent!AY14),"",-(RawCurrent!AY14/MIN(RawCurrent!AY$7:AY$28)))</f>
        <v>-0.90296031699905743</v>
      </c>
      <c r="AZ14">
        <f>IF(ISBLANK(RawCurrent!AZ14),"",-(RawCurrent!AZ14/MIN(RawCurrent!AZ$7:AZ$28)))</f>
        <v>-0.56738628650282152</v>
      </c>
      <c r="BA14">
        <f>IF(ISBLANK(RawCurrent!BA14),"",-(RawCurrent!BA14/MIN(RawCurrent!BA$7:BA$28)))</f>
        <v>-0.52962002034103506</v>
      </c>
      <c r="BB14">
        <f>IF(ISBLANK(RawCurrent!BB14),"",-(RawCurrent!BB14/MIN(RawCurrent!BB$7:BB$28)))</f>
        <v>-0.56656355558056382</v>
      </c>
      <c r="BC14">
        <f>IF(ISBLANK(RawCurrent!BC14),"",-(RawCurrent!BC14/MIN(RawCurrent!BC$7:BC$28)))</f>
        <v>-0.84097961702573498</v>
      </c>
      <c r="BD14">
        <f>IF(ISBLANK(RawCurrent!BD14),"",-(RawCurrent!BD14/MIN(RawCurrent!BD$7:BD$28)))</f>
        <v>-0.56277618190741763</v>
      </c>
      <c r="BE14">
        <f>IF(ISBLANK(RawCurrent!BE14),"",-(RawCurrent!BE14/MIN(RawCurrent!BE$7:BE$28)))</f>
        <v>-0.71423686858839175</v>
      </c>
      <c r="BF14">
        <f>IF(ISBLANK(RawCurrent!BF14),"",-(RawCurrent!BF14/MIN(RawCurrent!BF$7:BF$28)))</f>
        <v>-0.46892810945555691</v>
      </c>
      <c r="BG14">
        <f>IF(ISBLANK(RawCurrent!BG14),"",-(RawCurrent!BG14/MIN(RawCurrent!BG$7:BG$28)))</f>
        <v>-0.49911901425553995</v>
      </c>
      <c r="BH14">
        <f>IF(ISBLANK(RawCurrent!BH14),"",-(RawCurrent!BH14/MIN(RawCurrent!BH$7:BH$28)))</f>
        <v>-0.79831688248604571</v>
      </c>
      <c r="BI14">
        <f>IF(ISBLANK(RawCurrent!BI14),"",-(RawCurrent!BI14/MIN(RawCurrent!BI$7:BI$28)))</f>
        <v>-0.62574244110831145</v>
      </c>
      <c r="BJ14">
        <f>IF(ISBLANK(RawCurrent!BJ14),"",-(RawCurrent!BJ14/MIN(RawCurrent!BJ$7:BJ$28)))</f>
        <v>-0.50526412489106898</v>
      </c>
      <c r="BK14">
        <f>IF(ISBLANK(RawCurrent!BK14),"",-(RawCurrent!BK14/MIN(RawCurrent!BK$7:BK$28)))</f>
        <v>-0.54667176812927532</v>
      </c>
      <c r="BL14">
        <f>IF(ISBLANK(RawCurrent!BL14),"",-(RawCurrent!BL14/MIN(RawCurrent!BL$7:BL$28)))</f>
        <v>-0.70369645312249107</v>
      </c>
      <c r="BM14">
        <f>IF(ISBLANK(RawCurrent!BM14),"",-(RawCurrent!BM14/MIN(RawCurrent!BM$7:BM$28)))</f>
        <v>-0.66581211899712178</v>
      </c>
      <c r="BN14">
        <f>IF(ISBLANK(RawCurrent!BN14),"",-(RawCurrent!BN14/MIN(RawCurrent!BN$7:BN$28)))</f>
        <v>-0.80608714771160472</v>
      </c>
      <c r="BO14">
        <f>IF(ISBLANK(RawCurrent!BO14),"",-(RawCurrent!BO14/MIN(RawCurrent!BO$7:BO$28)))</f>
        <v>-0.77147379470992539</v>
      </c>
      <c r="BP14">
        <f>IF(ISBLANK(RawCurrent!BP14),"",-(RawCurrent!BP14/MIN(RawCurrent!BP$7:BP$28)))</f>
        <v>-0.81394434511985048</v>
      </c>
      <c r="BQ14">
        <f>IF(ISBLANK(RawCurrent!BQ14),"",-(RawCurrent!BQ14/MIN(RawCurrent!BQ$7:BQ$28)))</f>
        <v>-0.61378039386163219</v>
      </c>
      <c r="BR14">
        <f>IF(ISBLANK(RawCurrent!BR14),"",-(RawCurrent!BR14/MIN(RawCurrent!BR$7:BR$28)))</f>
        <v>-0.64871181821423052</v>
      </c>
      <c r="BS14">
        <f>IF(ISBLANK(RawCurrent!BS14),"",-(RawCurrent!BS14/MIN(RawCurrent!BS$7:BS$28)))</f>
        <v>-0.91813486997165927</v>
      </c>
      <c r="BT14">
        <f>IF(ISBLANK(RawCurrent!BT14),"",-(RawCurrent!BT14/MIN(RawCurrent!BT$7:BT$28)))</f>
        <v>-0.5957163568116538</v>
      </c>
      <c r="BU14" t="str">
        <f>IF(ISBLANK(RawCurrent!BU14),"",-(RawCurrent!BU14/MIN(RawCurrent!BU$7:BU$28)))</f>
        <v/>
      </c>
      <c r="BV14">
        <f>IF(ISBLANK(RawCurrent!BV14),"",-(RawCurrent!BV14/MIN(RawCurrent!BV$7:BV$28)))</f>
        <v>-0.66445076326576324</v>
      </c>
      <c r="BW14">
        <f>IF(ISBLANK(RawCurrent!BW14),"",-(RawCurrent!BW14/MIN(RawCurrent!BW$7:BW$28)))</f>
        <v>-0.21255942104450354</v>
      </c>
      <c r="BX14">
        <f>IF(ISBLANK(RawCurrent!BX14),"",-(RawCurrent!BX14/MIN(RawCurrent!BX$7:BX$28)))</f>
        <v>-0.61224155907768141</v>
      </c>
      <c r="BY14">
        <f>IF(ISBLANK(RawCurrent!BY14),"",-(RawCurrent!BY14/MIN(RawCurrent!BY$7:BY$28)))</f>
        <v>-0.63422191305612574</v>
      </c>
      <c r="BZ14">
        <f>IF(ISBLANK(RawCurrent!BZ14),"",-(RawCurrent!BZ14/MIN(RawCurrent!BZ$7:BZ$28)))</f>
        <v>-0.56097284371763256</v>
      </c>
      <c r="CA14">
        <f>IF(ISBLANK(RawCurrent!CA14),"",-(RawCurrent!CA14/MIN(RawCurrent!CA$7:CA$28)))</f>
        <v>-0.57815505791189659</v>
      </c>
      <c r="CB14">
        <f>IF(ISBLANK(RawCurrent!CB14),"",-(RawCurrent!CB14/MIN(RawCurrent!CB$7:CB$28)))</f>
        <v>-0.79877958720515818</v>
      </c>
      <c r="CC14">
        <f>IF(ISBLANK(RawCurrent!CC14),"",-(RawCurrent!CC14/MIN(RawCurrent!CC$7:CC$28)))</f>
        <v>-0.4936640074268856</v>
      </c>
      <c r="CD14">
        <f>IF(ISBLANK(RawCurrent!CD14),"",-(RawCurrent!CD14/MIN(RawCurrent!CD$7:CD$28)))</f>
        <v>-0.5530271305325517</v>
      </c>
    </row>
    <row r="15" spans="1:82" x14ac:dyDescent="0.2">
      <c r="A15" s="3">
        <f t="shared" si="0"/>
        <v>0</v>
      </c>
      <c r="B15">
        <f>IF(ISBLANK(RawCurrent!B15),"",-(RawCurrent!B15/MIN(RawCurrent!B$7:B$28)))</f>
        <v>-0.96441799183128307</v>
      </c>
      <c r="C15">
        <f>IF(ISBLANK(RawCurrent!C15),"",-(RawCurrent!C15/MIN(RawCurrent!C$7:C$28)))</f>
        <v>-1</v>
      </c>
      <c r="D15">
        <f>IF(ISBLANK(RawCurrent!D15),"",-(RawCurrent!D15/MIN(RawCurrent!D$7:D$28)))</f>
        <v>-0.93661485334722772</v>
      </c>
      <c r="E15">
        <f>IF(ISBLANK(RawCurrent!E15),"",-(RawCurrent!E15/MIN(RawCurrent!E$7:E$28)))</f>
        <v>-1</v>
      </c>
      <c r="F15">
        <f>IF(ISBLANK(RawCurrent!F15),"",-(RawCurrent!F15/MIN(RawCurrent!F$7:F$28)))</f>
        <v>-0.89562170428128862</v>
      </c>
      <c r="G15">
        <f>IF(ISBLANK(RawCurrent!G15),"",-(RawCurrent!G15/MIN(RawCurrent!G$7:G$28)))</f>
        <v>-0.89753845516841813</v>
      </c>
      <c r="H15">
        <f>IF(ISBLANK(RawCurrent!H15),"",-(RawCurrent!H15/MIN(RawCurrent!H$7:H$28)))</f>
        <v>-0.90283723655096615</v>
      </c>
      <c r="I15">
        <f>IF(ISBLANK(RawCurrent!I15),"",-(RawCurrent!I15/MIN(RawCurrent!I$7:I$28)))</f>
        <v>-0.92212473962157848</v>
      </c>
      <c r="J15">
        <f>IF(ISBLANK(RawCurrent!J15),"",-(RawCurrent!J15/MIN(RawCurrent!J$7:J$28)))</f>
        <v>-1</v>
      </c>
      <c r="K15">
        <f>IF(ISBLANK(RawCurrent!K15),"",-(RawCurrent!K15/MIN(RawCurrent!K$7:K$28)))</f>
        <v>-0.97363141020733457</v>
      </c>
      <c r="L15">
        <f>IF(ISBLANK(RawCurrent!L15),"",-(RawCurrent!L15/MIN(RawCurrent!L$7:L$28)))</f>
        <v>-0.955747325122004</v>
      </c>
      <c r="M15">
        <f>IF(ISBLANK(RawCurrent!M15),"",-(RawCurrent!M15/MIN(RawCurrent!M$7:M$28)))</f>
        <v>-1</v>
      </c>
      <c r="N15">
        <f>IF(ISBLANK(RawCurrent!N15),"",-(RawCurrent!N15/MIN(RawCurrent!N$7:N$28)))</f>
        <v>-0.94078531312872526</v>
      </c>
      <c r="O15">
        <f>IF(ISBLANK(RawCurrent!O15),"",-(RawCurrent!O15/MIN(RawCurrent!O$7:O$28)))</f>
        <v>-1</v>
      </c>
      <c r="P15">
        <f>IF(ISBLANK(RawCurrent!P15),"",-(RawCurrent!P15/MIN(RawCurrent!P$7:P$28)))</f>
        <v>-0.50772695953218261</v>
      </c>
      <c r="Q15">
        <f>IF(ISBLANK(RawCurrent!Q15),"",-(RawCurrent!Q15/MIN(RawCurrent!Q$7:Q$28)))</f>
        <v>-0.92219795366046631</v>
      </c>
      <c r="R15">
        <f>IF(ISBLANK(RawCurrent!R15),"",-(RawCurrent!R15/MIN(RawCurrent!R$7:R$28)))</f>
        <v>-0.89653559927095217</v>
      </c>
      <c r="S15">
        <f>IF(ISBLANK(RawCurrent!S15),"",-(RawCurrent!S15/MIN(RawCurrent!S$7:S$28)))</f>
        <v>-1</v>
      </c>
      <c r="T15">
        <f>IF(ISBLANK(RawCurrent!T15),"",-(RawCurrent!T15/MIN(RawCurrent!T$7:T$28)))</f>
        <v>-1</v>
      </c>
      <c r="U15">
        <f>IF(ISBLANK(RawCurrent!U15),"",-(RawCurrent!U15/MIN(RawCurrent!U$7:U$28)))</f>
        <v>-1</v>
      </c>
      <c r="V15">
        <f>IF(ISBLANK(RawCurrent!V15),"",-(RawCurrent!V15/MIN(RawCurrent!V$7:V$28)))</f>
        <v>-0.80774413957253821</v>
      </c>
      <c r="W15">
        <f>IF(ISBLANK(RawCurrent!W15),"",-(RawCurrent!W15/MIN(RawCurrent!W$7:W$28)))</f>
        <v>-0.86787794950024311</v>
      </c>
      <c r="X15">
        <f>IF(ISBLANK(RawCurrent!X15),"",-(RawCurrent!X15/MIN(RawCurrent!X$7:X$28)))</f>
        <v>-1</v>
      </c>
      <c r="Y15">
        <f>IF(ISBLANK(RawCurrent!Y15),"",-(RawCurrent!Y15/MIN(RawCurrent!Y$7:Y$28)))</f>
        <v>-0.80471644571837997</v>
      </c>
      <c r="Z15">
        <f>IF(ISBLANK(RawCurrent!Z15),"",-(RawCurrent!Z15/MIN(RawCurrent!Z$7:Z$28)))</f>
        <v>-0.86926093641491597</v>
      </c>
      <c r="AA15">
        <f>IF(ISBLANK(RawCurrent!AA15),"",-(RawCurrent!AA15/MIN(RawCurrent!AA$7:AA$28)))</f>
        <v>-0.87059841592690013</v>
      </c>
      <c r="AB15">
        <f>IF(ISBLANK(RawCurrent!AB15),"",-(RawCurrent!AB15/MIN(RawCurrent!AB$7:AB$28)))</f>
        <v>-1</v>
      </c>
      <c r="AC15">
        <f>IF(ISBLANK(RawCurrent!AC15),"",-(RawCurrent!AC15/MIN(RawCurrent!AC$7:AC$28)))</f>
        <v>-1</v>
      </c>
      <c r="AD15">
        <f>IF(ISBLANK(RawCurrent!AD15),"",-(RawCurrent!AD15/MIN(RawCurrent!AD$7:AD$28)))</f>
        <v>-0.3900780520960021</v>
      </c>
      <c r="AE15">
        <f>IF(ISBLANK(RawCurrent!AE15),"",-(RawCurrent!AE15/MIN(RawCurrent!AE$7:AE$28)))</f>
        <v>-0.48588387586810605</v>
      </c>
      <c r="AF15">
        <f>IF(ISBLANK(RawCurrent!AF15),"",-(RawCurrent!AF15/MIN(RawCurrent!AF$7:AF$28)))</f>
        <v>-0.96998633912437815</v>
      </c>
      <c r="AG15">
        <f>IF(ISBLANK(RawCurrent!AG15),"",-(RawCurrent!AG15/MIN(RawCurrent!AG$7:AG$28)))</f>
        <v>-0.95739174589980547</v>
      </c>
      <c r="AH15">
        <f>IF(ISBLANK(RawCurrent!AH15),"",-(RawCurrent!AH15/MIN(RawCurrent!AH$7:AH$28)))</f>
        <v>-0.85266740966282717</v>
      </c>
      <c r="AI15">
        <f>IF(ISBLANK(RawCurrent!AI15),"",-(RawCurrent!AI15/MIN(RawCurrent!AI$7:AI$28)))</f>
        <v>-0.97483285639332462</v>
      </c>
      <c r="AJ15">
        <f>IF(ISBLANK(RawCurrent!AJ15),"",-(RawCurrent!AJ15/MIN(RawCurrent!AJ$7:AJ$28)))</f>
        <v>-0.87466574027093347</v>
      </c>
      <c r="AK15">
        <f>IF(ISBLANK(RawCurrent!AK15),"",-(RawCurrent!AK15/MIN(RawCurrent!AK$7:AK$28)))</f>
        <v>-1</v>
      </c>
      <c r="AL15">
        <f>IF(ISBLANK(RawCurrent!AL15),"",-(RawCurrent!AL15/MIN(RawCurrent!AL$7:AL$28)))</f>
        <v>-0.77644016675564242</v>
      </c>
      <c r="AM15">
        <f>IF(ISBLANK(RawCurrent!AM15),"",-(RawCurrent!AM15/MIN(RawCurrent!AM$7:AM$28)))</f>
        <v>-0.9590666531730101</v>
      </c>
      <c r="AN15">
        <f>IF(ISBLANK(RawCurrent!AN15),"",-(RawCurrent!AN15/MIN(RawCurrent!AN$7:AN$28)))</f>
        <v>-0.93155803877408894</v>
      </c>
      <c r="AO15">
        <f>IF(ISBLANK(RawCurrent!AO15),"",-(RawCurrent!AO15/MIN(RawCurrent!AO$7:AO$28)))</f>
        <v>-0.94543899772993722</v>
      </c>
      <c r="AP15">
        <f>IF(ISBLANK(RawCurrent!AP15),"",-(RawCurrent!AP15/MIN(RawCurrent!AP$7:AP$28)))</f>
        <v>-0.93034237911104856</v>
      </c>
      <c r="AQ15">
        <f>IF(ISBLANK(RawCurrent!AQ15),"",-(RawCurrent!AQ15/MIN(RawCurrent!AQ$7:AQ$28)))</f>
        <v>-0.93650310709290951</v>
      </c>
      <c r="AR15">
        <f>IF(ISBLANK(RawCurrent!AR15),"",-(RawCurrent!AR15/MIN(RawCurrent!AR$7:AR$28)))</f>
        <v>-0.88932717823391638</v>
      </c>
      <c r="AS15">
        <f>IF(ISBLANK(RawCurrent!AS15),"",-(RawCurrent!AS15/MIN(RawCurrent!AS$7:AS$28)))</f>
        <v>-0.92482958934943471</v>
      </c>
      <c r="AT15">
        <f>IF(ISBLANK(RawCurrent!AT15),"",-(RawCurrent!AT15/MIN(RawCurrent!AT$7:AT$28)))</f>
        <v>-0.74415781736154885</v>
      </c>
      <c r="AU15">
        <f>IF(ISBLANK(RawCurrent!AU15),"",-(RawCurrent!AU15/MIN(RawCurrent!AU$7:AU$28)))</f>
        <v>-0.84775110147160926</v>
      </c>
      <c r="AV15">
        <f>IF(ISBLANK(RawCurrent!AV15),"",-(RawCurrent!AV15/MIN(RawCurrent!AV$7:AV$28)))</f>
        <v>-0.83355188234810873</v>
      </c>
      <c r="AW15">
        <f>IF(ISBLANK(RawCurrent!AW15),"",-(RawCurrent!AW15/MIN(RawCurrent!AW$7:AW$28)))</f>
        <v>-0.85174959949394768</v>
      </c>
      <c r="AX15">
        <f>IF(ISBLANK(RawCurrent!AX15),"",-(RawCurrent!AX15/MIN(RawCurrent!AX$7:AX$28)))</f>
        <v>-1</v>
      </c>
      <c r="AY15">
        <f>IF(ISBLANK(RawCurrent!AY15),"",-(RawCurrent!AY15/MIN(RawCurrent!AY$7:AY$28)))</f>
        <v>-1</v>
      </c>
      <c r="AZ15">
        <f>IF(ISBLANK(RawCurrent!AZ15),"",-(RawCurrent!AZ15/MIN(RawCurrent!AZ$7:AZ$28)))</f>
        <v>-0.91661530341181985</v>
      </c>
      <c r="BA15">
        <f>IF(ISBLANK(RawCurrent!BA15),"",-(RawCurrent!BA15/MIN(RawCurrent!BA$7:BA$28)))</f>
        <v>-0.84495057723814959</v>
      </c>
      <c r="BB15">
        <f>IF(ISBLANK(RawCurrent!BB15),"",-(RawCurrent!BB15/MIN(RawCurrent!BB$7:BB$28)))</f>
        <v>-0.93667657922684566</v>
      </c>
      <c r="BC15">
        <f>IF(ISBLANK(RawCurrent!BC15),"",-(RawCurrent!BC15/MIN(RawCurrent!BC$7:BC$28)))</f>
        <v>-0.99525916720059149</v>
      </c>
      <c r="BD15">
        <f>IF(ISBLANK(RawCurrent!BD15),"",-(RawCurrent!BD15/MIN(RawCurrent!BD$7:BD$28)))</f>
        <v>-0.93881746327055393</v>
      </c>
      <c r="BE15">
        <f>IF(ISBLANK(RawCurrent!BE15),"",-(RawCurrent!BE15/MIN(RawCurrent!BE$7:BE$28)))</f>
        <v>-0.87023632927689099</v>
      </c>
      <c r="BF15">
        <f>IF(ISBLANK(RawCurrent!BF15),"",-(RawCurrent!BF15/MIN(RawCurrent!BF$7:BF$28)))</f>
        <v>-0.77623396964308444</v>
      </c>
      <c r="BG15">
        <f>IF(ISBLANK(RawCurrent!BG15),"",-(RawCurrent!BG15/MIN(RawCurrent!BG$7:BG$28)))</f>
        <v>-0.84616939126773372</v>
      </c>
      <c r="BH15">
        <f>IF(ISBLANK(RawCurrent!BH15),"",-(RawCurrent!BH15/MIN(RawCurrent!BH$7:BH$28)))</f>
        <v>-0.98946249509844553</v>
      </c>
      <c r="BI15">
        <f>IF(ISBLANK(RawCurrent!BI15),"",-(RawCurrent!BI15/MIN(RawCurrent!BI$7:BI$28)))</f>
        <v>-0.98004725659570313</v>
      </c>
      <c r="BJ15">
        <f>IF(ISBLANK(RawCurrent!BJ15),"",-(RawCurrent!BJ15/MIN(RawCurrent!BJ$7:BJ$28)))</f>
        <v>-0.84033689007743528</v>
      </c>
      <c r="BK15">
        <f>IF(ISBLANK(RawCurrent!BK15),"",-(RawCurrent!BK15/MIN(RawCurrent!BK$7:BK$28)))</f>
        <v>-0.84260249106494045</v>
      </c>
      <c r="BL15">
        <f>IF(ISBLANK(RawCurrent!BL15),"",-(RawCurrent!BL15/MIN(RawCurrent!BL$7:BL$28)))</f>
        <v>-0.95821467760193257</v>
      </c>
      <c r="BM15">
        <f>IF(ISBLANK(RawCurrent!BM15),"",-(RawCurrent!BM15/MIN(RawCurrent!BM$7:BM$28)))</f>
        <v>-0.91384170763334582</v>
      </c>
      <c r="BN15">
        <f>IF(ISBLANK(RawCurrent!BN15),"",-(RawCurrent!BN15/MIN(RawCurrent!BN$7:BN$28)))</f>
        <v>-0.99326270242770487</v>
      </c>
      <c r="BO15">
        <f>IF(ISBLANK(RawCurrent!BO15),"",-(RawCurrent!BO15/MIN(RawCurrent!BO$7:BO$28)))</f>
        <v>-1</v>
      </c>
      <c r="BP15">
        <f>IF(ISBLANK(RawCurrent!BP15),"",-(RawCurrent!BP15/MIN(RawCurrent!BP$7:BP$28)))</f>
        <v>-0.96136582273404581</v>
      </c>
      <c r="BQ15">
        <f>IF(ISBLANK(RawCurrent!BQ15),"",-(RawCurrent!BQ15/MIN(RawCurrent!BQ$7:BQ$28)))</f>
        <v>-0.87073475796874589</v>
      </c>
      <c r="BR15">
        <f>IF(ISBLANK(RawCurrent!BR15),"",-(RawCurrent!BR15/MIN(RawCurrent!BR$7:BR$28)))</f>
        <v>-0.93486979038680507</v>
      </c>
      <c r="BS15">
        <f>IF(ISBLANK(RawCurrent!BS15),"",-(RawCurrent!BS15/MIN(RawCurrent!BS$7:BS$28)))</f>
        <v>-1</v>
      </c>
      <c r="BT15">
        <f>IF(ISBLANK(RawCurrent!BT15),"",-(RawCurrent!BT15/MIN(RawCurrent!BT$7:BT$28)))</f>
        <v>-0.89360140871695193</v>
      </c>
      <c r="BU15">
        <f>IF(ISBLANK(RawCurrent!BU15),"",-(RawCurrent!BU15/MIN(RawCurrent!BU$7:BU$28)))</f>
        <v>-0.92570876861530227</v>
      </c>
      <c r="BV15">
        <f>IF(ISBLANK(RawCurrent!BV15),"",-(RawCurrent!BV15/MIN(RawCurrent!BV$7:BV$28)))</f>
        <v>-0.86062595299874334</v>
      </c>
      <c r="BW15">
        <f>IF(ISBLANK(RawCurrent!BW15),"",-(RawCurrent!BW15/MIN(RawCurrent!BW$7:BW$28)))</f>
        <v>-0.60059381446972704</v>
      </c>
      <c r="BX15">
        <f>IF(ISBLANK(RawCurrent!BX15),"",-(RawCurrent!BX15/MIN(RawCurrent!BX$7:BX$28)))</f>
        <v>-0.88532565300962207</v>
      </c>
      <c r="BY15">
        <f>IF(ISBLANK(RawCurrent!BY15),"",-(RawCurrent!BY15/MIN(RawCurrent!BY$7:BY$28)))</f>
        <v>-0.9116121118087962</v>
      </c>
      <c r="BZ15">
        <f>IF(ISBLANK(RawCurrent!BZ15),"",-(RawCurrent!BZ15/MIN(RawCurrent!BZ$7:BZ$28)))</f>
        <v>-0.81820245442379369</v>
      </c>
      <c r="CA15">
        <f>IF(ISBLANK(RawCurrent!CA15),"",-(RawCurrent!CA15/MIN(RawCurrent!CA$7:CA$28)))</f>
        <v>-0.91488796077036394</v>
      </c>
      <c r="CB15">
        <f>IF(ISBLANK(RawCurrent!CB15),"",-(RawCurrent!CB15/MIN(RawCurrent!CB$7:CB$28)))</f>
        <v>-0.97869971253380961</v>
      </c>
      <c r="CC15">
        <f>IF(ISBLANK(RawCurrent!CC15),"",-(RawCurrent!CC15/MIN(RawCurrent!CC$7:CC$28)))</f>
        <v>-0.69149155312775956</v>
      </c>
      <c r="CD15">
        <f>IF(ISBLANK(RawCurrent!CD15),"",-(RawCurrent!CD15/MIN(RawCurrent!CD$7:CD$28)))</f>
        <v>-0.84205182128441758</v>
      </c>
    </row>
    <row r="16" spans="1:82" x14ac:dyDescent="0.2">
      <c r="A16" s="3">
        <f t="shared" si="0"/>
        <v>10</v>
      </c>
      <c r="B16">
        <f>IF(ISBLANK(RawCurrent!B16),"",-(RawCurrent!B16/MIN(RawCurrent!B$7:B$28)))</f>
        <v>-1</v>
      </c>
      <c r="C16">
        <f>IF(ISBLANK(RawCurrent!C16),"",-(RawCurrent!C16/MIN(RawCurrent!C$7:C$28)))</f>
        <v>-0.9147403444697001</v>
      </c>
      <c r="D16">
        <f>IF(ISBLANK(RawCurrent!D16),"",-(RawCurrent!D16/MIN(RawCurrent!D$7:D$28)))</f>
        <v>-1</v>
      </c>
      <c r="E16">
        <f>IF(ISBLANK(RawCurrent!E16),"",-(RawCurrent!E16/MIN(RawCurrent!E$7:E$28)))</f>
        <v>-0.93176497880176601</v>
      </c>
      <c r="F16">
        <f>IF(ISBLANK(RawCurrent!F16),"",-(RawCurrent!F16/MIN(RawCurrent!F$7:F$28)))</f>
        <v>-1</v>
      </c>
      <c r="G16">
        <f>IF(ISBLANK(RawCurrent!G16),"",-(RawCurrent!G16/MIN(RawCurrent!G$7:G$28)))</f>
        <v>-0.81194212739809479</v>
      </c>
      <c r="H16">
        <f>IF(ISBLANK(RawCurrent!H16),"",-(RawCurrent!H16/MIN(RawCurrent!H$7:H$28)))</f>
        <v>-1</v>
      </c>
      <c r="I16">
        <f>IF(ISBLANK(RawCurrent!I16),"",-(RawCurrent!I16/MIN(RawCurrent!I$7:I$28)))</f>
        <v>-0.83446703071532702</v>
      </c>
      <c r="J16">
        <f>IF(ISBLANK(RawCurrent!J16),"",-(RawCurrent!J16/MIN(RawCurrent!J$7:J$28)))</f>
        <v>-0.96118364550187962</v>
      </c>
      <c r="K16">
        <f>IF(ISBLANK(RawCurrent!K16),"",-(RawCurrent!K16/MIN(RawCurrent!K$7:K$28)))</f>
        <v>-1</v>
      </c>
      <c r="L16">
        <f>IF(ISBLANK(RawCurrent!L16),"",-(RawCurrent!L16/MIN(RawCurrent!L$7:L$28)))</f>
        <v>-1</v>
      </c>
      <c r="M16">
        <f>IF(ISBLANK(RawCurrent!M16),"",-(RawCurrent!M16/MIN(RawCurrent!M$7:M$28)))</f>
        <v>-0.88545851195983405</v>
      </c>
      <c r="N16">
        <f>IF(ISBLANK(RawCurrent!N16),"",-(RawCurrent!N16/MIN(RawCurrent!N$7:N$28)))</f>
        <v>-0.88092328737912262</v>
      </c>
      <c r="O16">
        <f>IF(ISBLANK(RawCurrent!O16),"",-(RawCurrent!O16/MIN(RawCurrent!O$7:O$28)))</f>
        <v>-0.90857640525777772</v>
      </c>
      <c r="P16">
        <f>IF(ISBLANK(RawCurrent!P16),"",-(RawCurrent!P16/MIN(RawCurrent!P$7:P$28)))</f>
        <v>-1</v>
      </c>
      <c r="Q16">
        <f>IF(ISBLANK(RawCurrent!Q16),"",-(RawCurrent!Q16/MIN(RawCurrent!Q$7:Q$28)))</f>
        <v>-1</v>
      </c>
      <c r="R16">
        <f>IF(ISBLANK(RawCurrent!R16),"",-(RawCurrent!R16/MIN(RawCurrent!R$7:R$28)))</f>
        <v>-0.97882148924246737</v>
      </c>
      <c r="S16">
        <f>IF(ISBLANK(RawCurrent!S16),"",-(RawCurrent!S16/MIN(RawCurrent!S$7:S$28)))</f>
        <v>-0.95139914653739377</v>
      </c>
      <c r="T16">
        <f>IF(ISBLANK(RawCurrent!T16),"",-(RawCurrent!T16/MIN(RawCurrent!T$7:T$28)))</f>
        <v>-0.89845447077498486</v>
      </c>
      <c r="U16">
        <f>IF(ISBLANK(RawCurrent!U16),"",-(RawCurrent!U16/MIN(RawCurrent!U$7:U$28)))</f>
        <v>-0.89610774892713174</v>
      </c>
      <c r="V16">
        <f>IF(ISBLANK(RawCurrent!V16),"",-(RawCurrent!V16/MIN(RawCurrent!V$7:V$28)))</f>
        <v>-1</v>
      </c>
      <c r="W16">
        <f>IF(ISBLANK(RawCurrent!W16),"",-(RawCurrent!W16/MIN(RawCurrent!W$7:W$28)))</f>
        <v>-1</v>
      </c>
      <c r="X16">
        <f>IF(ISBLANK(RawCurrent!X16),"",-(RawCurrent!X16/MIN(RawCurrent!X$7:X$28)))</f>
        <v>-0.99081033455039635</v>
      </c>
      <c r="Y16">
        <f>IF(ISBLANK(RawCurrent!Y16),"",-(RawCurrent!Y16/MIN(RawCurrent!Y$7:Y$28)))</f>
        <v>-1</v>
      </c>
      <c r="Z16">
        <f>IF(ISBLANK(RawCurrent!Z16),"",-(RawCurrent!Z16/MIN(RawCurrent!Z$7:Z$28)))</f>
        <v>-1</v>
      </c>
      <c r="AA16">
        <f>IF(ISBLANK(RawCurrent!AA16),"",-(RawCurrent!AA16/MIN(RawCurrent!AA$7:AA$28)))</f>
        <v>-1</v>
      </c>
      <c r="AB16">
        <f>IF(ISBLANK(RawCurrent!AB16),"",-(RawCurrent!AB16/MIN(RawCurrent!AB$7:AB$28)))</f>
        <v>-0.95673509369870036</v>
      </c>
      <c r="AC16">
        <f>IF(ISBLANK(RawCurrent!AC16),"",-(RawCurrent!AC16/MIN(RawCurrent!AC$7:AC$28)))</f>
        <v>-0.92640209272165175</v>
      </c>
      <c r="AD16">
        <f>IF(ISBLANK(RawCurrent!AD16),"",-(RawCurrent!AD16/MIN(RawCurrent!AD$7:AD$28)))</f>
        <v>-0.86159882089858608</v>
      </c>
      <c r="AE16">
        <f>IF(ISBLANK(RawCurrent!AE16),"",-(RawCurrent!AE16/MIN(RawCurrent!AE$7:AE$28)))</f>
        <v>-0.86686569514462819</v>
      </c>
      <c r="AF16">
        <f>IF(ISBLANK(RawCurrent!AF16),"",-(RawCurrent!AF16/MIN(RawCurrent!AF$7:AF$28)))</f>
        <v>-1</v>
      </c>
      <c r="AG16">
        <f>IF(ISBLANK(RawCurrent!AG16),"",-(RawCurrent!AG16/MIN(RawCurrent!AG$7:AG$28)))</f>
        <v>-1</v>
      </c>
      <c r="AH16">
        <f>IF(ISBLANK(RawCurrent!AH16),"",-(RawCurrent!AH16/MIN(RawCurrent!AH$7:AH$28)))</f>
        <v>-1</v>
      </c>
      <c r="AI16">
        <f>IF(ISBLANK(RawCurrent!AI16),"",-(RawCurrent!AI16/MIN(RawCurrent!AI$7:AI$28)))</f>
        <v>-1</v>
      </c>
      <c r="AJ16">
        <f>IF(ISBLANK(RawCurrent!AJ16),"",-(RawCurrent!AJ16/MIN(RawCurrent!AJ$7:AJ$28)))</f>
        <v>-1</v>
      </c>
      <c r="AK16">
        <f>IF(ISBLANK(RawCurrent!AK16),"",-(RawCurrent!AK16/MIN(RawCurrent!AK$7:AK$28)))</f>
        <v>-0.96869803986986858</v>
      </c>
      <c r="AL16">
        <f>IF(ISBLANK(RawCurrent!AL16),"",-(RawCurrent!AL16/MIN(RawCurrent!AL$7:AL$28)))</f>
        <v>-1</v>
      </c>
      <c r="AM16">
        <f>IF(ISBLANK(RawCurrent!AM16),"",-(RawCurrent!AM16/MIN(RawCurrent!AM$7:AM$28)))</f>
        <v>-1</v>
      </c>
      <c r="AN16">
        <f>IF(ISBLANK(RawCurrent!AN16),"",-(RawCurrent!AN16/MIN(RawCurrent!AN$7:AN$28)))</f>
        <v>-0.92716549920578806</v>
      </c>
      <c r="AO16">
        <f>IF(ISBLANK(RawCurrent!AO16),"",-(RawCurrent!AO16/MIN(RawCurrent!AO$7:AO$28)))</f>
        <v>-1</v>
      </c>
      <c r="AP16">
        <f>IF(ISBLANK(RawCurrent!AP16),"",-(RawCurrent!AP16/MIN(RawCurrent!AP$7:AP$28)))</f>
        <v>-1</v>
      </c>
      <c r="AQ16">
        <f>IF(ISBLANK(RawCurrent!AQ16),"",-(RawCurrent!AQ16/MIN(RawCurrent!AQ$7:AQ$28)))</f>
        <v>-1</v>
      </c>
      <c r="AR16">
        <f>IF(ISBLANK(RawCurrent!AR16),"",-(RawCurrent!AR16/MIN(RawCurrent!AR$7:AR$28)))</f>
        <v>-1</v>
      </c>
      <c r="AS16">
        <f>IF(ISBLANK(RawCurrent!AS16),"",-(RawCurrent!AS16/MIN(RawCurrent!AS$7:AS$28)))</f>
        <v>-1</v>
      </c>
      <c r="AT16">
        <f>IF(ISBLANK(RawCurrent!AT16),"",-(RawCurrent!AT16/MIN(RawCurrent!AT$7:AT$28)))</f>
        <v>-1</v>
      </c>
      <c r="AU16">
        <f>IF(ISBLANK(RawCurrent!AU16),"",-(RawCurrent!AU16/MIN(RawCurrent!AU$7:AU$28)))</f>
        <v>-1</v>
      </c>
      <c r="AV16">
        <f>IF(ISBLANK(RawCurrent!AV16),"",-(RawCurrent!AV16/MIN(RawCurrent!AV$7:AV$28)))</f>
        <v>-0.97093230723293011</v>
      </c>
      <c r="AW16">
        <f>IF(ISBLANK(RawCurrent!AW16),"",-(RawCurrent!AW16/MIN(RawCurrent!AW$7:AW$28)))</f>
        <v>-1</v>
      </c>
      <c r="AX16">
        <f>IF(ISBLANK(RawCurrent!AX16),"",-(RawCurrent!AX16/MIN(RawCurrent!AX$7:AX$28)))</f>
        <v>-0.99658538801348562</v>
      </c>
      <c r="AY16">
        <f>IF(ISBLANK(RawCurrent!AY16),"",-(RawCurrent!AY16/MIN(RawCurrent!AY$7:AY$28)))</f>
        <v>-0.95605974579870223</v>
      </c>
      <c r="AZ16">
        <f>IF(ISBLANK(RawCurrent!AZ16),"",-(RawCurrent!AZ16/MIN(RawCurrent!AZ$7:AZ$28)))</f>
        <v>-1</v>
      </c>
      <c r="BA16">
        <f>IF(ISBLANK(RawCurrent!BA16),"",-(RawCurrent!BA16/MIN(RawCurrent!BA$7:BA$28)))</f>
        <v>-1</v>
      </c>
      <c r="BB16">
        <f>IF(ISBLANK(RawCurrent!BB16),"",-(RawCurrent!BB16/MIN(RawCurrent!BB$7:BB$28)))</f>
        <v>-1</v>
      </c>
      <c r="BC16">
        <f>IF(ISBLANK(RawCurrent!BC16),"",-(RawCurrent!BC16/MIN(RawCurrent!BC$7:BC$28)))</f>
        <v>-1</v>
      </c>
      <c r="BD16">
        <f>IF(ISBLANK(RawCurrent!BD16),"",-(RawCurrent!BD16/MIN(RawCurrent!BD$7:BD$28)))</f>
        <v>-1</v>
      </c>
      <c r="BE16">
        <f>IF(ISBLANK(RawCurrent!BE16),"",-(RawCurrent!BE16/MIN(RawCurrent!BE$7:BE$28)))</f>
        <v>-1</v>
      </c>
      <c r="BF16">
        <f>IF(ISBLANK(RawCurrent!BF16),"",-(RawCurrent!BF16/MIN(RawCurrent!BF$7:BF$28)))</f>
        <v>-0.98735504201183732</v>
      </c>
      <c r="BG16">
        <f>IF(ISBLANK(RawCurrent!BG16),"",-(RawCurrent!BG16/MIN(RawCurrent!BG$7:BG$28)))</f>
        <v>-0.94006821234356797</v>
      </c>
      <c r="BH16">
        <f>IF(ISBLANK(RawCurrent!BH16),"",-(RawCurrent!BH16/MIN(RawCurrent!BH$7:BH$28)))</f>
        <v>-1</v>
      </c>
      <c r="BI16">
        <f>IF(ISBLANK(RawCurrent!BI16),"",-(RawCurrent!BI16/MIN(RawCurrent!BI$7:BI$28)))</f>
        <v>-1</v>
      </c>
      <c r="BJ16">
        <f>IF(ISBLANK(RawCurrent!BJ16),"",-(RawCurrent!BJ16/MIN(RawCurrent!BJ$7:BJ$28)))</f>
        <v>-1</v>
      </c>
      <c r="BK16">
        <f>IF(ISBLANK(RawCurrent!BK16),"",-(RawCurrent!BK16/MIN(RawCurrent!BK$7:BK$28)))</f>
        <v>-1</v>
      </c>
      <c r="BL16">
        <f>IF(ISBLANK(RawCurrent!BL16),"",-(RawCurrent!BL16/MIN(RawCurrent!BL$7:BL$28)))</f>
        <v>-1</v>
      </c>
      <c r="BM16">
        <f>IF(ISBLANK(RawCurrent!BM16),"",-(RawCurrent!BM16/MIN(RawCurrent!BM$7:BM$28)))</f>
        <v>-0.96713712653109429</v>
      </c>
      <c r="BN16">
        <f>IF(ISBLANK(RawCurrent!BN16),"",-(RawCurrent!BN16/MIN(RawCurrent!BN$7:BN$28)))</f>
        <v>-1</v>
      </c>
      <c r="BO16">
        <f>IF(ISBLANK(RawCurrent!BO16),"",-(RawCurrent!BO16/MIN(RawCurrent!BO$7:BO$28)))</f>
        <v>-0.97773779231808478</v>
      </c>
      <c r="BP16">
        <f>IF(ISBLANK(RawCurrent!BP16),"",-(RawCurrent!BP16/MIN(RawCurrent!BP$7:BP$28)))</f>
        <v>-1</v>
      </c>
      <c r="BQ16">
        <f>IF(ISBLANK(RawCurrent!BQ16),"",-(RawCurrent!BQ16/MIN(RawCurrent!BQ$7:BQ$28)))</f>
        <v>-1</v>
      </c>
      <c r="BR16">
        <f>IF(ISBLANK(RawCurrent!BR16),"",-(RawCurrent!BR16/MIN(RawCurrent!BR$7:BR$28)))</f>
        <v>-1</v>
      </c>
      <c r="BS16">
        <f>IF(ISBLANK(RawCurrent!BS16),"",-(RawCurrent!BS16/MIN(RawCurrent!BS$7:BS$28)))</f>
        <v>-0.94885024729351597</v>
      </c>
      <c r="BT16">
        <f>IF(ISBLANK(RawCurrent!BT16),"",-(RawCurrent!BT16/MIN(RawCurrent!BT$7:BT$28)))</f>
        <v>-1</v>
      </c>
      <c r="BU16">
        <f>IF(ISBLANK(RawCurrent!BU16),"",-(RawCurrent!BU16/MIN(RawCurrent!BU$7:BU$28)))</f>
        <v>-1</v>
      </c>
      <c r="BV16">
        <f>IF(ISBLANK(RawCurrent!BV16),"",-(RawCurrent!BV16/MIN(RawCurrent!BV$7:BV$28)))</f>
        <v>-1</v>
      </c>
      <c r="BW16">
        <f>IF(ISBLANK(RawCurrent!BW16),"",-(RawCurrent!BW16/MIN(RawCurrent!BW$7:BW$28)))</f>
        <v>-0.94941811428639311</v>
      </c>
      <c r="BX16">
        <f>IF(ISBLANK(RawCurrent!BX16),"",-(RawCurrent!BX16/MIN(RawCurrent!BX$7:BX$28)))</f>
        <v>-1</v>
      </c>
      <c r="BY16">
        <f>IF(ISBLANK(RawCurrent!BY16),"",-(RawCurrent!BY16/MIN(RawCurrent!BY$7:BY$28)))</f>
        <v>-1</v>
      </c>
      <c r="BZ16">
        <f>IF(ISBLANK(RawCurrent!BZ16),"",-(RawCurrent!BZ16/MIN(RawCurrent!BZ$7:BZ$28)))</f>
        <v>-1</v>
      </c>
      <c r="CA16">
        <f>IF(ISBLANK(RawCurrent!CA16),"",-(RawCurrent!CA16/MIN(RawCurrent!CA$7:CA$28)))</f>
        <v>-1</v>
      </c>
      <c r="CB16">
        <f>IF(ISBLANK(RawCurrent!CB16),"",-(RawCurrent!CB16/MIN(RawCurrent!CB$7:CB$28)))</f>
        <v>-1</v>
      </c>
      <c r="CC16">
        <f>IF(ISBLANK(RawCurrent!CC16),"",-(RawCurrent!CC16/MIN(RawCurrent!CC$7:CC$28)))</f>
        <v>-0.97153767204104158</v>
      </c>
      <c r="CD16">
        <f>IF(ISBLANK(RawCurrent!CD16),"",-(RawCurrent!CD16/MIN(RawCurrent!CD$7:CD$28)))</f>
        <v>-1</v>
      </c>
    </row>
    <row r="17" spans="1:82" x14ac:dyDescent="0.2">
      <c r="A17" s="3">
        <f t="shared" si="0"/>
        <v>20</v>
      </c>
      <c r="B17">
        <f>IF(ISBLANK(RawCurrent!B17),"",-(RawCurrent!B17/MIN(RawCurrent!B$7:B$28)))</f>
        <v>-0.92989244350659295</v>
      </c>
      <c r="C17">
        <f>IF(ISBLANK(RawCurrent!C17),"",-(RawCurrent!C17/MIN(RawCurrent!C$7:C$28)))</f>
        <v>-0.78773152985682438</v>
      </c>
      <c r="D17">
        <f>IF(ISBLANK(RawCurrent!D17),"",-(RawCurrent!D17/MIN(RawCurrent!D$7:D$28)))</f>
        <v>-0.89342522344949216</v>
      </c>
      <c r="E17">
        <f>IF(ISBLANK(RawCurrent!E17),"",-(RawCurrent!E17/MIN(RawCurrent!E$7:E$28)))</f>
        <v>-0.79820999514418078</v>
      </c>
      <c r="F17">
        <f>IF(ISBLANK(RawCurrent!F17),"",-(RawCurrent!F17/MIN(RawCurrent!F$7:F$28)))</f>
        <v>-0.92501309598045101</v>
      </c>
      <c r="G17">
        <f>IF(ISBLANK(RawCurrent!G17),"",-(RawCurrent!G17/MIN(RawCurrent!G$7:G$28)))</f>
        <v>-0.68295244961830748</v>
      </c>
      <c r="H17">
        <f>IF(ISBLANK(RawCurrent!H17),"",-(RawCurrent!H17/MIN(RawCurrent!H$7:H$28)))</f>
        <v>-0.96789002319174211</v>
      </c>
      <c r="I17">
        <f>IF(ISBLANK(RawCurrent!I17),"",-(RawCurrent!I17/MIN(RawCurrent!I$7:I$28)))</f>
        <v>-0.70235556529985077</v>
      </c>
      <c r="J17">
        <f>IF(ISBLANK(RawCurrent!J17),"",-(RawCurrent!J17/MIN(RawCurrent!J$7:J$28)))</f>
        <v>-0.79288691444558956</v>
      </c>
      <c r="K17">
        <f>IF(ISBLANK(RawCurrent!K17),"",-(RawCurrent!K17/MIN(RawCurrent!K$7:K$28)))</f>
        <v>-0.90589955696528623</v>
      </c>
      <c r="L17">
        <f>IF(ISBLANK(RawCurrent!L17),"",-(RawCurrent!L17/MIN(RawCurrent!L$7:L$28)))</f>
        <v>-0.84778534353294932</v>
      </c>
      <c r="M17">
        <f>IF(ISBLANK(RawCurrent!M17),"",-(RawCurrent!M17/MIN(RawCurrent!M$7:M$28)))</f>
        <v>-0.79075969910558874</v>
      </c>
      <c r="N17">
        <f>IF(ISBLANK(RawCurrent!N17),"",-(RawCurrent!N17/MIN(RawCurrent!N$7:N$28)))</f>
        <v>-0.77925159188474735</v>
      </c>
      <c r="O17">
        <f>IF(ISBLANK(RawCurrent!O17),"",-(RawCurrent!O17/MIN(RawCurrent!O$7:O$28)))</f>
        <v>-0.78026732982511515</v>
      </c>
      <c r="P17">
        <f>IF(ISBLANK(RawCurrent!P17),"",-(RawCurrent!P17/MIN(RawCurrent!P$7:P$28)))</f>
        <v>-0.94241177986962188</v>
      </c>
      <c r="Q17">
        <f>IF(ISBLANK(RawCurrent!Q17),"",-(RawCurrent!Q17/MIN(RawCurrent!Q$7:Q$28)))</f>
        <v>-0.91601331172101996</v>
      </c>
      <c r="R17">
        <f>IF(ISBLANK(RawCurrent!R17),"",-(RawCurrent!R17/MIN(RawCurrent!R$7:R$28)))</f>
        <v>-1</v>
      </c>
      <c r="S17">
        <f>IF(ISBLANK(RawCurrent!S17),"",-(RawCurrent!S17/MIN(RawCurrent!S$7:S$28)))</f>
        <v>-0.78203598021426501</v>
      </c>
      <c r="T17">
        <f>IF(ISBLANK(RawCurrent!T17),"",-(RawCurrent!T17/MIN(RawCurrent!T$7:T$28)))</f>
        <v>-0.7476547348334438</v>
      </c>
      <c r="U17">
        <f>IF(ISBLANK(RawCurrent!U17),"",-(RawCurrent!U17/MIN(RawCurrent!U$7:U$28)))</f>
        <v>-0.77005812615902192</v>
      </c>
      <c r="V17">
        <f>IF(ISBLANK(RawCurrent!V17),"",-(RawCurrent!V17/MIN(RawCurrent!V$7:V$28)))</f>
        <v>-0.9049738827476792</v>
      </c>
      <c r="W17">
        <f>IF(ISBLANK(RawCurrent!W17),"",-(RawCurrent!W17/MIN(RawCurrent!W$7:W$28)))</f>
        <v>-0.76021357221458186</v>
      </c>
      <c r="X17">
        <f>IF(ISBLANK(RawCurrent!X17),"",-(RawCurrent!X17/MIN(RawCurrent!X$7:X$28)))</f>
        <v>-0.85182087587279953</v>
      </c>
      <c r="Y17">
        <f>IF(ISBLANK(RawCurrent!Y17),"",-(RawCurrent!Y17/MIN(RawCurrent!Y$7:Y$28)))</f>
        <v>-0.82118308849874544</v>
      </c>
      <c r="Z17">
        <f>IF(ISBLANK(RawCurrent!Z17),"",-(RawCurrent!Z17/MIN(RawCurrent!Z$7:Z$28)))</f>
        <v>-0.93506259710011863</v>
      </c>
      <c r="AA17">
        <f>IF(ISBLANK(RawCurrent!AA17),"",-(RawCurrent!AA17/MIN(RawCurrent!AA$7:AA$28)))</f>
        <v>-0.89942366157165954</v>
      </c>
      <c r="AB17">
        <f>IF(ISBLANK(RawCurrent!AB17),"",-(RawCurrent!AB17/MIN(RawCurrent!AB$7:AB$28)))</f>
        <v>-0.84849241866812075</v>
      </c>
      <c r="AC17">
        <f>IF(ISBLANK(RawCurrent!AC17),"",-(RawCurrent!AC17/MIN(RawCurrent!AC$7:AC$28)))</f>
        <v>-0.78816654334122205</v>
      </c>
      <c r="AD17">
        <f>IF(ISBLANK(RawCurrent!AD17),"",-(RawCurrent!AD17/MIN(RawCurrent!AD$7:AD$28)))</f>
        <v>-1</v>
      </c>
      <c r="AE17">
        <f>IF(ISBLANK(RawCurrent!AE17),"",-(RawCurrent!AE17/MIN(RawCurrent!AE$7:AE$28)))</f>
        <v>-1</v>
      </c>
      <c r="AF17">
        <f>IF(ISBLANK(RawCurrent!AF17),"",-(RawCurrent!AF17/MIN(RawCurrent!AF$7:AF$28)))</f>
        <v>-0.94145241050186601</v>
      </c>
      <c r="AG17">
        <f>IF(ISBLANK(RawCurrent!AG17),"",-(RawCurrent!AG17/MIN(RawCurrent!AG$7:AG$28)))</f>
        <v>-0.89724878688876164</v>
      </c>
      <c r="AH17">
        <f>IF(ISBLANK(RawCurrent!AH17),"",-(RawCurrent!AH17/MIN(RawCurrent!AH$7:AH$28)))</f>
        <v>-0.98051907329713783</v>
      </c>
      <c r="AI17">
        <f>IF(ISBLANK(RawCurrent!AI17),"",-(RawCurrent!AI17/MIN(RawCurrent!AI$7:AI$28)))</f>
        <v>-0.86592176850380875</v>
      </c>
      <c r="AJ17">
        <f>IF(ISBLANK(RawCurrent!AJ17),"",-(RawCurrent!AJ17/MIN(RawCurrent!AJ$7:AJ$28)))</f>
        <v>-0.89088847514020109</v>
      </c>
      <c r="AK17">
        <f>IF(ISBLANK(RawCurrent!AK17),"",-(RawCurrent!AK17/MIN(RawCurrent!AK$7:AK$28)))</f>
        <v>-0.84343843782946804</v>
      </c>
      <c r="AL17">
        <f>IF(ISBLANK(RawCurrent!AL17),"",-(RawCurrent!AL17/MIN(RawCurrent!AL$7:AL$28)))</f>
        <v>-0.9286081409196828</v>
      </c>
      <c r="AM17">
        <f>IF(ISBLANK(RawCurrent!AM17),"",-(RawCurrent!AM17/MIN(RawCurrent!AM$7:AM$28)))</f>
        <v>-0.97329054246761537</v>
      </c>
      <c r="AN17">
        <f>IF(ISBLANK(RawCurrent!AN17),"",-(RawCurrent!AN17/MIN(RawCurrent!AN$7:AN$28)))</f>
        <v>-1</v>
      </c>
      <c r="AO17">
        <f>IF(ISBLANK(RawCurrent!AO17),"",-(RawCurrent!AO17/MIN(RawCurrent!AO$7:AO$28)))</f>
        <v>-0.85059439144322679</v>
      </c>
      <c r="AP17">
        <f>IF(ISBLANK(RawCurrent!AP17),"",-(RawCurrent!AP17/MIN(RawCurrent!AP$7:AP$28)))</f>
        <v>-0.89862433373786721</v>
      </c>
      <c r="AQ17">
        <f>IF(ISBLANK(RawCurrent!AQ17),"",-(RawCurrent!AQ17/MIN(RawCurrent!AQ$7:AQ$28)))</f>
        <v>-0.9278581703471761</v>
      </c>
      <c r="AR17">
        <f>IF(ISBLANK(RawCurrent!AR17),"",-(RawCurrent!AR17/MIN(RawCurrent!AR$7:AR$28)))</f>
        <v>-0.86076690791972998</v>
      </c>
      <c r="AS17">
        <f>IF(ISBLANK(RawCurrent!AS17),"",-(RawCurrent!AS17/MIN(RawCurrent!AS$7:AS$28)))</f>
        <v>-0.9042322119832219</v>
      </c>
      <c r="AT17">
        <f>IF(ISBLANK(RawCurrent!AT17),"",-(RawCurrent!AT17/MIN(RawCurrent!AT$7:AT$28)))</f>
        <v>-0.90982371954892605</v>
      </c>
      <c r="AU17">
        <f>IF(ISBLANK(RawCurrent!AU17),"",-(RawCurrent!AU17/MIN(RawCurrent!AU$7:AU$28)))</f>
        <v>-0.83960334224496669</v>
      </c>
      <c r="AV17">
        <f>IF(ISBLANK(RawCurrent!AV17),"",-(RawCurrent!AV17/MIN(RawCurrent!AV$7:AV$28)))</f>
        <v>-1</v>
      </c>
      <c r="AW17">
        <f>IF(ISBLANK(RawCurrent!AW17),"",-(RawCurrent!AW17/MIN(RawCurrent!AW$7:AW$28)))</f>
        <v>-0.95440333686376666</v>
      </c>
      <c r="AX17">
        <f>IF(ISBLANK(RawCurrent!AX17),"",-(RawCurrent!AX17/MIN(RawCurrent!AX$7:AX$28)))</f>
        <v>-0.90434121241894228</v>
      </c>
      <c r="AY17">
        <f>IF(ISBLANK(RawCurrent!AY17),"",-(RawCurrent!AY17/MIN(RawCurrent!AY$7:AY$28)))</f>
        <v>-0.84684786717592131</v>
      </c>
      <c r="AZ17">
        <f>IF(ISBLANK(RawCurrent!AZ17),"",-(RawCurrent!AZ17/MIN(RawCurrent!AZ$7:AZ$28)))</f>
        <v>-0.97749577079991268</v>
      </c>
      <c r="BA17">
        <f>IF(ISBLANK(RawCurrent!BA17),"",-(RawCurrent!BA17/MIN(RawCurrent!BA$7:BA$28)))</f>
        <v>-0.96320917784917415</v>
      </c>
      <c r="BB17">
        <f>IF(ISBLANK(RawCurrent!BB17),"",-(RawCurrent!BB17/MIN(RawCurrent!BB$7:BB$28)))</f>
        <v>-0.93070270055990922</v>
      </c>
      <c r="BC17">
        <f>IF(ISBLANK(RawCurrent!BC17),"",-(RawCurrent!BC17/MIN(RawCurrent!BC$7:BC$28)))</f>
        <v>-0.85735391771496905</v>
      </c>
      <c r="BD17">
        <f>IF(ISBLANK(RawCurrent!BD17),"",-(RawCurrent!BD17/MIN(RawCurrent!BD$7:BD$28)))</f>
        <v>-0.9110064261071863</v>
      </c>
      <c r="BE17">
        <f>IF(ISBLANK(RawCurrent!BE17),"",-(RawCurrent!BE17/MIN(RawCurrent!BE$7:BE$28)))</f>
        <v>-0.91547382598421201</v>
      </c>
      <c r="BF17">
        <f>IF(ISBLANK(RawCurrent!BF17),"",-(RawCurrent!BF17/MIN(RawCurrent!BF$7:BF$28)))</f>
        <v>-1</v>
      </c>
      <c r="BG17">
        <f>IF(ISBLANK(RawCurrent!BG17),"",-(RawCurrent!BG17/MIN(RawCurrent!BG$7:BG$28)))</f>
        <v>-1</v>
      </c>
      <c r="BH17">
        <f>IF(ISBLANK(RawCurrent!BH17),"",-(RawCurrent!BH17/MIN(RawCurrent!BH$7:BH$28)))</f>
        <v>-0.83557110913415289</v>
      </c>
      <c r="BI17">
        <f>IF(ISBLANK(RawCurrent!BI17),"",-(RawCurrent!BI17/MIN(RawCurrent!BI$7:BI$28)))</f>
        <v>-0.91570332422619993</v>
      </c>
      <c r="BJ17">
        <f>IF(ISBLANK(RawCurrent!BJ17),"",-(RawCurrent!BJ17/MIN(RawCurrent!BJ$7:BJ$28)))</f>
        <v>-0.95916872303585787</v>
      </c>
      <c r="BK17">
        <f>IF(ISBLANK(RawCurrent!BK17),"",-(RawCurrent!BK17/MIN(RawCurrent!BK$7:BK$28)))</f>
        <v>-0.96006797431113711</v>
      </c>
      <c r="BL17">
        <f>IF(ISBLANK(RawCurrent!BL17),"",-(RawCurrent!BL17/MIN(RawCurrent!BL$7:BL$28)))</f>
        <v>-0.84527148055462786</v>
      </c>
      <c r="BM17">
        <f>IF(ISBLANK(RawCurrent!BM17),"",-(RawCurrent!BM17/MIN(RawCurrent!BM$7:BM$28)))</f>
        <v>-1</v>
      </c>
      <c r="BN17">
        <f>IF(ISBLANK(RawCurrent!BN17),"",-(RawCurrent!BN17/MIN(RawCurrent!BN$7:BN$28)))</f>
        <v>-0.83465674642704324</v>
      </c>
      <c r="BO17">
        <f>IF(ISBLANK(RawCurrent!BO17),"",-(RawCurrent!BO17/MIN(RawCurrent!BO$7:BO$28)))</f>
        <v>-0.72354076297699343</v>
      </c>
      <c r="BP17">
        <f>IF(ISBLANK(RawCurrent!BP17),"",-(RawCurrent!BP17/MIN(RawCurrent!BP$7:BP$28)))</f>
        <v>-0.87115630146925649</v>
      </c>
      <c r="BQ17">
        <f>IF(ISBLANK(RawCurrent!BQ17),"",-(RawCurrent!BQ17/MIN(RawCurrent!BQ$7:BQ$28)))</f>
        <v>-0.89591613152957139</v>
      </c>
      <c r="BR17">
        <f>IF(ISBLANK(RawCurrent!BR17),"",-(RawCurrent!BR17/MIN(RawCurrent!BR$7:BR$28)))</f>
        <v>-0.85935739999230121</v>
      </c>
      <c r="BS17">
        <f>IF(ISBLANK(RawCurrent!BS17),"",-(RawCurrent!BS17/MIN(RawCurrent!BS$7:BS$28)))</f>
        <v>-0.81344628547432518</v>
      </c>
      <c r="BT17">
        <f>IF(ISBLANK(RawCurrent!BT17),"",-(RawCurrent!BT17/MIN(RawCurrent!BT$7:BT$28)))</f>
        <v>-0.96024562304789407</v>
      </c>
      <c r="BU17">
        <f>IF(ISBLANK(RawCurrent!BU17),"",-(RawCurrent!BU17/MIN(RawCurrent!BU$7:BU$28)))</f>
        <v>-0.95139772078299578</v>
      </c>
      <c r="BV17">
        <f>IF(ISBLANK(RawCurrent!BV17),"",-(RawCurrent!BV17/MIN(RawCurrent!BV$7:BV$28)))</f>
        <v>-0.83172194793623522</v>
      </c>
      <c r="BW17">
        <f>IF(ISBLANK(RawCurrent!BW17),"",-(RawCurrent!BW17/MIN(RawCurrent!BW$7:BW$28)))</f>
        <v>-1</v>
      </c>
      <c r="BX17">
        <f>IF(ISBLANK(RawCurrent!BX17),"",-(RawCurrent!BX17/MIN(RawCurrent!BX$7:BX$28)))</f>
        <v>-0.87157645204491829</v>
      </c>
      <c r="BY17">
        <f>IF(ISBLANK(RawCurrent!BY17),"",-(RawCurrent!BY17/MIN(RawCurrent!BY$7:BY$28)))</f>
        <v>-0.80370048683036854</v>
      </c>
      <c r="BZ17">
        <f>IF(ISBLANK(RawCurrent!BZ17),"",-(RawCurrent!BZ17/MIN(RawCurrent!BZ$7:BZ$28)))</f>
        <v>-0.84280761682968153</v>
      </c>
      <c r="CA17">
        <f>IF(ISBLANK(RawCurrent!CA17),"",-(RawCurrent!CA17/MIN(RawCurrent!CA$7:CA$28)))</f>
        <v>-0.95357219189017861</v>
      </c>
      <c r="CB17">
        <f>IF(ISBLANK(RawCurrent!CB17),"",-(RawCurrent!CB17/MIN(RawCurrent!CB$7:CB$28)))</f>
        <v>-0.83757669757051123</v>
      </c>
      <c r="CC17">
        <f>IF(ISBLANK(RawCurrent!CC17),"",-(RawCurrent!CC17/MIN(RawCurrent!CC$7:CC$28)))</f>
        <v>-0.96960543744007377</v>
      </c>
      <c r="CD17">
        <f>IF(ISBLANK(RawCurrent!CD17),"",-(RawCurrent!CD17/MIN(RawCurrent!CD$7:CD$28)))</f>
        <v>-0.98818807400668052</v>
      </c>
    </row>
    <row r="18" spans="1:82" x14ac:dyDescent="0.2">
      <c r="A18" s="3">
        <f t="shared" si="0"/>
        <v>30</v>
      </c>
      <c r="B18">
        <f>IF(ISBLANK(RawCurrent!B18),"",-(RawCurrent!B18/MIN(RawCurrent!B$7:B$28)))</f>
        <v>-0.80192221302347522</v>
      </c>
      <c r="C18">
        <f>IF(ISBLANK(RawCurrent!C18),"",-(RawCurrent!C18/MIN(RawCurrent!C$7:C$28)))</f>
        <v>-0.64318436678315738</v>
      </c>
      <c r="D18">
        <f>IF(ISBLANK(RawCurrent!D18),"",-(RawCurrent!D18/MIN(RawCurrent!D$7:D$28)))</f>
        <v>-0.71771579147131204</v>
      </c>
      <c r="E18">
        <f>IF(ISBLANK(RawCurrent!E18),"",-(RawCurrent!E18/MIN(RawCurrent!E$7:E$28)))</f>
        <v>-0.61708633365143661</v>
      </c>
      <c r="F18">
        <f>IF(ISBLANK(RawCurrent!F18),"",-(RawCurrent!F18/MIN(RawCurrent!F$7:F$28)))</f>
        <v>-0.75565393969543138</v>
      </c>
      <c r="G18">
        <f>IF(ISBLANK(RawCurrent!G18),"",-(RawCurrent!G18/MIN(RawCurrent!G$7:G$28)))</f>
        <v>-0.55146813277418383</v>
      </c>
      <c r="H18">
        <f>IF(ISBLANK(RawCurrent!H18),"",-(RawCurrent!H18/MIN(RawCurrent!H$7:H$28)))</f>
        <v>-0.85400959382973307</v>
      </c>
      <c r="I18">
        <f>IF(ISBLANK(RawCurrent!I18),"",-(RawCurrent!I18/MIN(RawCurrent!I$7:I$28)))</f>
        <v>-0.56086032071062741</v>
      </c>
      <c r="J18">
        <f>IF(ISBLANK(RawCurrent!J18),"",-(RawCurrent!J18/MIN(RawCurrent!J$7:J$28)))</f>
        <v>-0.5224793466263008</v>
      </c>
      <c r="K18">
        <f>IF(ISBLANK(RawCurrent!K18),"",-(RawCurrent!K18/MIN(RawCurrent!K$7:K$28)))</f>
        <v>-0.76654551543441174</v>
      </c>
      <c r="L18">
        <f>IF(ISBLANK(RawCurrent!L18),"",-(RawCurrent!L18/MIN(RawCurrent!L$7:L$28)))</f>
        <v>-0.67476917550221494</v>
      </c>
      <c r="M18">
        <f>IF(ISBLANK(RawCurrent!M18),"",-(RawCurrent!M18/MIN(RawCurrent!M$7:M$28)))</f>
        <v>-0.65777769474169279</v>
      </c>
      <c r="N18">
        <f>IF(ISBLANK(RawCurrent!N18),"",-(RawCurrent!N18/MIN(RawCurrent!N$7:N$28)))</f>
        <v>-0.62950457290376105</v>
      </c>
      <c r="O18">
        <f>IF(ISBLANK(RawCurrent!O18),"",-(RawCurrent!O18/MIN(RawCurrent!O$7:O$28)))</f>
        <v>-0.59932297215958408</v>
      </c>
      <c r="P18">
        <f>IF(ISBLANK(RawCurrent!P18),"",-(RawCurrent!P18/MIN(RawCurrent!P$7:P$28)))</f>
        <v>-0.78896440537804002</v>
      </c>
      <c r="Q18">
        <f>IF(ISBLANK(RawCurrent!Q18),"",-(RawCurrent!Q18/MIN(RawCurrent!Q$7:Q$28)))</f>
        <v>-0.76707094331589376</v>
      </c>
      <c r="R18">
        <f>IF(ISBLANK(RawCurrent!R18),"",-(RawCurrent!R18/MIN(RawCurrent!R$7:R$28)))</f>
        <v>-0.75263803564742271</v>
      </c>
      <c r="S18">
        <f>IF(ISBLANK(RawCurrent!S18),"",-(RawCurrent!S18/MIN(RawCurrent!S$7:S$28)))</f>
        <v>-0.59640868944882974</v>
      </c>
      <c r="T18">
        <f>IF(ISBLANK(RawCurrent!T18),"",-(RawCurrent!T18/MIN(RawCurrent!T$7:T$28)))</f>
        <v>-0.55978955294814248</v>
      </c>
      <c r="U18">
        <f>IF(ISBLANK(RawCurrent!U18),"",-(RawCurrent!U18/MIN(RawCurrent!U$7:U$28)))</f>
        <v>-0.61669511096799112</v>
      </c>
      <c r="V18">
        <f>IF(ISBLANK(RawCurrent!V18),"",-(RawCurrent!V18/MIN(RawCurrent!V$7:V$28)))</f>
        <v>-0.75501491337223103</v>
      </c>
      <c r="W18">
        <f>IF(ISBLANK(RawCurrent!W18),"",-(RawCurrent!W18/MIN(RawCurrent!W$7:W$28)))</f>
        <v>-0.52897442765292013</v>
      </c>
      <c r="X18">
        <f>IF(ISBLANK(RawCurrent!X18),"",-(RawCurrent!X18/MIN(RawCurrent!X$7:X$28)))</f>
        <v>-0.69662611645436268</v>
      </c>
      <c r="Y18">
        <f>IF(ISBLANK(RawCurrent!Y18),"",-(RawCurrent!Y18/MIN(RawCurrent!Y$7:Y$28)))</f>
        <v>-0.65918351845216716</v>
      </c>
      <c r="Z18">
        <f>IF(ISBLANK(RawCurrent!Z18),"",-(RawCurrent!Z18/MIN(RawCurrent!Z$7:Z$28)))</f>
        <v>-0.74363392295751252</v>
      </c>
      <c r="AA18">
        <f>IF(ISBLANK(RawCurrent!AA18),"",-(RawCurrent!AA18/MIN(RawCurrent!AA$7:AA$28)))</f>
        <v>-0.71402271050576993</v>
      </c>
      <c r="AB18">
        <f>IF(ISBLANK(RawCurrent!AB18),"",-(RawCurrent!AB18/MIN(RawCurrent!AB$7:AB$28)))</f>
        <v>-0.66517858984692746</v>
      </c>
      <c r="AC18">
        <f>IF(ISBLANK(RawCurrent!AC18),"",-(RawCurrent!AC18/MIN(RawCurrent!AC$7:AC$28)))</f>
        <v>-0.64894289493058666</v>
      </c>
      <c r="AD18">
        <f>IF(ISBLANK(RawCurrent!AD18),"",-(RawCurrent!AD18/MIN(RawCurrent!AD$7:AD$28)))</f>
        <v>-0.92234500204941805</v>
      </c>
      <c r="AE18">
        <f>IF(ISBLANK(RawCurrent!AE18),"",-(RawCurrent!AE18/MIN(RawCurrent!AE$7:AE$28)))</f>
        <v>-0.88035745465239945</v>
      </c>
      <c r="AF18">
        <f>IF(ISBLANK(RawCurrent!AF18),"",-(RawCurrent!AF18/MIN(RawCurrent!AF$7:AF$28)))</f>
        <v>-0.79212519686983274</v>
      </c>
      <c r="AG18">
        <f>IF(ISBLANK(RawCurrent!AG18),"",-(RawCurrent!AG18/MIN(RawCurrent!AG$7:AG$28)))</f>
        <v>-0.72516855982684891</v>
      </c>
      <c r="AH18">
        <f>IF(ISBLANK(RawCurrent!AH18),"",-(RawCurrent!AH18/MIN(RawCurrent!AH$7:AH$28)))</f>
        <v>-0.75719566038883279</v>
      </c>
      <c r="AI18">
        <f>IF(ISBLANK(RawCurrent!AI18),"",-(RawCurrent!AI18/MIN(RawCurrent!AI$7:AI$28)))</f>
        <v>-0.66158874840782134</v>
      </c>
      <c r="AJ18">
        <f>IF(ISBLANK(RawCurrent!AJ18),"",-(RawCurrent!AJ18/MIN(RawCurrent!AJ$7:AJ$28)))</f>
        <v>-0.74353792393712936</v>
      </c>
      <c r="AK18">
        <f>IF(ISBLANK(RawCurrent!AK18),"",-(RawCurrent!AK18/MIN(RawCurrent!AK$7:AK$28)))</f>
        <v>-0.68086251465457159</v>
      </c>
      <c r="AL18">
        <f>IF(ISBLANK(RawCurrent!AL18),"",-(RawCurrent!AL18/MIN(RawCurrent!AL$7:AL$28)))</f>
        <v>-0.78864517776659726</v>
      </c>
      <c r="AM18">
        <f>IF(ISBLANK(RawCurrent!AM18),"",-(RawCurrent!AM18/MIN(RawCurrent!AM$7:AM$28)))</f>
        <v>-0.75909723956907504</v>
      </c>
      <c r="AN18" t="str">
        <f>IF(ISBLANK(RawCurrent!AN18),"",-(RawCurrent!AN18/MIN(RawCurrent!AN$7:AN$28)))</f>
        <v/>
      </c>
      <c r="AO18">
        <f>IF(ISBLANK(RawCurrent!AO18),"",-(RawCurrent!AO18/MIN(RawCurrent!AO$7:AO$28)))</f>
        <v>-0.68485844762439896</v>
      </c>
      <c r="AP18">
        <f>IF(ISBLANK(RawCurrent!AP18),"",-(RawCurrent!AP18/MIN(RawCurrent!AP$7:AP$28)))</f>
        <v>-0.70626094891599422</v>
      </c>
      <c r="AQ18">
        <f>IF(ISBLANK(RawCurrent!AQ18),"",-(RawCurrent!AQ18/MIN(RawCurrent!AQ$7:AQ$28)))</f>
        <v>-0.78485541343083043</v>
      </c>
      <c r="AR18">
        <f>IF(ISBLANK(RawCurrent!AR18),"",-(RawCurrent!AR18/MIN(RawCurrent!AR$7:AR$28)))</f>
        <v>-0.64139815062025329</v>
      </c>
      <c r="AS18">
        <f>IF(ISBLANK(RawCurrent!AS18),"",-(RawCurrent!AS18/MIN(RawCurrent!AS$7:AS$28)))</f>
        <v>-0.66057577386335076</v>
      </c>
      <c r="AT18">
        <f>IF(ISBLANK(RawCurrent!AT18),"",-(RawCurrent!AT18/MIN(RawCurrent!AT$7:AT$28)))</f>
        <v>-0.7835663149875699</v>
      </c>
      <c r="AU18">
        <f>IF(ISBLANK(RawCurrent!AU18),"",-(RawCurrent!AU18/MIN(RawCurrent!AU$7:AU$28)))</f>
        <v>-0.68387481380176085</v>
      </c>
      <c r="AV18">
        <f>IF(ISBLANK(RawCurrent!AV18),"",-(RawCurrent!AV18/MIN(RawCurrent!AV$7:AV$28)))</f>
        <v>-0.70686426698726668</v>
      </c>
      <c r="AW18">
        <f>IF(ISBLANK(RawCurrent!AW18),"",-(RawCurrent!AW18/MIN(RawCurrent!AW$7:AW$28)))</f>
        <v>-0.84614149678989548</v>
      </c>
      <c r="AX18">
        <f>IF(ISBLANK(RawCurrent!AX18),"",-(RawCurrent!AX18/MIN(RawCurrent!AX$7:AX$28)))</f>
        <v>-0.72635869757713278</v>
      </c>
      <c r="AY18">
        <f>IF(ISBLANK(RawCurrent!AY18),"",-(RawCurrent!AY18/MIN(RawCurrent!AY$7:AY$28)))</f>
        <v>-0.6571155648743835</v>
      </c>
      <c r="AZ18">
        <f>IF(ISBLANK(RawCurrent!AZ18),"",-(RawCurrent!AZ18/MIN(RawCurrent!AZ$7:AZ$28)))</f>
        <v>-0.8910322470782297</v>
      </c>
      <c r="BA18">
        <f>IF(ISBLANK(RawCurrent!BA18),"",-(RawCurrent!BA18/MIN(RawCurrent!BA$7:BA$28)))</f>
        <v>-0.84097562106339363</v>
      </c>
      <c r="BB18">
        <f>IF(ISBLANK(RawCurrent!BB18),"",-(RawCurrent!BB18/MIN(RawCurrent!BB$7:BB$28)))</f>
        <v>-0.77757519298162758</v>
      </c>
      <c r="BC18">
        <f>IF(ISBLANK(RawCurrent!BC18),"",-(RawCurrent!BC18/MIN(RawCurrent!BC$7:BC$28)))</f>
        <v>-0.62242837915806826</v>
      </c>
      <c r="BD18">
        <f>IF(ISBLANK(RawCurrent!BD18),"",-(RawCurrent!BD18/MIN(RawCurrent!BD$7:BD$28)))</f>
        <v>-0.73082528100478494</v>
      </c>
      <c r="BE18">
        <f>IF(ISBLANK(RawCurrent!BE18),"",-(RawCurrent!BE18/MIN(RawCurrent!BE$7:BE$28)))</f>
        <v>-0.74896388199605801</v>
      </c>
      <c r="BF18">
        <f>IF(ISBLANK(RawCurrent!BF18),"",-(RawCurrent!BF18/MIN(RawCurrent!BF$7:BF$28)))</f>
        <v>-0.7995526524972163</v>
      </c>
      <c r="BG18">
        <f>IF(ISBLANK(RawCurrent!BG18),"",-(RawCurrent!BG18/MIN(RawCurrent!BG$7:BG$28)))</f>
        <v>-0.85982596573300374</v>
      </c>
      <c r="BH18">
        <f>IF(ISBLANK(RawCurrent!BH18),"",-(RawCurrent!BH18/MIN(RawCurrent!BH$7:BH$28)))</f>
        <v>-0.6599991700704364</v>
      </c>
      <c r="BI18">
        <f>IF(ISBLANK(RawCurrent!BI18),"",-(RawCurrent!BI18/MIN(RawCurrent!BI$7:BI$28)))</f>
        <v>-0.76772122338925131</v>
      </c>
      <c r="BJ18">
        <f>IF(ISBLANK(RawCurrent!BJ18),"",-(RawCurrent!BJ18/MIN(RawCurrent!BJ$7:BJ$28)))</f>
        <v>-0.76581523212045832</v>
      </c>
      <c r="BK18">
        <f>IF(ISBLANK(RawCurrent!BK18),"",-(RawCurrent!BK18/MIN(RawCurrent!BK$7:BK$28)))</f>
        <v>-0.80543776223549601</v>
      </c>
      <c r="BL18">
        <f>IF(ISBLANK(RawCurrent!BL18),"",-(RawCurrent!BL18/MIN(RawCurrent!BL$7:BL$28)))</f>
        <v>-0.66374219864769202</v>
      </c>
      <c r="BM18">
        <f>IF(ISBLANK(RawCurrent!BM18),"",-(RawCurrent!BM18/MIN(RawCurrent!BM$7:BM$28)))</f>
        <v>-0.76462379748113829</v>
      </c>
      <c r="BN18">
        <f>IF(ISBLANK(RawCurrent!BN18),"",-(RawCurrent!BN18/MIN(RawCurrent!BN$7:BN$28)))</f>
        <v>-0.57235645399375823</v>
      </c>
      <c r="BO18">
        <f>IF(ISBLANK(RawCurrent!BO18),"",-(RawCurrent!BO18/MIN(RawCurrent!BO$7:BO$28)))</f>
        <v>-0.48324287375728819</v>
      </c>
      <c r="BP18">
        <f>IF(ISBLANK(RawCurrent!BP18),"",-(RawCurrent!BP18/MIN(RawCurrent!BP$7:BP$28)))</f>
        <v>-0.65007654522020075</v>
      </c>
      <c r="BQ18">
        <f>IF(ISBLANK(RawCurrent!BQ18),"",-(RawCurrent!BQ18/MIN(RawCurrent!BQ$7:BQ$28)))</f>
        <v>-0.76651777819509415</v>
      </c>
      <c r="BR18">
        <f>IF(ISBLANK(RawCurrent!BR18),"",-(RawCurrent!BR18/MIN(RawCurrent!BR$7:BR$28)))</f>
        <v>-0.6226168188835296</v>
      </c>
      <c r="BS18">
        <f>IF(ISBLANK(RawCurrent!BS18),"",-(RawCurrent!BS18/MIN(RawCurrent!BS$7:BS$28)))</f>
        <v>-0.62714761327966584</v>
      </c>
      <c r="BT18">
        <f>IF(ISBLANK(RawCurrent!BT18),"",-(RawCurrent!BT18/MIN(RawCurrent!BT$7:BT$28)))</f>
        <v>-0.76597211879959359</v>
      </c>
      <c r="BU18">
        <f>IF(ISBLANK(RawCurrent!BU18),"",-(RawCurrent!BU18/MIN(RawCurrent!BU$7:BU$28)))</f>
        <v>-0.8415910003216589</v>
      </c>
      <c r="BV18">
        <f>IF(ISBLANK(RawCurrent!BV18),"",-(RawCurrent!BV18/MIN(RawCurrent!BV$7:BV$28)))</f>
        <v>-0.65146399518276721</v>
      </c>
      <c r="BW18">
        <f>IF(ISBLANK(RawCurrent!BW18),"",-(RawCurrent!BW18/MIN(RawCurrent!BW$7:BW$28)))</f>
        <v>-0.96352265572718609</v>
      </c>
      <c r="BX18">
        <f>IF(ISBLANK(RawCurrent!BX18),"",-(RawCurrent!BX18/MIN(RawCurrent!BX$7:BX$28)))</f>
        <v>-0.69558907203242915</v>
      </c>
      <c r="BY18" t="str">
        <f>IF(ISBLANK(RawCurrent!BY18),"",-(RawCurrent!BY18/MIN(RawCurrent!BY$7:BY$28)))</f>
        <v/>
      </c>
      <c r="BZ18">
        <f>IF(ISBLANK(RawCurrent!BZ18),"",-(RawCurrent!BZ18/MIN(RawCurrent!BZ$7:BZ$28)))</f>
        <v>-0.63252397187834886</v>
      </c>
      <c r="CA18">
        <f>IF(ISBLANK(RawCurrent!CA18),"",-(RawCurrent!CA18/MIN(RawCurrent!CA$7:CA$28)))</f>
        <v>-0.70945872023809187</v>
      </c>
      <c r="CB18">
        <f>IF(ISBLANK(RawCurrent!CB18),"",-(RawCurrent!CB18/MIN(RawCurrent!CB$7:CB$28)))</f>
        <v>-0.71008186211955571</v>
      </c>
      <c r="CC18">
        <f>IF(ISBLANK(RawCurrent!CC18),"",-(RawCurrent!CC18/MIN(RawCurrent!CC$7:CC$28)))</f>
        <v>-1</v>
      </c>
      <c r="CD18">
        <f>IF(ISBLANK(RawCurrent!CD18),"",-(RawCurrent!CD18/MIN(RawCurrent!CD$7:CD$28)))</f>
        <v>-0.79774349943767253</v>
      </c>
    </row>
    <row r="19" spans="1:82" x14ac:dyDescent="0.2">
      <c r="A19" s="3">
        <f t="shared" si="0"/>
        <v>40</v>
      </c>
      <c r="B19">
        <f>IF(ISBLANK(RawCurrent!B19),"",-(RawCurrent!B19/MIN(RawCurrent!B$7:B$28)))</f>
        <v>-0.65655829548173228</v>
      </c>
      <c r="C19">
        <f>IF(ISBLANK(RawCurrent!C19),"",-(RawCurrent!C19/MIN(RawCurrent!C$7:C$28)))</f>
        <v>-0.47431939143437662</v>
      </c>
      <c r="D19">
        <f>IF(ISBLANK(RawCurrent!D19),"",-(RawCurrent!D19/MIN(RawCurrent!D$7:D$28)))</f>
        <v>-0.50517786354679528</v>
      </c>
      <c r="E19">
        <f>IF(ISBLANK(RawCurrent!E19),"",-(RawCurrent!E19/MIN(RawCurrent!E$7:E$28)))</f>
        <v>-0.42222851506335146</v>
      </c>
      <c r="F19">
        <f>IF(ISBLANK(RawCurrent!F19),"",-(RawCurrent!F19/MIN(RawCurrent!F$7:F$28)))</f>
        <v>-0.53365251394053759</v>
      </c>
      <c r="G19">
        <f>IF(ISBLANK(RawCurrent!G19),"",-(RawCurrent!G19/MIN(RawCurrent!G$7:G$28)))</f>
        <v>-0.43347315121604202</v>
      </c>
      <c r="H19">
        <f>IF(ISBLANK(RawCurrent!H19),"",-(RawCurrent!H19/MIN(RawCurrent!H$7:H$28)))</f>
        <v>-0.70682135093129861</v>
      </c>
      <c r="I19">
        <f>IF(ISBLANK(RawCurrent!I19),"",-(RawCurrent!I19/MIN(RawCurrent!I$7:I$28)))</f>
        <v>-0.42298273737691788</v>
      </c>
      <c r="J19">
        <f>IF(ISBLANK(RawCurrent!J19),"",-(RawCurrent!J19/MIN(RawCurrent!J$7:J$28)))</f>
        <v>-0.389488228130702</v>
      </c>
      <c r="K19">
        <f>IF(ISBLANK(RawCurrent!K19),"",-(RawCurrent!K19/MIN(RawCurrent!K$7:K$28)))</f>
        <v>-0.60894927425964829</v>
      </c>
      <c r="L19">
        <f>IF(ISBLANK(RawCurrent!L19),"",-(RawCurrent!L19/MIN(RawCurrent!L$7:L$28)))</f>
        <v>-0.45251824987520051</v>
      </c>
      <c r="M19">
        <f>IF(ISBLANK(RawCurrent!M19),"",-(RawCurrent!M19/MIN(RawCurrent!M$7:M$28)))</f>
        <v>-0.52147606077341269</v>
      </c>
      <c r="N19">
        <f>IF(ISBLANK(RawCurrent!N19),"",-(RawCurrent!N19/MIN(RawCurrent!N$7:N$28)))</f>
        <v>-0.47513122488232451</v>
      </c>
      <c r="O19">
        <f>IF(ISBLANK(RawCurrent!O19),"",-(RawCurrent!O19/MIN(RawCurrent!O$7:O$28)))</f>
        <v>-0.42106080642023691</v>
      </c>
      <c r="P19">
        <f>IF(ISBLANK(RawCurrent!P19),"",-(RawCurrent!P19/MIN(RawCurrent!P$7:P$28)))</f>
        <v>-0.58806628081433121</v>
      </c>
      <c r="Q19">
        <f>IF(ISBLANK(RawCurrent!Q19),"",-(RawCurrent!Q19/MIN(RawCurrent!Q$7:Q$28)))</f>
        <v>-0.56097715713820273</v>
      </c>
      <c r="R19">
        <f>IF(ISBLANK(RawCurrent!R19),"",-(RawCurrent!R19/MIN(RawCurrent!R$7:R$28)))</f>
        <v>-0.5331106631098308</v>
      </c>
      <c r="S19">
        <f>IF(ISBLANK(RawCurrent!S19),"",-(RawCurrent!S19/MIN(RawCurrent!S$7:S$28)))</f>
        <v>-0.38740699589809774</v>
      </c>
      <c r="T19">
        <f>IF(ISBLANK(RawCurrent!T19),"",-(RawCurrent!T19/MIN(RawCurrent!T$7:T$28)))</f>
        <v>-0.3687772771126645</v>
      </c>
      <c r="U19">
        <f>IF(ISBLANK(RawCurrent!U19),"",-(RawCurrent!U19/MIN(RawCurrent!U$7:U$28)))</f>
        <v>-0.42226049210979011</v>
      </c>
      <c r="V19">
        <f>IF(ISBLANK(RawCurrent!V19),"",-(RawCurrent!V19/MIN(RawCurrent!V$7:V$28)))</f>
        <v>-0.55104507630666222</v>
      </c>
      <c r="W19">
        <f>IF(ISBLANK(RawCurrent!W19),"",-(RawCurrent!W19/MIN(RawCurrent!W$7:W$28)))</f>
        <v>-0.30921589742543454</v>
      </c>
      <c r="X19">
        <f>IF(ISBLANK(RawCurrent!X19),"",-(RawCurrent!X19/MIN(RawCurrent!X$7:X$28)))</f>
        <v>-0.49874369723549139</v>
      </c>
      <c r="Y19">
        <f>IF(ISBLANK(RawCurrent!Y19),"",-(RawCurrent!Y19/MIN(RawCurrent!Y$7:Y$28)))</f>
        <v>-0.47651114295951247</v>
      </c>
      <c r="Z19">
        <f>IF(ISBLANK(RawCurrent!Z19),"",-(RawCurrent!Z19/MIN(RawCurrent!Z$7:Z$28)))</f>
        <v>-0.55330012437392073</v>
      </c>
      <c r="AA19">
        <f>IF(ISBLANK(RawCurrent!AA19),"",-(RawCurrent!AA19/MIN(RawCurrent!AA$7:AA$28)))</f>
        <v>-0.53369825772083579</v>
      </c>
      <c r="AB19">
        <f>IF(ISBLANK(RawCurrent!AB19),"",-(RawCurrent!AB19/MIN(RawCurrent!AB$7:AB$28)))</f>
        <v>-0.48070703582860635</v>
      </c>
      <c r="AC19">
        <f>IF(ISBLANK(RawCurrent!AC19),"",-(RawCurrent!AC19/MIN(RawCurrent!AC$7:AC$28)))</f>
        <v>-0.4844404570163009</v>
      </c>
      <c r="AD19">
        <f>IF(ISBLANK(RawCurrent!AD19),"",-(RawCurrent!AD19/MIN(RawCurrent!AD$7:AD$28)))</f>
        <v>-0.75966566864048213</v>
      </c>
      <c r="AE19">
        <f>IF(ISBLANK(RawCurrent!AE19),"",-(RawCurrent!AE19/MIN(RawCurrent!AE$7:AE$28)))</f>
        <v>-0.64896772116869816</v>
      </c>
      <c r="AF19">
        <f>IF(ISBLANK(RawCurrent!AF19),"",-(RawCurrent!AF19/MIN(RawCurrent!AF$7:AF$28)))</f>
        <v>-0.57945238346226757</v>
      </c>
      <c r="AG19">
        <f>IF(ISBLANK(RawCurrent!AG19),"",-(RawCurrent!AG19/MIN(RawCurrent!AG$7:AG$28)))</f>
        <v>-0.50721126653756965</v>
      </c>
      <c r="AH19">
        <f>IF(ISBLANK(RawCurrent!AH19),"",-(RawCurrent!AH19/MIN(RawCurrent!AH$7:AH$28)))</f>
        <v>-0.49633076466145332</v>
      </c>
      <c r="AI19">
        <f>IF(ISBLANK(RawCurrent!AI19),"",-(RawCurrent!AI19/MIN(RawCurrent!AI$7:AI$28)))</f>
        <v>-0.43877915754446717</v>
      </c>
      <c r="AJ19">
        <f>IF(ISBLANK(RawCurrent!AJ19),"",-(RawCurrent!AJ19/MIN(RawCurrent!AJ$7:AJ$28)))</f>
        <v>-0.56760503053427047</v>
      </c>
      <c r="AK19">
        <f>IF(ISBLANK(RawCurrent!AK19),"",-(RawCurrent!AK19/MIN(RawCurrent!AK$7:AK$28)))</f>
        <v>-0.53320701338454535</v>
      </c>
      <c r="AL19">
        <f>IF(ISBLANK(RawCurrent!AL19),"",-(RawCurrent!AL19/MIN(RawCurrent!AL$7:AL$28)))</f>
        <v>-0.56884180607886725</v>
      </c>
      <c r="AM19">
        <f>IF(ISBLANK(RawCurrent!AM19),"",-(RawCurrent!AM19/MIN(RawCurrent!AM$7:AM$28)))</f>
        <v>-0.58262449678695205</v>
      </c>
      <c r="AN19" t="str">
        <f>IF(ISBLANK(RawCurrent!AN19),"",-(RawCurrent!AN19/MIN(RawCurrent!AN$7:AN$28)))</f>
        <v/>
      </c>
      <c r="AO19">
        <f>IF(ISBLANK(RawCurrent!AO19),"",-(RawCurrent!AO19/MIN(RawCurrent!AO$7:AO$28)))</f>
        <v>-0.50340961117844629</v>
      </c>
      <c r="AP19">
        <f>IF(ISBLANK(RawCurrent!AP19),"",-(RawCurrent!AP19/MIN(RawCurrent!AP$7:AP$28)))</f>
        <v>-0.45437949758953944</v>
      </c>
      <c r="AQ19">
        <f>IF(ISBLANK(RawCurrent!AQ19),"",-(RawCurrent!AQ19/MIN(RawCurrent!AQ$7:AQ$28)))</f>
        <v>-0.57302705183234381</v>
      </c>
      <c r="AR19">
        <f>IF(ISBLANK(RawCurrent!AR19),"",-(RawCurrent!AR19/MIN(RawCurrent!AR$7:AR$28)))</f>
        <v>-0.40215973426336743</v>
      </c>
      <c r="AS19">
        <f>IF(ISBLANK(RawCurrent!AS19),"",-(RawCurrent!AS19/MIN(RawCurrent!AS$7:AS$28)))</f>
        <v>-0.52025803260617942</v>
      </c>
      <c r="AT19">
        <f>IF(ISBLANK(RawCurrent!AT19),"",-(RawCurrent!AT19/MIN(RawCurrent!AT$7:AT$28)))</f>
        <v>-0.56540749296532811</v>
      </c>
      <c r="AU19">
        <f>IF(ISBLANK(RawCurrent!AU19),"",-(RawCurrent!AU19/MIN(RawCurrent!AU$7:AU$28)))</f>
        <v>-0.51369706367857326</v>
      </c>
      <c r="AV19">
        <f>IF(ISBLANK(RawCurrent!AV19),"",-(RawCurrent!AV19/MIN(RawCurrent!AV$7:AV$28)))</f>
        <v>-0.40532208916551321</v>
      </c>
      <c r="AW19">
        <f>IF(ISBLANK(RawCurrent!AW19),"",-(RawCurrent!AW19/MIN(RawCurrent!AW$7:AW$28)))</f>
        <v>-0.65149065809022588</v>
      </c>
      <c r="AX19">
        <f>IF(ISBLANK(RawCurrent!AX19),"",-(RawCurrent!AX19/MIN(RawCurrent!AX$7:AX$28)))</f>
        <v>-0.54866038170788267</v>
      </c>
      <c r="AY19">
        <f>IF(ISBLANK(RawCurrent!AY19),"",-(RawCurrent!AY19/MIN(RawCurrent!AY$7:AY$28)))</f>
        <v>-0.46852541491379912</v>
      </c>
      <c r="AZ19">
        <f>IF(ISBLANK(RawCurrent!AZ19),"",-(RawCurrent!AZ19/MIN(RawCurrent!AZ$7:AZ$28)))</f>
        <v>-0.70206943317015746</v>
      </c>
      <c r="BA19">
        <f>IF(ISBLANK(RawCurrent!BA19),"",-(RawCurrent!BA19/MIN(RawCurrent!BA$7:BA$28)))</f>
        <v>-0.64999037805184801</v>
      </c>
      <c r="BB19">
        <f>IF(ISBLANK(RawCurrent!BB19),"",-(RawCurrent!BB19/MIN(RawCurrent!BB$7:BB$28)))</f>
        <v>-0.68904622671608606</v>
      </c>
      <c r="BC19">
        <f>IF(ISBLANK(RawCurrent!BC19),"",-(RawCurrent!BC19/MIN(RawCurrent!BC$7:BC$28)))</f>
        <v>-0.39306271461775405</v>
      </c>
      <c r="BD19">
        <f>IF(ISBLANK(RawCurrent!BD19),"",-(RawCurrent!BD19/MIN(RawCurrent!BD$7:BD$28)))</f>
        <v>-0.4578795797418227</v>
      </c>
      <c r="BE19">
        <f>IF(ISBLANK(RawCurrent!BE19),"",-(RawCurrent!BE19/MIN(RawCurrent!BE$7:BE$28)))</f>
        <v>-0.56512603699216613</v>
      </c>
      <c r="BF19">
        <f>IF(ISBLANK(RawCurrent!BF19),"",-(RawCurrent!BF19/MIN(RawCurrent!BF$7:BF$28)))</f>
        <v>-0.63137647962347399</v>
      </c>
      <c r="BG19">
        <f>IF(ISBLANK(RawCurrent!BG19),"",-(RawCurrent!BG19/MIN(RawCurrent!BG$7:BG$28)))</f>
        <v>-0.68792070763661306</v>
      </c>
      <c r="BH19">
        <f>IF(ISBLANK(RawCurrent!BH19),"",-(RawCurrent!BH19/MIN(RawCurrent!BH$7:BH$28)))</f>
        <v>-0.48060322311175413</v>
      </c>
      <c r="BI19">
        <f>IF(ISBLANK(RawCurrent!BI19),"",-(RawCurrent!BI19/MIN(RawCurrent!BI$7:BI$28)))</f>
        <v>-0.58233220513868811</v>
      </c>
      <c r="BJ19">
        <f>IF(ISBLANK(RawCurrent!BJ19),"",-(RawCurrent!BJ19/MIN(RawCurrent!BJ$7:BJ$28)))</f>
        <v>-0.55872929472752175</v>
      </c>
      <c r="BK19">
        <f>IF(ISBLANK(RawCurrent!BK19),"",-(RawCurrent!BK19/MIN(RawCurrent!BK$7:BK$28)))</f>
        <v>-0.58264459945368452</v>
      </c>
      <c r="BL19">
        <f>IF(ISBLANK(RawCurrent!BL19),"",-(RawCurrent!BL19/MIN(RawCurrent!BL$7:BL$28)))</f>
        <v>-0.4743490018172421</v>
      </c>
      <c r="BM19">
        <f>IF(ISBLANK(RawCurrent!BM19),"",-(RawCurrent!BM19/MIN(RawCurrent!BM$7:BM$28)))</f>
        <v>-0.53237579831918314</v>
      </c>
      <c r="BN19">
        <f>IF(ISBLANK(RawCurrent!BN19),"",-(RawCurrent!BN19/MIN(RawCurrent!BN$7:BN$28)))</f>
        <v>-0.28095259686187291</v>
      </c>
      <c r="BO19">
        <f>IF(ISBLANK(RawCurrent!BO19),"",-(RawCurrent!BO19/MIN(RawCurrent!BO$7:BO$28)))</f>
        <v>-0.24131482537345991</v>
      </c>
      <c r="BP19">
        <f>IF(ISBLANK(RawCurrent!BP19),"",-(RawCurrent!BP19/MIN(RawCurrent!BP$7:BP$28)))</f>
        <v>-0.41896654976208719</v>
      </c>
      <c r="BQ19">
        <f>IF(ISBLANK(RawCurrent!BQ19),"",-(RawCurrent!BQ19/MIN(RawCurrent!BQ$7:BQ$28)))</f>
        <v>-0.50491553694293634</v>
      </c>
      <c r="BR19">
        <f>IF(ISBLANK(RawCurrent!BR19),"",-(RawCurrent!BR19/MIN(RawCurrent!BR$7:BR$28)))</f>
        <v>-0.42424331709104984</v>
      </c>
      <c r="BS19">
        <f>IF(ISBLANK(RawCurrent!BS19),"",-(RawCurrent!BS19/MIN(RawCurrent!BS$7:BS$28)))</f>
        <v>-0.43585332794665965</v>
      </c>
      <c r="BT19">
        <f>IF(ISBLANK(RawCurrent!BT19),"",-(RawCurrent!BT19/MIN(RawCurrent!BT$7:BT$28)))</f>
        <v>-0.55635283629327559</v>
      </c>
      <c r="BU19">
        <f>IF(ISBLANK(RawCurrent!BU19),"",-(RawCurrent!BU19/MIN(RawCurrent!BU$7:BU$28)))</f>
        <v>-0.66914828338496646</v>
      </c>
      <c r="BV19">
        <f>IF(ISBLANK(RawCurrent!BV19),"",-(RawCurrent!BV19/MIN(RawCurrent!BV$7:BV$28)))</f>
        <v>-0.447473982946275</v>
      </c>
      <c r="BW19">
        <f>IF(ISBLANK(RawCurrent!BW19),"",-(RawCurrent!BW19/MIN(RawCurrent!BW$7:BW$28)))</f>
        <v>-0.70193191402583832</v>
      </c>
      <c r="BX19">
        <f>IF(ISBLANK(RawCurrent!BX19),"",-(RawCurrent!BX19/MIN(RawCurrent!BX$7:BX$28)))</f>
        <v>-0.50927555091532928</v>
      </c>
      <c r="BY19" t="str">
        <f>IF(ISBLANK(RawCurrent!BY19),"",-(RawCurrent!BY19/MIN(RawCurrent!BY$7:BY$28)))</f>
        <v/>
      </c>
      <c r="BZ19">
        <f>IF(ISBLANK(RawCurrent!BZ19),"",-(RawCurrent!BZ19/MIN(RawCurrent!BZ$7:BZ$28)))</f>
        <v>-0.39696016311117144</v>
      </c>
      <c r="CA19">
        <f>IF(ISBLANK(RawCurrent!CA19),"",-(RawCurrent!CA19/MIN(RawCurrent!CA$7:CA$28)))</f>
        <v>-0.41312325742744938</v>
      </c>
      <c r="CB19">
        <f>IF(ISBLANK(RawCurrent!CB19),"",-(RawCurrent!CB19/MIN(RawCurrent!CB$7:CB$28)))</f>
        <v>-0.55256279150859089</v>
      </c>
      <c r="CC19">
        <f>IF(ISBLANK(RawCurrent!CC19),"",-(RawCurrent!CC19/MIN(RawCurrent!CC$7:CC$28)))</f>
        <v>-0.93590013021874241</v>
      </c>
      <c r="CD19">
        <f>IF(ISBLANK(RawCurrent!CD19),"",-(RawCurrent!CD19/MIN(RawCurrent!CD$7:CD$28)))</f>
        <v>-0.61185885651262539</v>
      </c>
    </row>
    <row r="20" spans="1:82" x14ac:dyDescent="0.2">
      <c r="A20" s="3">
        <f t="shared" si="0"/>
        <v>50</v>
      </c>
      <c r="B20">
        <f>IF(ISBLANK(RawCurrent!B20),"",-(RawCurrent!B20/MIN(RawCurrent!B$7:B$28)))</f>
        <v>-0.4585144501606721</v>
      </c>
      <c r="C20">
        <f>IF(ISBLANK(RawCurrent!C20),"",-(RawCurrent!C20/MIN(RawCurrent!C$7:C$28)))</f>
        <v>-0.33700084500146721</v>
      </c>
      <c r="D20">
        <f>IF(ISBLANK(RawCurrent!D20),"",-(RawCurrent!D20/MIN(RawCurrent!D$7:D$28)))</f>
        <v>-0.29767320702337674</v>
      </c>
      <c r="E20">
        <f>IF(ISBLANK(RawCurrent!E20),"",-(RawCurrent!E20/MIN(RawCurrent!E$7:E$28)))</f>
        <v>-0.24318056162959567</v>
      </c>
      <c r="F20">
        <f>IF(ISBLANK(RawCurrent!F20),"",-(RawCurrent!F20/MIN(RawCurrent!F$7:F$28)))</f>
        <v>-0.30939698591184223</v>
      </c>
      <c r="G20">
        <f>IF(ISBLANK(RawCurrent!G20),"",-(RawCurrent!G20/MIN(RawCurrent!G$7:G$28)))</f>
        <v>-0.29726935074996164</v>
      </c>
      <c r="H20">
        <f>IF(ISBLANK(RawCurrent!H20),"",-(RawCurrent!H20/MIN(RawCurrent!H$7:H$28)))</f>
        <v>-0.55346895743660751</v>
      </c>
      <c r="I20">
        <f>IF(ISBLANK(RawCurrent!I20),"",-(RawCurrent!I20/MIN(RawCurrent!I$7:I$28)))</f>
        <v>-0.28514507021984919</v>
      </c>
      <c r="J20">
        <f>IF(ISBLANK(RawCurrent!J20),"",-(RawCurrent!J20/MIN(RawCurrent!J$7:J$28)))</f>
        <v>-0.21243038091486574</v>
      </c>
      <c r="K20">
        <f>IF(ISBLANK(RawCurrent!K20),"",-(RawCurrent!K20/MIN(RawCurrent!K$7:K$28)))</f>
        <v>-0.45443108184064518</v>
      </c>
      <c r="L20">
        <f>IF(ISBLANK(RawCurrent!L20),"",-(RawCurrent!L20/MIN(RawCurrent!L$7:L$28)))</f>
        <v>-0.24909621839769736</v>
      </c>
      <c r="M20">
        <f>IF(ISBLANK(RawCurrent!M20),"",-(RawCurrent!M20/MIN(RawCurrent!M$7:M$28)))</f>
        <v>-0.40423241097609292</v>
      </c>
      <c r="N20">
        <f>IF(ISBLANK(RawCurrent!N20),"",-(RawCurrent!N20/MIN(RawCurrent!N$7:N$28)))</f>
        <v>-0.32933078677962957</v>
      </c>
      <c r="O20">
        <f>IF(ISBLANK(RawCurrent!O20),"",-(RawCurrent!O20/MIN(RawCurrent!O$7:O$28)))</f>
        <v>-0.22496864154487009</v>
      </c>
      <c r="P20">
        <f>IF(ISBLANK(RawCurrent!P20),"",-(RawCurrent!P20/MIN(RawCurrent!P$7:P$28)))</f>
        <v>-0.34767530944578323</v>
      </c>
      <c r="Q20">
        <f>IF(ISBLANK(RawCurrent!Q20),"",-(RawCurrent!Q20/MIN(RawCurrent!Q$7:Q$28)))</f>
        <v>-0.36677211125547177</v>
      </c>
      <c r="R20">
        <f>IF(ISBLANK(RawCurrent!R20),"",-(RawCurrent!R20/MIN(RawCurrent!R$7:R$28)))</f>
        <v>-0.26902526091755763</v>
      </c>
      <c r="S20">
        <f>IF(ISBLANK(RawCurrent!S20),"",-(RawCurrent!S20/MIN(RawCurrent!S$7:S$28)))</f>
        <v>-0.20143908096930602</v>
      </c>
      <c r="T20">
        <f>IF(ISBLANK(RawCurrent!T20),"",-(RawCurrent!T20/MIN(RawCurrent!T$7:T$28)))</f>
        <v>-0.22494578707424631</v>
      </c>
      <c r="U20">
        <f>IF(ISBLANK(RawCurrent!U20),"",-(RawCurrent!U20/MIN(RawCurrent!U$7:U$28)))</f>
        <v>-0.25904720651935537</v>
      </c>
      <c r="V20">
        <f>IF(ISBLANK(RawCurrent!V20),"",-(RawCurrent!V20/MIN(RawCurrent!V$7:V$28)))</f>
        <v>-0.30980214448002907</v>
      </c>
      <c r="W20">
        <f>IF(ISBLANK(RawCurrent!W20),"",-(RawCurrent!W20/MIN(RawCurrent!W$7:W$28)))</f>
        <v>-0.1295969328626897</v>
      </c>
      <c r="X20">
        <f>IF(ISBLANK(RawCurrent!X20),"",-(RawCurrent!X20/MIN(RawCurrent!X$7:X$28)))</f>
        <v>-0.28801403897749706</v>
      </c>
      <c r="Y20">
        <f>IF(ISBLANK(RawCurrent!Y20),"",-(RawCurrent!Y20/MIN(RawCurrent!Y$7:Y$28)))</f>
        <v>-0.26716266571121378</v>
      </c>
      <c r="Z20">
        <f>IF(ISBLANK(RawCurrent!Z20),"",-(RawCurrent!Z20/MIN(RawCurrent!Z$7:Z$28)))</f>
        <v>-0.39161676335276796</v>
      </c>
      <c r="AA20">
        <f>IF(ISBLANK(RawCurrent!AA20),"",-(RawCurrent!AA20/MIN(RawCurrent!AA$7:AA$28)))</f>
        <v>-0.36094921809430958</v>
      </c>
      <c r="AB20">
        <f>IF(ISBLANK(RawCurrent!AB20),"",-(RawCurrent!AB20/MIN(RawCurrent!AB$7:AB$28)))</f>
        <v>-0.31995539768955039</v>
      </c>
      <c r="AC20">
        <f>IF(ISBLANK(RawCurrent!AC20),"",-(RawCurrent!AC20/MIN(RawCurrent!AC$7:AC$28)))</f>
        <v>-0.35113159539085254</v>
      </c>
      <c r="AD20">
        <f>IF(ISBLANK(RawCurrent!AD20),"",-(RawCurrent!AD20/MIN(RawCurrent!AD$7:AD$28)))</f>
        <v>-0.52678405982079246</v>
      </c>
      <c r="AE20">
        <f>IF(ISBLANK(RawCurrent!AE20),"",-(RawCurrent!AE20/MIN(RawCurrent!AE$7:AE$28)))</f>
        <v>-0.36525321248358644</v>
      </c>
      <c r="AF20">
        <f>IF(ISBLANK(RawCurrent!AF20),"",-(RawCurrent!AF20/MIN(RawCurrent!AF$7:AF$28)))</f>
        <v>-0.3724357202114727</v>
      </c>
      <c r="AG20">
        <f>IF(ISBLANK(RawCurrent!AG20),"",-(RawCurrent!AG20/MIN(RawCurrent!AG$7:AG$28)))</f>
        <v>-0.28271841763035438</v>
      </c>
      <c r="AH20">
        <f>IF(ISBLANK(RawCurrent!AH20),"",-(RawCurrent!AH20/MIN(RawCurrent!AH$7:AH$28)))</f>
        <v>-0.25727258013054144</v>
      </c>
      <c r="AI20">
        <f>IF(ISBLANK(RawCurrent!AI20),"",-(RawCurrent!AI20/MIN(RawCurrent!AI$7:AI$28)))</f>
        <v>-0.2610373895257051</v>
      </c>
      <c r="AJ20">
        <f>IF(ISBLANK(RawCurrent!AJ20),"",-(RawCurrent!AJ20/MIN(RawCurrent!AJ$7:AJ$28)))</f>
        <v>-0.41109180920930044</v>
      </c>
      <c r="AK20">
        <f>IF(ISBLANK(RawCurrent!AK20),"",-(RawCurrent!AK20/MIN(RawCurrent!AK$7:AK$28)))</f>
        <v>-0.31199888378575541</v>
      </c>
      <c r="AL20">
        <f>IF(ISBLANK(RawCurrent!AL20),"",-(RawCurrent!AL20/MIN(RawCurrent!AL$7:AL$28)))</f>
        <v>-0.35556207201010237</v>
      </c>
      <c r="AM20">
        <f>IF(ISBLANK(RawCurrent!AM20),"",-(RawCurrent!AM20/MIN(RawCurrent!AM$7:AM$28)))</f>
        <v>-0.35794324539715416</v>
      </c>
      <c r="AN20" t="str">
        <f>IF(ISBLANK(RawCurrent!AN20),"",-(RawCurrent!AN20/MIN(RawCurrent!AN$7:AN$28)))</f>
        <v/>
      </c>
      <c r="AO20">
        <f>IF(ISBLANK(RawCurrent!AO20),"",-(RawCurrent!AO20/MIN(RawCurrent!AO$7:AO$28)))</f>
        <v>-0.30925725767302015</v>
      </c>
      <c r="AP20">
        <f>IF(ISBLANK(RawCurrent!AP20),"",-(RawCurrent!AP20/MIN(RawCurrent!AP$7:AP$28)))</f>
        <v>-0.22733070760673821</v>
      </c>
      <c r="AQ20">
        <f>IF(ISBLANK(RawCurrent!AQ20),"",-(RawCurrent!AQ20/MIN(RawCurrent!AQ$7:AQ$28)))</f>
        <v>-0.54685070288018145</v>
      </c>
      <c r="AR20">
        <f>IF(ISBLANK(RawCurrent!AR20),"",-(RawCurrent!AR20/MIN(RawCurrent!AR$7:AR$28)))</f>
        <v>-0.25099968264218536</v>
      </c>
      <c r="AS20">
        <f>IF(ISBLANK(RawCurrent!AS20),"",-(RawCurrent!AS20/MIN(RawCurrent!AS$7:AS$28)))</f>
        <v>-0.35784522643907873</v>
      </c>
      <c r="AT20">
        <f>IF(ISBLANK(RawCurrent!AT20),"",-(RawCurrent!AT20/MIN(RawCurrent!AT$7:AT$28)))</f>
        <v>-0.33850808071298061</v>
      </c>
      <c r="AU20">
        <f>IF(ISBLANK(RawCurrent!AU20),"",-(RawCurrent!AU20/MIN(RawCurrent!AU$7:AU$28)))</f>
        <v>-0.31441205611211609</v>
      </c>
      <c r="AV20">
        <f>IF(ISBLANK(RawCurrent!AV20),"",-(RawCurrent!AV20/MIN(RawCurrent!AV$7:AV$28)))</f>
        <v>-0.12672125652836103</v>
      </c>
      <c r="AW20">
        <f>IF(ISBLANK(RawCurrent!AW20),"",-(RawCurrent!AW20/MIN(RawCurrent!AW$7:AW$28)))</f>
        <v>-0.45500207220985073</v>
      </c>
      <c r="AX20">
        <f>IF(ISBLANK(RawCurrent!AX20),"",-(RawCurrent!AX20/MIN(RawCurrent!AX$7:AX$28)))</f>
        <v>-0.38568959064234881</v>
      </c>
      <c r="AY20">
        <f>IF(ISBLANK(RawCurrent!AY20),"",-(RawCurrent!AY20/MIN(RawCurrent!AY$7:AY$28)))</f>
        <v>-0.29654540270395019</v>
      </c>
      <c r="AZ20">
        <f>IF(ISBLANK(RawCurrent!AZ20),"",-(RawCurrent!AZ20/MIN(RawCurrent!AZ$7:AZ$28)))</f>
        <v>-0.48472331855586698</v>
      </c>
      <c r="BA20">
        <f>IF(ISBLANK(RawCurrent!BA20),"",-(RawCurrent!BA20/MIN(RawCurrent!BA$7:BA$28)))</f>
        <v>-0.43776881015296587</v>
      </c>
      <c r="BB20">
        <f>IF(ISBLANK(RawCurrent!BB20),"",-(RawCurrent!BB20/MIN(RawCurrent!BB$7:BB$28)))</f>
        <v>-0.4758825876321679</v>
      </c>
      <c r="BC20">
        <f>IF(ISBLANK(RawCurrent!BC20),"",-(RawCurrent!BC20/MIN(RawCurrent!BC$7:BC$28)))</f>
        <v>-0.18258643457786577</v>
      </c>
      <c r="BD20">
        <f>IF(ISBLANK(RawCurrent!BD20),"",-(RawCurrent!BD20/MIN(RawCurrent!BD$7:BD$28)))</f>
        <v>-0.23095754946678826</v>
      </c>
      <c r="BE20">
        <f>IF(ISBLANK(RawCurrent!BE20),"",-(RawCurrent!BE20/MIN(RawCurrent!BE$7:BE$28)))</f>
        <v>-0.42207039067824209</v>
      </c>
      <c r="BF20">
        <f>IF(ISBLANK(RawCurrent!BF20),"",-(RawCurrent!BF20/MIN(RawCurrent!BF$7:BF$28)))</f>
        <v>-0.33818049043343701</v>
      </c>
      <c r="BG20">
        <f>IF(ISBLANK(RawCurrent!BG20),"",-(RawCurrent!BG20/MIN(RawCurrent!BG$7:BG$28)))</f>
        <v>-0.48751588216458241</v>
      </c>
      <c r="BH20">
        <f>IF(ISBLANK(RawCurrent!BH20),"",-(RawCurrent!BH20/MIN(RawCurrent!BH$7:BH$28)))</f>
        <v>-0.29612537092424396</v>
      </c>
      <c r="BI20">
        <f>IF(ISBLANK(RawCurrent!BI20),"",-(RawCurrent!BI20/MIN(RawCurrent!BI$7:BI$28)))</f>
        <v>-0.37228024172188845</v>
      </c>
      <c r="BJ20">
        <f>IF(ISBLANK(RawCurrent!BJ20),"",-(RawCurrent!BJ20/MIN(RawCurrent!BJ$7:BJ$28)))</f>
        <v>-0.36427720443192346</v>
      </c>
      <c r="BK20">
        <f>IF(ISBLANK(RawCurrent!BK20),"",-(RawCurrent!BK20/MIN(RawCurrent!BK$7:BK$28)))</f>
        <v>-0.35873254169616847</v>
      </c>
      <c r="BL20">
        <f>IF(ISBLANK(RawCurrent!BL20),"",-(RawCurrent!BL20/MIN(RawCurrent!BL$7:BL$28)))</f>
        <v>-0.27009723770324628</v>
      </c>
      <c r="BM20">
        <f>IF(ISBLANK(RawCurrent!BM20),"",-(RawCurrent!BM20/MIN(RawCurrent!BM$7:BM$28)))</f>
        <v>-0.33607763328925772</v>
      </c>
      <c r="BN20">
        <f>IF(ISBLANK(RawCurrent!BN20),"",-(RawCurrent!BN20/MIN(RawCurrent!BN$7:BN$28)))</f>
        <v>5.4970827295123439E-2</v>
      </c>
      <c r="BO20">
        <f>IF(ISBLANK(RawCurrent!BO20),"",-(RawCurrent!BO20/MIN(RawCurrent!BO$7:BO$28)))</f>
        <v>-6.4029140027190748E-2</v>
      </c>
      <c r="BP20">
        <f>IF(ISBLANK(RawCurrent!BP20),"",-(RawCurrent!BP20/MIN(RawCurrent!BP$7:BP$28)))</f>
        <v>-0.21136126161351571</v>
      </c>
      <c r="BQ20">
        <f>IF(ISBLANK(RawCurrent!BQ20),"",-(RawCurrent!BQ20/MIN(RawCurrent!BQ$7:BQ$28)))</f>
        <v>-0.21825741974038551</v>
      </c>
      <c r="BR20">
        <f>IF(ISBLANK(RawCurrent!BR20),"",-(RawCurrent!BR20/MIN(RawCurrent!BR$7:BR$28)))</f>
        <v>-0.21656312527088253</v>
      </c>
      <c r="BS20">
        <f>IF(ISBLANK(RawCurrent!BS20),"",-(RawCurrent!BS20/MIN(RawCurrent!BS$7:BS$28)))</f>
        <v>-0.23454937245403834</v>
      </c>
      <c r="BT20">
        <f>IF(ISBLANK(RawCurrent!BT20),"",-(RawCurrent!BT20/MIN(RawCurrent!BT$7:BT$28)))</f>
        <v>-0.4044880734745796</v>
      </c>
      <c r="BU20">
        <f>IF(ISBLANK(RawCurrent!BU20),"",-(RawCurrent!BU20/MIN(RawCurrent!BU$7:BU$28)))</f>
        <v>-0.52283692996432019</v>
      </c>
      <c r="BV20">
        <f>IF(ISBLANK(RawCurrent!BV20),"",-(RawCurrent!BV20/MIN(RawCurrent!BV$7:BV$28)))</f>
        <v>-0.30193060550225309</v>
      </c>
      <c r="BW20">
        <f>IF(ISBLANK(RawCurrent!BW20),"",-(RawCurrent!BW20/MIN(RawCurrent!BW$7:BW$28)))</f>
        <v>-0.48375719190151101</v>
      </c>
      <c r="BX20">
        <f>IF(ISBLANK(RawCurrent!BX20),"",-(RawCurrent!BX20/MIN(RawCurrent!BX$7:BX$28)))</f>
        <v>-0.29490456831051598</v>
      </c>
      <c r="BY20" t="str">
        <f>IF(ISBLANK(RawCurrent!BY20),"",-(RawCurrent!BY20/MIN(RawCurrent!BY$7:BY$28)))</f>
        <v/>
      </c>
      <c r="BZ20">
        <f>IF(ISBLANK(RawCurrent!BZ20),"",-(RawCurrent!BZ20/MIN(RawCurrent!BZ$7:BZ$28)))</f>
        <v>-0.1627959653327597</v>
      </c>
      <c r="CA20">
        <f>IF(ISBLANK(RawCurrent!CA20),"",-(RawCurrent!CA20/MIN(RawCurrent!CA$7:CA$28)))</f>
        <v>-0.13318184896051272</v>
      </c>
      <c r="CB20">
        <f>IF(ISBLANK(RawCurrent!CB20),"",-(RawCurrent!CB20/MIN(RawCurrent!CB$7:CB$28)))</f>
        <v>-0.33736378148920698</v>
      </c>
      <c r="CC20">
        <f>IF(ISBLANK(RawCurrent!CC20),"",-(RawCurrent!CC20/MIN(RawCurrent!CC$7:CC$28)))</f>
        <v>-0.73621684600814608</v>
      </c>
      <c r="CD20">
        <f>IF(ISBLANK(RawCurrent!CD20),"",-(RawCurrent!CD20/MIN(RawCurrent!CD$7:CD$28)))</f>
        <v>-0.40171265749914714</v>
      </c>
    </row>
    <row r="21" spans="1:82" x14ac:dyDescent="0.2">
      <c r="A21" s="3">
        <f t="shared" si="0"/>
        <v>60</v>
      </c>
      <c r="B21">
        <f>IF(ISBLANK(RawCurrent!B21),"",-(RawCurrent!B21/MIN(RawCurrent!B$7:B$28)))</f>
        <v>-0.30237223255886003</v>
      </c>
      <c r="C21">
        <f>IF(ISBLANK(RawCurrent!C21),"",-(RawCurrent!C21/MIN(RawCurrent!C$7:C$28)))</f>
        <v>-0.2246559157181543</v>
      </c>
      <c r="D21">
        <f>IF(ISBLANK(RawCurrent!D21),"",-(RawCurrent!D21/MIN(RawCurrent!D$7:D$28)))</f>
        <v>-0.1186028180621003</v>
      </c>
      <c r="E21">
        <f>IF(ISBLANK(RawCurrent!E21),"",-(RawCurrent!E21/MIN(RawCurrent!E$7:E$28)))</f>
        <v>-7.9507296545111045E-2</v>
      </c>
      <c r="F21">
        <f>IF(ISBLANK(RawCurrent!F21),"",-(RawCurrent!F21/MIN(RawCurrent!F$7:F$28)))</f>
        <v>-6.5934217375552912E-2</v>
      </c>
      <c r="G21">
        <f>IF(ISBLANK(RawCurrent!G21),"",-(RawCurrent!G21/MIN(RawCurrent!G$7:G$28)))</f>
        <v>-0.16527820908294222</v>
      </c>
      <c r="H21">
        <f>IF(ISBLANK(RawCurrent!H21),"",-(RawCurrent!H21/MIN(RawCurrent!H$7:H$28)))</f>
        <v>-0.38246039488910061</v>
      </c>
      <c r="I21">
        <f>IF(ISBLANK(RawCurrent!I21),"",-(RawCurrent!I21/MIN(RawCurrent!I$7:I$28)))</f>
        <v>-0.16318565496937021</v>
      </c>
      <c r="J21">
        <f>IF(ISBLANK(RawCurrent!J21),"",-(RawCurrent!J21/MIN(RawCurrent!J$7:J$28)))</f>
        <v>6.5265197143200282E-2</v>
      </c>
      <c r="K21">
        <f>IF(ISBLANK(RawCurrent!K21),"",-(RawCurrent!K21/MIN(RawCurrent!K$7:K$28)))</f>
        <v>-0.30226253840905692</v>
      </c>
      <c r="L21">
        <f>IF(ISBLANK(RawCurrent!L21),"",-(RawCurrent!L21/MIN(RawCurrent!L$7:L$28)))</f>
        <v>-8.9204821871486498E-2</v>
      </c>
      <c r="M21">
        <f>IF(ISBLANK(RawCurrent!M21),"",-(RawCurrent!M21/MIN(RawCurrent!M$7:M$28)))</f>
        <v>-0.26132155415066349</v>
      </c>
      <c r="N21">
        <f>IF(ISBLANK(RawCurrent!N21),"",-(RawCurrent!N21/MIN(RawCurrent!N$7:N$28)))</f>
        <v>-0.17003245932192215</v>
      </c>
      <c r="O21">
        <f>IF(ISBLANK(RawCurrent!O21),"",-(RawCurrent!O21/MIN(RawCurrent!O$7:O$28)))</f>
        <v>-7.529486002277852E-2</v>
      </c>
      <c r="P21">
        <f>IF(ISBLANK(RawCurrent!P21),"",-(RawCurrent!P21/MIN(RawCurrent!P$7:P$28)))</f>
        <v>-0.11725662784051383</v>
      </c>
      <c r="Q21">
        <f>IF(ISBLANK(RawCurrent!Q21),"",-(RawCurrent!Q21/MIN(RawCurrent!Q$7:Q$28)))</f>
        <v>-0.17748497145853767</v>
      </c>
      <c r="R21">
        <f>IF(ISBLANK(RawCurrent!R21),"",-(RawCurrent!R21/MIN(RawCurrent!R$7:R$28)))</f>
        <v>-9.6508115053162022E-2</v>
      </c>
      <c r="S21">
        <f>IF(ISBLANK(RawCurrent!S21),"",-(RawCurrent!S21/MIN(RawCurrent!S$7:S$28)))</f>
        <v>-6.0652619001653613E-2</v>
      </c>
      <c r="T21">
        <f>IF(ISBLANK(RawCurrent!T21),"",-(RawCurrent!T21/MIN(RawCurrent!T$7:T$28)))</f>
        <v>-9.1107358086249757E-2</v>
      </c>
      <c r="U21">
        <f>IF(ISBLANK(RawCurrent!U21),"",-(RawCurrent!U21/MIN(RawCurrent!U$7:U$28)))</f>
        <v>-9.357550238751379E-2</v>
      </c>
      <c r="V21">
        <f>IF(ISBLANK(RawCurrent!V21),"",-(RawCurrent!V21/MIN(RawCurrent!V$7:V$28)))</f>
        <v>-0.1599203443114923</v>
      </c>
      <c r="W21">
        <f>IF(ISBLANK(RawCurrent!W21),"",-(RawCurrent!W21/MIN(RawCurrent!W$7:W$28)))</f>
        <v>4.236953493369898E-2</v>
      </c>
      <c r="X21">
        <f>IF(ISBLANK(RawCurrent!X21),"",-(RawCurrent!X21/MIN(RawCurrent!X$7:X$28)))</f>
        <v>-0.16291731530056161</v>
      </c>
      <c r="Y21">
        <f>IF(ISBLANK(RawCurrent!Y21),"",-(RawCurrent!Y21/MIN(RawCurrent!Y$7:Y$28)))</f>
        <v>-0.14585012540308059</v>
      </c>
      <c r="Z21">
        <f>IF(ISBLANK(RawCurrent!Z21),"",-(RawCurrent!Z21/MIN(RawCurrent!Z$7:Z$28)))</f>
        <v>-0.16168334961572309</v>
      </c>
      <c r="AA21">
        <f>IF(ISBLANK(RawCurrent!AA21),"",-(RawCurrent!AA21/MIN(RawCurrent!AA$7:AA$28)))</f>
        <v>-0.14567142443545048</v>
      </c>
      <c r="AB21">
        <f>IF(ISBLANK(RawCurrent!AB21),"",-(RawCurrent!AB21/MIN(RawCurrent!AB$7:AB$28)))</f>
        <v>-0.16881727804239791</v>
      </c>
      <c r="AC21">
        <f>IF(ISBLANK(RawCurrent!AC21),"",-(RawCurrent!AC21/MIN(RawCurrent!AC$7:AC$28)))</f>
        <v>-0.20331417727953985</v>
      </c>
      <c r="AD21">
        <f>IF(ISBLANK(RawCurrent!AD21),"",-(RawCurrent!AD21/MIN(RawCurrent!AD$7:AD$28)))</f>
        <v>-0.29260352066429229</v>
      </c>
      <c r="AE21">
        <f>IF(ISBLANK(RawCurrent!AE21),"",-(RawCurrent!AE21/MIN(RawCurrent!AE$7:AE$28)))</f>
        <v>-0.11211294464732741</v>
      </c>
      <c r="AF21">
        <f>IF(ISBLANK(RawCurrent!AF21),"",-(RawCurrent!AF21/MIN(RawCurrent!AF$7:AF$28)))</f>
        <v>-0.20442364164223567</v>
      </c>
      <c r="AG21">
        <f>IF(ISBLANK(RawCurrent!AG21),"",-(RawCurrent!AG21/MIN(RawCurrent!AG$7:AG$28)))</f>
        <v>-0.18073658015332258</v>
      </c>
      <c r="AH21">
        <f>IF(ISBLANK(RawCurrent!AH21),"",-(RawCurrent!AH21/MIN(RawCurrent!AH$7:AH$28)))</f>
        <v>-5.8313584353703922E-2</v>
      </c>
      <c r="AI21">
        <f>IF(ISBLANK(RawCurrent!AI21),"",-(RawCurrent!AI21/MIN(RawCurrent!AI$7:AI$28)))</f>
        <v>-7.2177240104364659E-2</v>
      </c>
      <c r="AJ21">
        <f>IF(ISBLANK(RawCurrent!AJ21),"",-(RawCurrent!AJ21/MIN(RawCurrent!AJ$7:AJ$28)))</f>
        <v>-0.24726487213923318</v>
      </c>
      <c r="AK21">
        <f>IF(ISBLANK(RawCurrent!AK21),"",-(RawCurrent!AK21/MIN(RawCurrent!AK$7:AK$28)))</f>
        <v>-0.12468973391499313</v>
      </c>
      <c r="AL21">
        <f>IF(ISBLANK(RawCurrent!AL21),"",-(RawCurrent!AL21/MIN(RawCurrent!AL$7:AL$28)))</f>
        <v>-0.1571341929599189</v>
      </c>
      <c r="AM21">
        <f>IF(ISBLANK(RawCurrent!AM21),"",-(RawCurrent!AM21/MIN(RawCurrent!AM$7:AM$28)))</f>
        <v>-0.15151476652876203</v>
      </c>
      <c r="AN21" t="str">
        <f>IF(ISBLANK(RawCurrent!AN21),"",-(RawCurrent!AN21/MIN(RawCurrent!AN$7:AN$28)))</f>
        <v/>
      </c>
      <c r="AO21">
        <f>IF(ISBLANK(RawCurrent!AO21),"",-(RawCurrent!AO21/MIN(RawCurrent!AO$7:AO$28)))</f>
        <v>-0.16510611249618934</v>
      </c>
      <c r="AP21">
        <f>IF(ISBLANK(RawCurrent!AP21),"",-(RawCurrent!AP21/MIN(RawCurrent!AP$7:AP$28)))</f>
        <v>-6.4888836153834659E-2</v>
      </c>
      <c r="AQ21">
        <f>IF(ISBLANK(RawCurrent!AQ21),"",-(RawCurrent!AQ21/MIN(RawCurrent!AQ$7:AQ$28)))</f>
        <v>-0.28159082082361042</v>
      </c>
      <c r="AR21">
        <f>IF(ISBLANK(RawCurrent!AR21),"",-(RawCurrent!AR21/MIN(RawCurrent!AR$7:AR$28)))</f>
        <v>-0.13058237147477969</v>
      </c>
      <c r="AS21">
        <f>IF(ISBLANK(RawCurrent!AS21),"",-(RawCurrent!AS21/MIN(RawCurrent!AS$7:AS$28)))</f>
        <v>-0.29639080674347484</v>
      </c>
      <c r="AT21">
        <f>IF(ISBLANK(RawCurrent!AT21),"",-(RawCurrent!AT21/MIN(RawCurrent!AT$7:AT$28)))</f>
        <v>-0.12000100260426878</v>
      </c>
      <c r="AU21">
        <f>IF(ISBLANK(RawCurrent!AU21),"",-(RawCurrent!AU21/MIN(RawCurrent!AU$7:AU$28)))</f>
        <v>-0.14405943311863997</v>
      </c>
      <c r="AV21">
        <f>IF(ISBLANK(RawCurrent!AV21),"",-(RawCurrent!AV21/MIN(RawCurrent!AV$7:AV$28)))</f>
        <v>4.1041520928739895E-2</v>
      </c>
      <c r="AW21">
        <f>IF(ISBLANK(RawCurrent!AW21),"",-(RawCurrent!AW21/MIN(RawCurrent!AW$7:AW$28)))</f>
        <v>-0.25718848384524728</v>
      </c>
      <c r="AX21">
        <f>IF(ISBLANK(RawCurrent!AX21),"",-(RawCurrent!AX21/MIN(RawCurrent!AX$7:AX$28)))</f>
        <v>-0.23511823892561534</v>
      </c>
      <c r="AY21">
        <f>IF(ISBLANK(RawCurrent!AY21),"",-(RawCurrent!AY21/MIN(RawCurrent!AY$7:AY$28)))</f>
        <v>-0.14362347122315555</v>
      </c>
      <c r="AZ21">
        <f>IF(ISBLANK(RawCurrent!AZ21),"",-(RawCurrent!AZ21/MIN(RawCurrent!AZ$7:AZ$28)))</f>
        <v>-0.30438054218565502</v>
      </c>
      <c r="BA21">
        <f>IF(ISBLANK(RawCurrent!BA21),"",-(RawCurrent!BA21/MIN(RawCurrent!BA$7:BA$28)))</f>
        <v>-0.23843619397835666</v>
      </c>
      <c r="BB21">
        <f>IF(ISBLANK(RawCurrent!BB21),"",-(RawCurrent!BB21/MIN(RawCurrent!BB$7:BB$28)))</f>
        <v>-0.25341670028753077</v>
      </c>
      <c r="BC21">
        <f>IF(ISBLANK(RawCurrent!BC21),"",-(RawCurrent!BC21/MIN(RawCurrent!BC$7:BC$28)))</f>
        <v>-4.5982232961838072E-2</v>
      </c>
      <c r="BD21">
        <f>IF(ISBLANK(RawCurrent!BD21),"",-(RawCurrent!BD21/MIN(RawCurrent!BD$7:BD$28)))</f>
        <v>3.4571214105970229E-2</v>
      </c>
      <c r="BE21">
        <f>IF(ISBLANK(RawCurrent!BE21),"",-(RawCurrent!BE21/MIN(RawCurrent!BE$7:BE$28)))</f>
        <v>-0.27825296311137915</v>
      </c>
      <c r="BF21" t="str">
        <f>IF(ISBLANK(RawCurrent!BF21),"",-(RawCurrent!BF21/MIN(RawCurrent!BF$7:BF$28)))</f>
        <v/>
      </c>
      <c r="BG21">
        <f>IF(ISBLANK(RawCurrent!BG21),"",-(RawCurrent!BG21/MIN(RawCurrent!BG$7:BG$28)))</f>
        <v>-0.28117946824387441</v>
      </c>
      <c r="BH21">
        <f>IF(ISBLANK(RawCurrent!BH21),"",-(RawCurrent!BH21/MIN(RawCurrent!BH$7:BH$28)))</f>
        <v>-0.21264050571882578</v>
      </c>
      <c r="BI21">
        <f>IF(ISBLANK(RawCurrent!BI21),"",-(RawCurrent!BI21/MIN(RawCurrent!BI$7:BI$28)))</f>
        <v>-0.19770196710988672</v>
      </c>
      <c r="BJ21">
        <f>IF(ISBLANK(RawCurrent!BJ21),"",-(RawCurrent!BJ21/MIN(RawCurrent!BJ$7:BJ$28)))</f>
        <v>-0.19307882390473408</v>
      </c>
      <c r="BK21">
        <f>IF(ISBLANK(RawCurrent!BK21),"",-(RawCurrent!BK21/MIN(RawCurrent!BK$7:BK$28)))</f>
        <v>-0.16223455150791291</v>
      </c>
      <c r="BL21">
        <f>IF(ISBLANK(RawCurrent!BL21),"",-(RawCurrent!BL21/MIN(RawCurrent!BL$7:BL$28)))</f>
        <v>-8.157766086290863E-2</v>
      </c>
      <c r="BM21">
        <f>IF(ISBLANK(RawCurrent!BM21),"",-(RawCurrent!BM21/MIN(RawCurrent!BM$7:BM$28)))</f>
        <v>-0.17628302899676981</v>
      </c>
      <c r="BN21">
        <f>IF(ISBLANK(RawCurrent!BN21),"",-(RawCurrent!BN21/MIN(RawCurrent!BN$7:BN$28)))</f>
        <v>0.22051343934784276</v>
      </c>
      <c r="BO21">
        <f>IF(ISBLANK(RawCurrent!BO21),"",-(RawCurrent!BO21/MIN(RawCurrent!BO$7:BO$28)))</f>
        <v>8.048455345514953E-2</v>
      </c>
      <c r="BP21">
        <f>IF(ISBLANK(RawCurrent!BP21),"",-(RawCurrent!BP21/MIN(RawCurrent!BP$7:BP$28)))</f>
        <v>7.5838377670339185E-2</v>
      </c>
      <c r="BQ21">
        <f>IF(ISBLANK(RawCurrent!BQ21),"",-(RawCurrent!BQ21/MIN(RawCurrent!BQ$7:BQ$28)))</f>
        <v>0.12290320611405874</v>
      </c>
      <c r="BR21">
        <f>IF(ISBLANK(RawCurrent!BR21),"",-(RawCurrent!BR21/MIN(RawCurrent!BR$7:BR$28)))</f>
        <v>-1.0575372515517959E-2</v>
      </c>
      <c r="BS21">
        <f>IF(ISBLANK(RawCurrent!BS21),"",-(RawCurrent!BS21/MIN(RawCurrent!BS$7:BS$28)))</f>
        <v>-3.6099204383360478E-2</v>
      </c>
      <c r="BT21">
        <f>IF(ISBLANK(RawCurrent!BT21),"",-(RawCurrent!BT21/MIN(RawCurrent!BT$7:BT$28)))</f>
        <v>-0.1761383009814248</v>
      </c>
      <c r="BU21">
        <f>IF(ISBLANK(RawCurrent!BU21),"",-(RawCurrent!BU21/MIN(RawCurrent!BU$7:BU$28)))</f>
        <v>-0.35442743996114739</v>
      </c>
      <c r="BV21">
        <f>IF(ISBLANK(RawCurrent!BV21),"",-(RawCurrent!BV21/MIN(RawCurrent!BV$7:BV$28)))</f>
        <v>-8.7639342152032645E-2</v>
      </c>
      <c r="BW21">
        <f>IF(ISBLANK(RawCurrent!BW21),"",-(RawCurrent!BW21/MIN(RawCurrent!BW$7:BW$28)))</f>
        <v>-0.28312971953068999</v>
      </c>
      <c r="BX21">
        <f>IF(ISBLANK(RawCurrent!BX21),"",-(RawCurrent!BX21/MIN(RawCurrent!BX$7:BX$28)))</f>
        <v>-0.19528710553221562</v>
      </c>
      <c r="BY21" t="str">
        <f>IF(ISBLANK(RawCurrent!BY21),"",-(RawCurrent!BY21/MIN(RawCurrent!BY$7:BY$28)))</f>
        <v/>
      </c>
      <c r="BZ21">
        <f>IF(ISBLANK(RawCurrent!BZ21),"",-(RawCurrent!BZ21/MIN(RawCurrent!BZ$7:BZ$28)))</f>
        <v>-0.14108630512363698</v>
      </c>
      <c r="CA21">
        <f>IF(ISBLANK(RawCurrent!CA21),"",-(RawCurrent!CA21/MIN(RawCurrent!CA$7:CA$28)))</f>
        <v>0.1557750652403706</v>
      </c>
      <c r="CB21">
        <f>IF(ISBLANK(RawCurrent!CB21),"",-(RawCurrent!CB21/MIN(RawCurrent!CB$7:CB$28)))</f>
        <v>-0.17371355616436882</v>
      </c>
      <c r="CC21">
        <f>IF(ISBLANK(RawCurrent!CC21),"",-(RawCurrent!CC21/MIN(RawCurrent!CC$7:CC$28)))</f>
        <v>-0.62274671887854238</v>
      </c>
      <c r="CD21">
        <f>IF(ISBLANK(RawCurrent!CD21),"",-(RawCurrent!CD21/MIN(RawCurrent!CD$7:CD$28)))</f>
        <v>-0.21052856971976519</v>
      </c>
    </row>
    <row r="22" spans="1:82" x14ac:dyDescent="0.2">
      <c r="A22" s="3">
        <f t="shared" si="0"/>
        <v>70</v>
      </c>
      <c r="B22">
        <f>IF(ISBLANK(RawCurrent!B22),"",-(RawCurrent!B22/MIN(RawCurrent!B$7:B$28)))</f>
        <v>-0.16138704674894946</v>
      </c>
      <c r="C22">
        <f>IF(ISBLANK(RawCurrent!C22),"",-(RawCurrent!C22/MIN(RawCurrent!C$7:C$28)))</f>
        <v>-0.13929673080150795</v>
      </c>
      <c r="D22">
        <f>IF(ISBLANK(RawCurrent!D22),"",-(RawCurrent!D22/MIN(RawCurrent!D$7:D$28)))</f>
        <v>4.8497538331725834E-2</v>
      </c>
      <c r="E22">
        <f>IF(ISBLANK(RawCurrent!E22),"",-(RawCurrent!E22/MIN(RawCurrent!E$7:E$28)))</f>
        <v>5.887485039793712E-2</v>
      </c>
      <c r="F22">
        <f>IF(ISBLANK(RawCurrent!F22),"",-(RawCurrent!F22/MIN(RawCurrent!F$7:F$28)))</f>
        <v>0.2167416190876954</v>
      </c>
      <c r="G22">
        <f>IF(ISBLANK(RawCurrent!G22),"",-(RawCurrent!G22/MIN(RawCurrent!G$7:G$28)))</f>
        <v>-5.1395167191883646E-2</v>
      </c>
      <c r="H22">
        <f>IF(ISBLANK(RawCurrent!H22),"",-(RawCurrent!H22/MIN(RawCurrent!H$7:H$28)))</f>
        <v>-0.24859410631890339</v>
      </c>
      <c r="I22">
        <f>IF(ISBLANK(RawCurrent!I22),"",-(RawCurrent!I22/MIN(RawCurrent!I$7:I$28)))</f>
        <v>-5.63232524931759E-2</v>
      </c>
      <c r="J22">
        <f>IF(ISBLANK(RawCurrent!J22),"",-(RawCurrent!J22/MIN(RawCurrent!J$7:J$28)))</f>
        <v>5.0864051373349387E-2</v>
      </c>
      <c r="K22">
        <f>IF(ISBLANK(RawCurrent!K22),"",-(RawCurrent!K22/MIN(RawCurrent!K$7:K$28)))</f>
        <v>-0.17852088824869636</v>
      </c>
      <c r="L22">
        <f>IF(ISBLANK(RawCurrent!L22),"",-(RawCurrent!L22/MIN(RawCurrent!L$7:L$28)))</f>
        <v>6.9102074470194383E-2</v>
      </c>
      <c r="M22">
        <f>IF(ISBLANK(RawCurrent!M22),"",-(RawCurrent!M22/MIN(RawCurrent!M$7:M$28)))</f>
        <v>-0.13553540640732978</v>
      </c>
      <c r="N22">
        <f>IF(ISBLANK(RawCurrent!N22),"",-(RawCurrent!N22/MIN(RawCurrent!N$7:N$28)))</f>
        <v>5.3274328806426172E-2</v>
      </c>
      <c r="O22">
        <f>IF(ISBLANK(RawCurrent!O22),"",-(RawCurrent!O22/MIN(RawCurrent!O$7:O$28)))</f>
        <v>0.11277289979586881</v>
      </c>
      <c r="P22">
        <f>IF(ISBLANK(RawCurrent!P22),"",-(RawCurrent!P22/MIN(RawCurrent!P$7:P$28)))</f>
        <v>8.7802116566393501E-2</v>
      </c>
      <c r="Q22">
        <f>IF(ISBLANK(RawCurrent!Q22),"",-(RawCurrent!Q22/MIN(RawCurrent!Q$7:Q$28)))</f>
        <v>8.4918970725404094E-2</v>
      </c>
      <c r="R22">
        <f>IF(ISBLANK(RawCurrent!R22),"",-(RawCurrent!R22/MIN(RawCurrent!R$7:R$28)))</f>
        <v>4.309301451363997E-2</v>
      </c>
      <c r="S22">
        <f>IF(ISBLANK(RawCurrent!S22),"",-(RawCurrent!S22/MIN(RawCurrent!S$7:S$28)))</f>
        <v>0.11205546951667747</v>
      </c>
      <c r="T22">
        <f>IF(ISBLANK(RawCurrent!T22),"",-(RawCurrent!T22/MIN(RawCurrent!T$7:T$28)))</f>
        <v>4.5111592141391849E-2</v>
      </c>
      <c r="U22">
        <f>IF(ISBLANK(RawCurrent!U22),"",-(RawCurrent!U22/MIN(RawCurrent!U$7:U$28)))</f>
        <v>4.5609388296433108E-2</v>
      </c>
      <c r="V22">
        <f>IF(ISBLANK(RawCurrent!V22),"",-(RawCurrent!V22/MIN(RawCurrent!V$7:V$28)))</f>
        <v>4.6333800590796767E-2</v>
      </c>
      <c r="W22">
        <f>IF(ISBLANK(RawCurrent!W22),"",-(RawCurrent!W22/MIN(RawCurrent!W$7:W$28)))</f>
        <v>7.4826312986586624E-2</v>
      </c>
      <c r="X22">
        <f>IF(ISBLANK(RawCurrent!X22),"",-(RawCurrent!X22/MIN(RawCurrent!X$7:X$28)))</f>
        <v>-3.497061965186346E-2</v>
      </c>
      <c r="Y22">
        <f>IF(ISBLANK(RawCurrent!Y22),"",-(RawCurrent!Y22/MIN(RawCurrent!Y$7:Y$28)))</f>
        <v>8.5415962020781028E-2</v>
      </c>
      <c r="Z22">
        <f>IF(ISBLANK(RawCurrent!Z22),"",-(RawCurrent!Z22/MIN(RawCurrent!Z$7:Z$28)))</f>
        <v>8.111540510304438E-2</v>
      </c>
      <c r="AA22">
        <f>IF(ISBLANK(RawCurrent!AA22),"",-(RawCurrent!AA22/MIN(RawCurrent!AA$7:AA$28)))</f>
        <v>0.14904142172321574</v>
      </c>
      <c r="AB22">
        <f>IF(ISBLANK(RawCurrent!AB22),"",-(RawCurrent!AB22/MIN(RawCurrent!AB$7:AB$28)))</f>
        <v>5.371645996430495E-2</v>
      </c>
      <c r="AC22">
        <f>IF(ISBLANK(RawCurrent!AC22),"",-(RawCurrent!AC22/MIN(RawCurrent!AC$7:AC$28)))</f>
        <v>-9.9691294471611611E-2</v>
      </c>
      <c r="AD22">
        <f>IF(ISBLANK(RawCurrent!AD22),"",-(RawCurrent!AD22/MIN(RawCurrent!AD$7:AD$28)))</f>
        <v>-0.10565701197705532</v>
      </c>
      <c r="AE22">
        <f>IF(ISBLANK(RawCurrent!AE22),"",-(RawCurrent!AE22/MIN(RawCurrent!AE$7:AE$28)))</f>
        <v>0.28978165069205292</v>
      </c>
      <c r="AF22">
        <f>IF(ISBLANK(RawCurrent!AF22),"",-(RawCurrent!AF22/MIN(RawCurrent!AF$7:AF$28)))</f>
        <v>8.7770544168009071E-2</v>
      </c>
      <c r="AG22">
        <f>IF(ISBLANK(RawCurrent!AG22),"",-(RawCurrent!AG22/MIN(RawCurrent!AG$7:AG$28)))</f>
        <v>6.5916300666404623E-2</v>
      </c>
      <c r="AH22">
        <f>IF(ISBLANK(RawCurrent!AH22),"",-(RawCurrent!AH22/MIN(RawCurrent!AH$7:AH$28)))</f>
        <v>6.8572230127928194E-2</v>
      </c>
      <c r="AI22">
        <f>IF(ISBLANK(RawCurrent!AI22),"",-(RawCurrent!AI22/MIN(RawCurrent!AI$7:AI$28)))</f>
        <v>3.5409186025855667E-2</v>
      </c>
      <c r="AJ22">
        <f>IF(ISBLANK(RawCurrent!AJ22),"",-(RawCurrent!AJ22/MIN(RawCurrent!AJ$7:AJ$28)))</f>
        <v>7.1125656814096827E-2</v>
      </c>
      <c r="AK22">
        <f>IF(ISBLANK(RawCurrent!AK22),"",-(RawCurrent!AK22/MIN(RawCurrent!AK$7:AK$28)))</f>
        <v>-5.8437445515267257E-2</v>
      </c>
      <c r="AL22">
        <f>IF(ISBLANK(RawCurrent!AL22),"",-(RawCurrent!AL22/MIN(RawCurrent!AL$7:AL$28)))</f>
        <v>6.3945749232569779E-2</v>
      </c>
      <c r="AM22">
        <f>IF(ISBLANK(RawCurrent!AM22),"",-(RawCurrent!AM22/MIN(RawCurrent!AM$7:AM$28)))</f>
        <v>-3.8298416468326699E-2</v>
      </c>
      <c r="AN22" t="str">
        <f>IF(ISBLANK(RawCurrent!AN22),"",-(RawCurrent!AN22/MIN(RawCurrent!AN$7:AN$28)))</f>
        <v/>
      </c>
      <c r="AO22">
        <f>IF(ISBLANK(RawCurrent!AO22),"",-(RawCurrent!AO22/MIN(RawCurrent!AO$7:AO$28)))</f>
        <v>0.23742111340442773</v>
      </c>
      <c r="AP22">
        <f>IF(ISBLANK(RawCurrent!AP22),"",-(RawCurrent!AP22/MIN(RawCurrent!AP$7:AP$28)))</f>
        <v>0.21333992912266095</v>
      </c>
      <c r="AQ22">
        <f>IF(ISBLANK(RawCurrent!AQ22),"",-(RawCurrent!AQ22/MIN(RawCurrent!AQ$7:AQ$28)))</f>
        <v>0.55536341040240433</v>
      </c>
      <c r="AR22">
        <f>IF(ISBLANK(RawCurrent!AR22),"",-(RawCurrent!AR22/MIN(RawCurrent!AR$7:AR$28)))</f>
        <v>0.27697627040609185</v>
      </c>
      <c r="AS22">
        <f>IF(ISBLANK(RawCurrent!AS22),"",-(RawCurrent!AS22/MIN(RawCurrent!AS$7:AS$28)))</f>
        <v>0.11050136806355854</v>
      </c>
      <c r="AT22">
        <f>IF(ISBLANK(RawCurrent!AT22),"",-(RawCurrent!AT22/MIN(RawCurrent!AT$7:AT$28)))</f>
        <v>1.2904785710700906E-2</v>
      </c>
      <c r="AU22">
        <f>IF(ISBLANK(RawCurrent!AU22),"",-(RawCurrent!AU22/MIN(RawCurrent!AU$7:AU$28)))</f>
        <v>5.8285749696830598E-2</v>
      </c>
      <c r="AV22">
        <f>IF(ISBLANK(RawCurrent!AV22),"",-(RawCurrent!AV22/MIN(RawCurrent!AV$7:AV$28)))</f>
        <v>0.24588359266167703</v>
      </c>
      <c r="AW22">
        <f>IF(ISBLANK(RawCurrent!AW22),"",-(RawCurrent!AW22/MIN(RawCurrent!AW$7:AW$28)))</f>
        <v>0.12991663899680811</v>
      </c>
      <c r="AX22">
        <f>IF(ISBLANK(RawCurrent!AX22),"",-(RawCurrent!AX22/MIN(RawCurrent!AX$7:AX$28)))</f>
        <v>-9.8142823404035961E-2</v>
      </c>
      <c r="AY22">
        <f>IF(ISBLANK(RawCurrent!AY22),"",-(RawCurrent!AY22/MIN(RawCurrent!AY$7:AY$28)))</f>
        <v>3.9689992543945285E-2</v>
      </c>
      <c r="AZ22">
        <f>IF(ISBLANK(RawCurrent!AZ22),"",-(RawCurrent!AZ22/MIN(RawCurrent!AZ$7:AZ$28)))</f>
        <v>-0.13304834924661382</v>
      </c>
      <c r="BA22">
        <f>IF(ISBLANK(RawCurrent!BA22),"",-(RawCurrent!BA22/MIN(RawCurrent!BA$7:BA$28)))</f>
        <v>-9.399440728582989E-2</v>
      </c>
      <c r="BB22">
        <f>IF(ISBLANK(RawCurrent!BB22),"",-(RawCurrent!BB22/MIN(RawCurrent!BB$7:BB$28)))</f>
        <v>0.1579790141872586</v>
      </c>
      <c r="BC22">
        <f>IF(ISBLANK(RawCurrent!BC22),"",-(RawCurrent!BC22/MIN(RawCurrent!BC$7:BC$28)))</f>
        <v>4.453326481465103E-2</v>
      </c>
      <c r="BD22">
        <f>IF(ISBLANK(RawCurrent!BD22),"",-(RawCurrent!BD22/MIN(RawCurrent!BD$7:BD$28)))</f>
        <v>0.17963443202435017</v>
      </c>
      <c r="BE22">
        <f>IF(ISBLANK(RawCurrent!BE22),"",-(RawCurrent!BE22/MIN(RawCurrent!BE$7:BE$28)))</f>
        <v>-8.155381342935257E-2</v>
      </c>
      <c r="BF22">
        <f>IF(ISBLANK(RawCurrent!BF22),"",-(RawCurrent!BF22/MIN(RawCurrent!BF$7:BF$28)))</f>
        <v>0.19438146878972251</v>
      </c>
      <c r="BG22">
        <f>IF(ISBLANK(RawCurrent!BG22),"",-(RawCurrent!BG22/MIN(RawCurrent!BG$7:BG$28)))</f>
        <v>-0.11342417981052427</v>
      </c>
      <c r="BH22">
        <f>IF(ISBLANK(RawCurrent!BH22),"",-(RawCurrent!BH22/MIN(RawCurrent!BH$7:BH$28)))</f>
        <v>0.16657342208227799</v>
      </c>
      <c r="BI22">
        <f>IF(ISBLANK(RawCurrent!BI22),"",-(RawCurrent!BI22/MIN(RawCurrent!BI$7:BI$28)))</f>
        <v>0.14908219320143626</v>
      </c>
      <c r="BJ22">
        <f>IF(ISBLANK(RawCurrent!BJ22),"",-(RawCurrent!BJ22/MIN(RawCurrent!BJ$7:BJ$28)))</f>
        <v>-2.3711436622674349E-2</v>
      </c>
      <c r="BK22">
        <f>IF(ISBLANK(RawCurrent!BK22),"",-(RawCurrent!BK22/MIN(RawCurrent!BK$7:BK$28)))</f>
        <v>3.0219380366603679E-2</v>
      </c>
      <c r="BL22">
        <f>IF(ISBLANK(RawCurrent!BL22),"",-(RawCurrent!BL22/MIN(RawCurrent!BL$7:BL$28)))</f>
        <v>7.5707197465834389E-2</v>
      </c>
      <c r="BM22">
        <f>IF(ISBLANK(RawCurrent!BM22),"",-(RawCurrent!BM22/MIN(RawCurrent!BM$7:BM$28)))</f>
        <v>-6.0056525541000945E-2</v>
      </c>
      <c r="BN22">
        <f>IF(ISBLANK(RawCurrent!BN22),"",-(RawCurrent!BN22/MIN(RawCurrent!BN$7:BN$28)))</f>
        <v>0.39933618979443275</v>
      </c>
      <c r="BO22">
        <f>IF(ISBLANK(RawCurrent!BO22),"",-(RawCurrent!BO22/MIN(RawCurrent!BO$7:BO$28)))</f>
        <v>0.15685946904359072</v>
      </c>
      <c r="BP22">
        <f>IF(ISBLANK(RawCurrent!BP22),"",-(RawCurrent!BP22/MIN(RawCurrent!BP$7:BP$28)))</f>
        <v>0.1653069864358977</v>
      </c>
      <c r="BQ22">
        <f>IF(ISBLANK(RawCurrent!BQ22),"",-(RawCurrent!BQ22/MIN(RawCurrent!BQ$7:BQ$28)))</f>
        <v>0.26962837377270565</v>
      </c>
      <c r="BR22">
        <f>IF(ISBLANK(RawCurrent!BR22),"",-(RawCurrent!BR22/MIN(RawCurrent!BR$7:BR$28)))</f>
        <v>0.2229502915932132</v>
      </c>
      <c r="BS22">
        <f>IF(ISBLANK(RawCurrent!BS22),"",-(RawCurrent!BS22/MIN(RawCurrent!BS$7:BS$28)))</f>
        <v>0.15425959250053289</v>
      </c>
      <c r="BT22">
        <f>IF(ISBLANK(RawCurrent!BT22),"",-(RawCurrent!BT22/MIN(RawCurrent!BT$7:BT$28)))</f>
        <v>7.2800247398394594E-2</v>
      </c>
      <c r="BU22">
        <f>IF(ISBLANK(RawCurrent!BU22),"",-(RawCurrent!BU22/MIN(RawCurrent!BU$7:BU$28)))</f>
        <v>-0.25717929144602897</v>
      </c>
      <c r="BV22">
        <f>IF(ISBLANK(RawCurrent!BV22),"",-(RawCurrent!BV22/MIN(RawCurrent!BV$7:BV$28)))</f>
        <v>0.10161258212999212</v>
      </c>
      <c r="BW22">
        <f>IF(ISBLANK(RawCurrent!BW22),"",-(RawCurrent!BW22/MIN(RawCurrent!BW$7:BW$28)))</f>
        <v>-9.2088598979967337E-2</v>
      </c>
      <c r="BX22">
        <f>IF(ISBLANK(RawCurrent!BX22),"",-(RawCurrent!BX22/MIN(RawCurrent!BX$7:BX$28)))</f>
        <v>-2.3797706918562589E-2</v>
      </c>
      <c r="BY22" t="str">
        <f>IF(ISBLANK(RawCurrent!BY22),"",-(RawCurrent!BY22/MIN(RawCurrent!BY$7:BY$28)))</f>
        <v/>
      </c>
      <c r="BZ22">
        <f>IF(ISBLANK(RawCurrent!BZ22),"",-(RawCurrent!BZ22/MIN(RawCurrent!BZ$7:BZ$28)))</f>
        <v>0.52649119035994196</v>
      </c>
      <c r="CA22">
        <f>IF(ISBLANK(RawCurrent!CA22),"",-(RawCurrent!CA22/MIN(RawCurrent!CA$7:CA$28)))</f>
        <v>0.39169921957220932</v>
      </c>
      <c r="CB22">
        <f>IF(ISBLANK(RawCurrent!CB22),"",-(RawCurrent!CB22/MIN(RawCurrent!CB$7:CB$28)))</f>
        <v>9.1348190756216266E-2</v>
      </c>
      <c r="CC22">
        <f>IF(ISBLANK(RawCurrent!CC22),"",-(RawCurrent!CC22/MIN(RawCurrent!CC$7:CC$28)))</f>
        <v>-0.45051749441900518</v>
      </c>
      <c r="CD22">
        <f>IF(ISBLANK(RawCurrent!CD22),"",-(RawCurrent!CD22/MIN(RawCurrent!CD$7:CD$28)))</f>
        <v>-6.5998097340131442E-2</v>
      </c>
    </row>
    <row r="23" spans="1:82" x14ac:dyDescent="0.2">
      <c r="A23" s="3">
        <f t="shared" si="0"/>
        <v>80</v>
      </c>
      <c r="B23">
        <f>IF(ISBLANK(RawCurrent!B23),"",-(RawCurrent!B23/MIN(RawCurrent!B$7:B$28)))</f>
        <v>-7.9437750969454116E-2</v>
      </c>
      <c r="C23">
        <f>IF(ISBLANK(RawCurrent!C23),"",-(RawCurrent!C23/MIN(RawCurrent!C$7:C$28)))</f>
        <v>-7.0426275286061268E-2</v>
      </c>
      <c r="D23">
        <f>IF(ISBLANK(RawCurrent!D23),"",-(RawCurrent!D23/MIN(RawCurrent!D$7:D$28)))</f>
        <v>0.13818946101346738</v>
      </c>
      <c r="E23">
        <f>IF(ISBLANK(RawCurrent!E23),"",-(RawCurrent!E23/MIN(RawCurrent!E$7:E$28)))</f>
        <v>0.16924493342563313</v>
      </c>
      <c r="F23">
        <f>IF(ISBLANK(RawCurrent!F23),"",-(RawCurrent!F23/MIN(RawCurrent!F$7:F$28)))</f>
        <v>0.40041071852249038</v>
      </c>
      <c r="G23">
        <f>IF(ISBLANK(RawCurrent!G23),"",-(RawCurrent!G23/MIN(RawCurrent!G$7:G$28)))</f>
        <v>7.1415314018662995E-2</v>
      </c>
      <c r="H23">
        <f>IF(ISBLANK(RawCurrent!H23),"",-(RawCurrent!H23/MIN(RawCurrent!H$7:H$28)))</f>
        <v>-0.10226880577033834</v>
      </c>
      <c r="I23">
        <f>IF(ISBLANK(RawCurrent!I23),"",-(RawCurrent!I23/MIN(RawCurrent!I$7:I$28)))</f>
        <v>3.848267194762512E-2</v>
      </c>
      <c r="J23">
        <f>IF(ISBLANK(RawCurrent!J23),"",-(RawCurrent!J23/MIN(RawCurrent!J$7:J$28)))</f>
        <v>0.21184478129036013</v>
      </c>
      <c r="K23">
        <f>IF(ISBLANK(RawCurrent!K23),"",-(RawCurrent!K23/MIN(RawCurrent!K$7:K$28)))</f>
        <v>-5.8204182789578306E-2</v>
      </c>
      <c r="L23">
        <f>IF(ISBLANK(RawCurrent!L23),"",-(RawCurrent!L23/MIN(RawCurrent!L$7:L$28)))</f>
        <v>0.18341232934140331</v>
      </c>
      <c r="M23">
        <f>IF(ISBLANK(RawCurrent!M23),"",-(RawCurrent!M23/MIN(RawCurrent!M$7:M$28)))</f>
        <v>4.9404590026229364E-2</v>
      </c>
      <c r="N23">
        <f>IF(ISBLANK(RawCurrent!N23),"",-(RawCurrent!N23/MIN(RawCurrent!N$7:N$28)))</f>
        <v>0.18917710826817813</v>
      </c>
      <c r="O23">
        <f>IF(ISBLANK(RawCurrent!O23),"",-(RawCurrent!O23/MIN(RawCurrent!O$7:O$28)))</f>
        <v>0.24244852098014688</v>
      </c>
      <c r="P23">
        <f>IF(ISBLANK(RawCurrent!P23),"",-(RawCurrent!P23/MIN(RawCurrent!P$7:P$28)))</f>
        <v>0.26281201307950847</v>
      </c>
      <c r="Q23">
        <f>IF(ISBLANK(RawCurrent!Q23),"",-(RawCurrent!Q23/MIN(RawCurrent!Q$7:Q$28)))</f>
        <v>0.14174959684588173</v>
      </c>
      <c r="R23">
        <f>IF(ISBLANK(RawCurrent!R23),"",-(RawCurrent!R23/MIN(RawCurrent!R$7:R$28)))</f>
        <v>0.10438502985333246</v>
      </c>
      <c r="S23">
        <f>IF(ISBLANK(RawCurrent!S23),"",-(RawCurrent!S23/MIN(RawCurrent!S$7:S$28)))</f>
        <v>0.17947504003485956</v>
      </c>
      <c r="T23">
        <f>IF(ISBLANK(RawCurrent!T23),"",-(RawCurrent!T23/MIN(RawCurrent!T$7:T$28)))</f>
        <v>0.12515110735600626</v>
      </c>
      <c r="U23">
        <f>IF(ISBLANK(RawCurrent!U23),"",-(RawCurrent!U23/MIN(RawCurrent!U$7:U$28)))</f>
        <v>0.18471989579461148</v>
      </c>
      <c r="V23">
        <f>IF(ISBLANK(RawCurrent!V23),"",-(RawCurrent!V23/MIN(RawCurrent!V$7:V$28)))</f>
        <v>0.18847317156244756</v>
      </c>
      <c r="W23">
        <f>IF(ISBLANK(RawCurrent!W23),"",-(RawCurrent!W23/MIN(RawCurrent!W$7:W$28)))</f>
        <v>0.12376438211903405</v>
      </c>
      <c r="X23">
        <f>IF(ISBLANK(RawCurrent!X23),"",-(RawCurrent!X23/MIN(RawCurrent!X$7:X$28)))</f>
        <v>0.17180678884041692</v>
      </c>
      <c r="Y23">
        <f>IF(ISBLANK(RawCurrent!Y23),"",-(RawCurrent!Y23/MIN(RawCurrent!Y$7:Y$28)))</f>
        <v>0.1738418667144383</v>
      </c>
      <c r="Z23">
        <f>IF(ISBLANK(RawCurrent!Z23),"",-(RawCurrent!Z23/MIN(RawCurrent!Z$7:Z$28)))</f>
        <v>0.19945811894548374</v>
      </c>
      <c r="AA23">
        <f>IF(ISBLANK(RawCurrent!AA23),"",-(RawCurrent!AA23/MIN(RawCurrent!AA$7:AA$28)))</f>
        <v>0.23989020252114246</v>
      </c>
      <c r="AB23">
        <f>IF(ISBLANK(RawCurrent!AB23),"",-(RawCurrent!AB23/MIN(RawCurrent!AB$7:AB$28)))</f>
        <v>0.18483794246888835</v>
      </c>
      <c r="AC23">
        <f>IF(ISBLANK(RawCurrent!AC23),"",-(RawCurrent!AC23/MIN(RawCurrent!AC$7:AC$28)))</f>
        <v>1.4619095423726202E-2</v>
      </c>
      <c r="AD23">
        <f>IF(ISBLANK(RawCurrent!AD23),"",-(RawCurrent!AD23/MIN(RawCurrent!AD$7:AD$28)))</f>
        <v>0.26706085550819247</v>
      </c>
      <c r="AE23">
        <f>IF(ISBLANK(RawCurrent!AE23),"",-(RawCurrent!AE23/MIN(RawCurrent!AE$7:AE$28)))</f>
        <v>0.56230145589362568</v>
      </c>
      <c r="AF23">
        <f>IF(ISBLANK(RawCurrent!AF23),"",-(RawCurrent!AF23/MIN(RawCurrent!AF$7:AF$28)))</f>
        <v>0.18751627519336098</v>
      </c>
      <c r="AG23">
        <f>IF(ISBLANK(RawCurrent!AG23),"",-(RawCurrent!AG23/MIN(RawCurrent!AG$7:AG$28)))</f>
        <v>0.16624902905014918</v>
      </c>
      <c r="AH23">
        <f>IF(ISBLANK(RawCurrent!AH23),"",-(RawCurrent!AH23/MIN(RawCurrent!AH$7:AH$28)))</f>
        <v>9.8609306249867842E-2</v>
      </c>
      <c r="AI23">
        <f>IF(ISBLANK(RawCurrent!AI23),"",-(RawCurrent!AI23/MIN(RawCurrent!AI$7:AI$28)))</f>
        <v>0.17405749707566689</v>
      </c>
      <c r="AJ23">
        <f>IF(ISBLANK(RawCurrent!AJ23),"",-(RawCurrent!AJ23/MIN(RawCurrent!AJ$7:AJ$28)))</f>
        <v>8.7749837797137006E-2</v>
      </c>
      <c r="AK23">
        <f>IF(ISBLANK(RawCurrent!AK23),"",-(RawCurrent!AK23/MIN(RawCurrent!AK$7:AK$28)))</f>
        <v>8.2224845097099708E-2</v>
      </c>
      <c r="AL23">
        <f>IF(ISBLANK(RawCurrent!AL23),"",-(RawCurrent!AL23/MIN(RawCurrent!AL$7:AL$28)))</f>
        <v>0.18964508280032444</v>
      </c>
      <c r="AM23">
        <f>IF(ISBLANK(RawCurrent!AM23),"",-(RawCurrent!AM23/MIN(RawCurrent!AM$7:AM$28)))</f>
        <v>0.14529929014217141</v>
      </c>
      <c r="AN23" t="str">
        <f>IF(ISBLANK(RawCurrent!AN23),"",-(RawCurrent!AN23/MIN(RawCurrent!AN$7:AN$28)))</f>
        <v/>
      </c>
      <c r="AO23">
        <f>IF(ISBLANK(RawCurrent!AO23),"",-(RawCurrent!AO23/MIN(RawCurrent!AO$7:AO$28)))</f>
        <v>0.32917128310156518</v>
      </c>
      <c r="AP23">
        <f>IF(ISBLANK(RawCurrent!AP23),"",-(RawCurrent!AP23/MIN(RawCurrent!AP$7:AP$28)))</f>
        <v>0.32876847219837485</v>
      </c>
      <c r="AQ23">
        <f>IF(ISBLANK(RawCurrent!AQ23),"",-(RawCurrent!AQ23/MIN(RawCurrent!AQ$7:AQ$28)))</f>
        <v>-0.16897421353835881</v>
      </c>
      <c r="AR23">
        <f>IF(ISBLANK(RawCurrent!AR23),"",-(RawCurrent!AR23/MIN(RawCurrent!AR$7:AR$28)))</f>
        <v>0.35204440071124471</v>
      </c>
      <c r="AS23">
        <f>IF(ISBLANK(RawCurrent!AS23),"",-(RawCurrent!AS23/MIN(RawCurrent!AS$7:AS$28)))</f>
        <v>0.12470350461111147</v>
      </c>
      <c r="AT23">
        <f>IF(ISBLANK(RawCurrent!AT23),"",-(RawCurrent!AT23/MIN(RawCurrent!AT$7:AT$28)))</f>
        <v>0.23283186177035933</v>
      </c>
      <c r="AU23">
        <f>IF(ISBLANK(RawCurrent!AU23),"",-(RawCurrent!AU23/MIN(RawCurrent!AU$7:AU$28)))</f>
        <v>0.13249089590136695</v>
      </c>
      <c r="AV23">
        <f>IF(ISBLANK(RawCurrent!AV23),"",-(RawCurrent!AV23/MIN(RawCurrent!AV$7:AV$28)))</f>
        <v>0.40439051782606639</v>
      </c>
      <c r="AW23">
        <f>IF(ISBLANK(RawCurrent!AW23),"",-(RawCurrent!AW23/MIN(RawCurrent!AW$7:AW$28)))</f>
        <v>0.18085920364127359</v>
      </c>
      <c r="AX23">
        <f>IF(ISBLANK(RawCurrent!AX23),"",-(RawCurrent!AX23/MIN(RawCurrent!AX$7:AX$28)))</f>
        <v>3.7657046253074235E-2</v>
      </c>
      <c r="AY23">
        <f>IF(ISBLANK(RawCurrent!AY23),"",-(RawCurrent!AY23/MIN(RawCurrent!AY$7:AY$28)))</f>
        <v>0.13662748388205581</v>
      </c>
      <c r="AZ23">
        <f>IF(ISBLANK(RawCurrent!AZ23),"",-(RawCurrent!AZ23/MIN(RawCurrent!AZ$7:AZ$28)))</f>
        <v>6.0977123309464774E-2</v>
      </c>
      <c r="BA23">
        <f>IF(ISBLANK(RawCurrent!BA23),"",-(RawCurrent!BA23/MIN(RawCurrent!BA$7:BA$28)))</f>
        <v>0.10798982379482414</v>
      </c>
      <c r="BB23" t="str">
        <f>IF(ISBLANK(RawCurrent!BB23),"",-(RawCurrent!BB23/MIN(RawCurrent!BB$7:BB$28)))</f>
        <v/>
      </c>
      <c r="BC23">
        <f>IF(ISBLANK(RawCurrent!BC23),"",-(RawCurrent!BC23/MIN(RawCurrent!BC$7:BC$28)))</f>
        <v>0.11974981268875351</v>
      </c>
      <c r="BD23">
        <f>IF(ISBLANK(RawCurrent!BD23),"",-(RawCurrent!BD23/MIN(RawCurrent!BD$7:BD$28)))</f>
        <v>0.25550637677917409</v>
      </c>
      <c r="BE23">
        <f>IF(ISBLANK(RawCurrent!BE23),"",-(RawCurrent!BE23/MIN(RawCurrent!BE$7:BE$28)))</f>
        <v>-9.8844520224444454E-2</v>
      </c>
      <c r="BF23">
        <f>IF(ISBLANK(RawCurrent!BF23),"",-(RawCurrent!BF23/MIN(RawCurrent!BF$7:BF$28)))</f>
        <v>0.27748571326098626</v>
      </c>
      <c r="BG23">
        <f>IF(ISBLANK(RawCurrent!BG23),"",-(RawCurrent!BG23/MIN(RawCurrent!BG$7:BG$28)))</f>
        <v>3.7126505848945009E-2</v>
      </c>
      <c r="BH23">
        <f>IF(ISBLANK(RawCurrent!BH23),"",-(RawCurrent!BH23/MIN(RawCurrent!BH$7:BH$28)))</f>
        <v>0.15908969616436897</v>
      </c>
      <c r="BI23" t="str">
        <f>IF(ISBLANK(RawCurrent!BI23),"",-(RawCurrent!BI23/MIN(RawCurrent!BI$7:BI$28)))</f>
        <v/>
      </c>
      <c r="BJ23">
        <f>IF(ISBLANK(RawCurrent!BJ23),"",-(RawCurrent!BJ23/MIN(RawCurrent!BJ$7:BJ$28)))</f>
        <v>0.15609265049316662</v>
      </c>
      <c r="BK23">
        <f>IF(ISBLANK(RawCurrent!BK23),"",-(RawCurrent!BK23/MIN(RawCurrent!BK$7:BK$28)))</f>
        <v>0.1833163380325411</v>
      </c>
      <c r="BL23">
        <f>IF(ISBLANK(RawCurrent!BL23),"",-(RawCurrent!BL23/MIN(RawCurrent!BL$7:BL$28)))</f>
        <v>0.17011317653283822</v>
      </c>
      <c r="BM23">
        <f>IF(ISBLANK(RawCurrent!BM23),"",-(RawCurrent!BM23/MIN(RawCurrent!BM$7:BM$28)))</f>
        <v>-5.3195415117464957E-2</v>
      </c>
      <c r="BN23">
        <f>IF(ISBLANK(RawCurrent!BN23),"",-(RawCurrent!BN23/MIN(RawCurrent!BN$7:BN$28)))</f>
        <v>0.50078627603583936</v>
      </c>
      <c r="BO23">
        <f>IF(ISBLANK(RawCurrent!BO23),"",-(RawCurrent!BO23/MIN(RawCurrent!BO$7:BO$28)))</f>
        <v>0.24913463252611662</v>
      </c>
      <c r="BP23">
        <f>IF(ISBLANK(RawCurrent!BP23),"",-(RawCurrent!BP23/MIN(RawCurrent!BP$7:BP$28)))</f>
        <v>0.2429404637665733</v>
      </c>
      <c r="BQ23">
        <f>IF(ISBLANK(RawCurrent!BQ23),"",-(RawCurrent!BQ23/MIN(RawCurrent!BQ$7:BQ$28)))</f>
        <v>0.44830141764564474</v>
      </c>
      <c r="BR23">
        <f>IF(ISBLANK(RawCurrent!BR23),"",-(RawCurrent!BR23/MIN(RawCurrent!BR$7:BR$28)))</f>
        <v>0.35929641965510845</v>
      </c>
      <c r="BS23">
        <f>IF(ISBLANK(RawCurrent!BS23),"",-(RawCurrent!BS23/MIN(RawCurrent!BS$7:BS$28)))</f>
        <v>0.28888851771457819</v>
      </c>
      <c r="BT23">
        <f>IF(ISBLANK(RawCurrent!BT23),"",-(RawCurrent!BT23/MIN(RawCurrent!BT$7:BT$28)))</f>
        <v>0.20350948734062815</v>
      </c>
      <c r="BU23">
        <f>IF(ISBLANK(RawCurrent!BU23),"",-(RawCurrent!BU23/MIN(RawCurrent!BU$7:BU$28)))</f>
        <v>0.10643095605814637</v>
      </c>
      <c r="BV23">
        <f>IF(ISBLANK(RawCurrent!BV23),"",-(RawCurrent!BV23/MIN(RawCurrent!BV$7:BV$28)))</f>
        <v>0.11977852409497458</v>
      </c>
      <c r="BW23">
        <f>IF(ISBLANK(RawCurrent!BW23),"",-(RawCurrent!BW23/MIN(RawCurrent!BW$7:BW$28)))</f>
        <v>0.15120418565698218</v>
      </c>
      <c r="BX23">
        <f>IF(ISBLANK(RawCurrent!BX23),"",-(RawCurrent!BX23/MIN(RawCurrent!BX$7:BX$28)))</f>
        <v>3.2014115089676706E-2</v>
      </c>
      <c r="BY23" t="str">
        <f>IF(ISBLANK(RawCurrent!BY23),"",-(RawCurrent!BY23/MIN(RawCurrent!BY$7:BY$28)))</f>
        <v/>
      </c>
      <c r="BZ23">
        <f>IF(ISBLANK(RawCurrent!BZ23),"",-(RawCurrent!BZ23/MIN(RawCurrent!BZ$7:BZ$28)))</f>
        <v>0.42110570063311409</v>
      </c>
      <c r="CA23">
        <f>IF(ISBLANK(RawCurrent!CA23),"",-(RawCurrent!CA23/MIN(RawCurrent!CA$7:CA$28)))</f>
        <v>0.58034498968287096</v>
      </c>
      <c r="CB23">
        <f>IF(ISBLANK(RawCurrent!CB23),"",-(RawCurrent!CB23/MIN(RawCurrent!CB$7:CB$28)))</f>
        <v>0.11364331567559346</v>
      </c>
      <c r="CC23">
        <f>IF(ISBLANK(RawCurrent!CC23),"",-(RawCurrent!CC23/MIN(RawCurrent!CC$7:CC$28)))</f>
        <v>-0.25611182375547353</v>
      </c>
      <c r="CD23">
        <f>IF(ISBLANK(RawCurrent!CD23),"",-(RawCurrent!CD23/MIN(RawCurrent!CD$7:CD$28)))</f>
        <v>6.3327427201182299E-2</v>
      </c>
    </row>
    <row r="24" spans="1:82" x14ac:dyDescent="0.2">
      <c r="A24" s="3">
        <f t="shared" si="0"/>
        <v>90</v>
      </c>
      <c r="B24">
        <f>IF(ISBLANK(RawCurrent!B24),"",-(RawCurrent!B24/MIN(RawCurrent!B$7:B$28)))</f>
        <v>0.11925614073738763</v>
      </c>
      <c r="C24">
        <f>IF(ISBLANK(RawCurrent!C24),"",-(RawCurrent!C24/MIN(RawCurrent!C$7:C$28)))</f>
        <v>4.5216298532979454E-2</v>
      </c>
      <c r="K24">
        <f>IF(ISBLANK(RawCurrent!K24),"",-(RawCurrent!K24/MIN(RawCurrent!K$7:K$28)))</f>
        <v>3.8817029095505669E-2</v>
      </c>
      <c r="M24">
        <f>IF(ISBLANK(RawCurrent!M24),"",-(RawCurrent!M24/MIN(RawCurrent!M$7:M$28)))</f>
        <v>0.10496864380623612</v>
      </c>
      <c r="AC24">
        <f>IF(ISBLANK(RawCurrent!AC24),"",-(RawCurrent!AC24/MIN(RawCurrent!AC$7:AC$28)))</f>
        <v>0.25448933751881836</v>
      </c>
    </row>
    <row r="25" spans="1:82" x14ac:dyDescent="0.2">
      <c r="A25" s="3">
        <f>A24+10</f>
        <v>100</v>
      </c>
      <c r="B25">
        <f>IF(ISBLANK(RawCurrent!B25),"",-(RawCurrent!B25/MIN(RawCurrent!B$7:B$28)))</f>
        <v>0.21319678070626835</v>
      </c>
      <c r="C25">
        <f>IF(ISBLANK(RawCurrent!C25),"",-(RawCurrent!C25/MIN(RawCurrent!C$7:C$28)))</f>
        <v>8.8082523716734001E-2</v>
      </c>
      <c r="K25">
        <f>IF(ISBLANK(RawCurrent!K25),"",-(RawCurrent!K25/MIN(RawCurrent!K$7:K$28)))</f>
        <v>0.10815943759326913</v>
      </c>
      <c r="M25">
        <f>IF(ISBLANK(RawCurrent!M25),"",-(RawCurrent!M25/MIN(RawCurrent!M$7:M$28)))</f>
        <v>0.19983203228221064</v>
      </c>
      <c r="AC25">
        <f>IF(ISBLANK(RawCurrent!AC25),"",-(RawCurrent!AC25/MIN(RawCurrent!AC$7:AC$28)))</f>
        <v>0.32309556172277409</v>
      </c>
    </row>
    <row r="26" spans="1:82" x14ac:dyDescent="0.2">
      <c r="A26" s="3">
        <f t="shared" si="0"/>
        <v>110</v>
      </c>
      <c r="B26">
        <f>IF(ISBLANK(RawCurrent!B26),"",-(RawCurrent!B26/MIN(RawCurrent!B$7:B$28)))</f>
        <v>0.27655958636619432</v>
      </c>
      <c r="C26">
        <f>IF(ISBLANK(RawCurrent!C26),"",-(RawCurrent!C26/MIN(RawCurrent!C$7:C$28)))</f>
        <v>0.1333870449162517</v>
      </c>
      <c r="K26">
        <f>IF(ISBLANK(RawCurrent!K26),"",-(RawCurrent!K26/MIN(RawCurrent!K$7:K$28)))</f>
        <v>0.16582183685375454</v>
      </c>
      <c r="M26">
        <f>IF(ISBLANK(RawCurrent!M26),"",-(RawCurrent!M26/MIN(RawCurrent!M$7:M$28)))</f>
        <v>0.24445141413178248</v>
      </c>
      <c r="AC26">
        <f>IF(ISBLANK(RawCurrent!AC26),"",-(RawCurrent!AC26/MIN(RawCurrent!AC$7:AC$28)))</f>
        <v>0.38886914255065141</v>
      </c>
    </row>
    <row r="27" spans="1:82" x14ac:dyDescent="0.2">
      <c r="A27" s="3">
        <f t="shared" si="0"/>
        <v>120</v>
      </c>
      <c r="B27">
        <f>IF(ISBLANK(RawCurrent!B27),"",-(RawCurrent!B27/MIN(RawCurrent!B$7:B$28)))</f>
        <v>0.31908030506181545</v>
      </c>
    </row>
    <row r="28" spans="1:82" x14ac:dyDescent="0.2">
      <c r="A28" s="3">
        <v>130</v>
      </c>
      <c r="B28">
        <f>IF(ISBLANK(RawCurrent!B28),"",-(RawCurrent!B28/MIN(RawCurrent!B$7:B$28)))</f>
        <v>0.34263536644767528</v>
      </c>
    </row>
    <row r="29" spans="1:82" x14ac:dyDescent="0.2">
      <c r="A29" s="3" t="s">
        <v>79</v>
      </c>
      <c r="F29" t="s">
        <v>215</v>
      </c>
      <c r="AY29" t="s">
        <v>215</v>
      </c>
      <c r="BS29" t="s">
        <v>215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I30"/>
  <sheetViews>
    <sheetView workbookViewId="0"/>
  </sheetViews>
  <sheetFormatPr baseColWidth="10" defaultColWidth="8.83203125" defaultRowHeight="15" x14ac:dyDescent="0.2"/>
  <cols>
    <col min="1" max="1" width="21.6640625" style="3" bestFit="1" customWidth="1"/>
    <col min="84" max="84" width="12.6640625" bestFit="1" customWidth="1"/>
  </cols>
  <sheetData>
    <row r="1" spans="1:113" x14ac:dyDescent="0.2">
      <c r="A1" s="2" t="s">
        <v>4</v>
      </c>
      <c r="B1" t="str">
        <f>RawCurrent!B1</f>
        <v>REdC</v>
      </c>
      <c r="C1" t="str">
        <f>RawCurrent!C1</f>
        <v>REdC</v>
      </c>
      <c r="D1" t="str">
        <f>RawCurrent!D1</f>
        <v>REdC</v>
      </c>
      <c r="E1" t="str">
        <f>RawCurrent!E1</f>
        <v>REdC</v>
      </c>
      <c r="F1" t="str">
        <f>RawCurrent!F1</f>
        <v>REdC</v>
      </c>
      <c r="G1" t="str">
        <f>RawCurrent!G1</f>
        <v>REdC</v>
      </c>
      <c r="H1" t="str">
        <f>RawCurrent!H1</f>
        <v>REdC</v>
      </c>
      <c r="I1" t="str">
        <f>RawCurrent!I1</f>
        <v>REdC</v>
      </c>
      <c r="J1" t="str">
        <f>RawCurrent!J1</f>
        <v>REdC</v>
      </c>
      <c r="K1" t="str">
        <f>RawCurrent!K1</f>
        <v>REdC</v>
      </c>
      <c r="L1" t="str">
        <f>RawCurrent!L1</f>
        <v>REdC</v>
      </c>
      <c r="M1" t="str">
        <f>RawCurrent!M1</f>
        <v>REdC</v>
      </c>
      <c r="N1" t="str">
        <f>RawCurrent!N1</f>
        <v>REdC</v>
      </c>
      <c r="O1" t="str">
        <f>RawCurrent!O1</f>
        <v>REdC</v>
      </c>
      <c r="P1" t="str">
        <f>RawCurrent!P1</f>
        <v>REdC</v>
      </c>
      <c r="Q1" t="str">
        <f>RawCurrent!Q1</f>
        <v>REdC</v>
      </c>
      <c r="R1" t="str">
        <f>RawCurrent!R1</f>
        <v>REdC</v>
      </c>
      <c r="S1" t="str">
        <f>RawCurrent!S1</f>
        <v>REdC</v>
      </c>
      <c r="T1" t="str">
        <f>RawCurrent!T1</f>
        <v>REdC</v>
      </c>
      <c r="U1" t="str">
        <f>RawCurrent!U1</f>
        <v>REdC</v>
      </c>
      <c r="V1" t="str">
        <f>RawCurrent!V1</f>
        <v>REdC</v>
      </c>
      <c r="W1" t="str">
        <f>RawCurrent!W1</f>
        <v>REdC</v>
      </c>
      <c r="X1" t="str">
        <f>RawCurrent!X1</f>
        <v>REdC</v>
      </c>
      <c r="Y1" t="str">
        <f>RawCurrent!Y1</f>
        <v>REdC</v>
      </c>
      <c r="Z1" t="str">
        <f>RawCurrent!Z1</f>
        <v>REdC</v>
      </c>
      <c r="AA1" t="str">
        <f>RawCurrent!AA1</f>
        <v>REdC</v>
      </c>
      <c r="AB1" t="str">
        <f>RawCurrent!AB1</f>
        <v>REdC</v>
      </c>
      <c r="AC1" t="str">
        <f>RawCurrent!AC1</f>
        <v>REdC</v>
      </c>
      <c r="AD1" t="str">
        <f>RawCurrent!AD1</f>
        <v>REdC</v>
      </c>
      <c r="AE1" t="str">
        <f>RawCurrent!AE1</f>
        <v>REdC</v>
      </c>
      <c r="AF1" t="str">
        <f>RawCurrent!AF1</f>
        <v>REdC</v>
      </c>
      <c r="AG1" t="str">
        <f>RawCurrent!AG1</f>
        <v>REdC</v>
      </c>
      <c r="AH1" t="str">
        <f>RawCurrent!AH1</f>
        <v>REdC</v>
      </c>
      <c r="AI1" t="str">
        <f>RawCurrent!AI1</f>
        <v>REdC</v>
      </c>
      <c r="AJ1" t="str">
        <f>RawCurrent!AJ1</f>
        <v>REdC</v>
      </c>
      <c r="AK1" t="str">
        <f>RawCurrent!AK1</f>
        <v>REdC</v>
      </c>
      <c r="AL1" t="str">
        <f>RawCurrent!AL1</f>
        <v>REdC</v>
      </c>
      <c r="AM1" t="str">
        <f>RawCurrent!AM1</f>
        <v>REdC</v>
      </c>
      <c r="AN1" t="str">
        <f>RawCurrent!AN1</f>
        <v>REdC</v>
      </c>
      <c r="AO1" t="str">
        <f>RawCurrent!AO1</f>
        <v>REdC</v>
      </c>
      <c r="AP1" t="str">
        <f>RawCurrent!AP1</f>
        <v>REdC</v>
      </c>
      <c r="AQ1" t="str">
        <f>RawCurrent!AQ1</f>
        <v>REdC</v>
      </c>
      <c r="AR1" t="str">
        <f>RawCurrent!AR1</f>
        <v>REdC</v>
      </c>
      <c r="AS1" t="str">
        <f>RawCurrent!AS1</f>
        <v>REdC</v>
      </c>
      <c r="AT1" t="str">
        <f>RawCurrent!AT1</f>
        <v>REdC</v>
      </c>
      <c r="AU1" t="str">
        <f>RawCurrent!AU1</f>
        <v>REdC</v>
      </c>
      <c r="AV1" t="str">
        <f>RawCurrent!AV1</f>
        <v>REdC</v>
      </c>
      <c r="AW1" t="str">
        <f>RawCurrent!AW1</f>
        <v>REdC</v>
      </c>
      <c r="AX1" t="str">
        <f>RawCurrent!AX1</f>
        <v>REdC</v>
      </c>
      <c r="AY1" t="str">
        <f>RawCurrent!AY1</f>
        <v>REdC</v>
      </c>
      <c r="AZ1" t="str">
        <f>RawCurrent!AZ1</f>
        <v>REdC</v>
      </c>
      <c r="BA1" t="str">
        <f>RawCurrent!BA1</f>
        <v>REdC</v>
      </c>
      <c r="BB1" t="str">
        <f>RawCurrent!BB1</f>
        <v>REdC</v>
      </c>
      <c r="BC1" t="str">
        <f>RawCurrent!BC1</f>
        <v>REdC</v>
      </c>
      <c r="BD1" t="str">
        <f>RawCurrent!BD1</f>
        <v>REdC</v>
      </c>
      <c r="BE1" t="str">
        <f>RawCurrent!BE1</f>
        <v>REdC</v>
      </c>
      <c r="BF1" t="str">
        <f>RawCurrent!BF1</f>
        <v>REdC</v>
      </c>
      <c r="BG1" t="str">
        <f>RawCurrent!BG1</f>
        <v>REdC</v>
      </c>
      <c r="BH1" t="str">
        <f>RawCurrent!BH1</f>
        <v>REdC</v>
      </c>
      <c r="BI1" t="str">
        <f>RawCurrent!BI1</f>
        <v>REdC</v>
      </c>
      <c r="BJ1" t="str">
        <f>RawCurrent!BJ1</f>
        <v>REdC</v>
      </c>
      <c r="BK1" t="str">
        <f>RawCurrent!BK1</f>
        <v>REdC</v>
      </c>
      <c r="BL1" t="str">
        <f>RawCurrent!BL1</f>
        <v>REdC</v>
      </c>
      <c r="BM1" t="str">
        <f>RawCurrent!BM1</f>
        <v>REdC</v>
      </c>
      <c r="BN1" t="str">
        <f>RawCurrent!BN1</f>
        <v>REdC</v>
      </c>
      <c r="BO1" t="str">
        <f>RawCurrent!BO1</f>
        <v>REdC</v>
      </c>
      <c r="BP1" t="str">
        <f>RawCurrent!BP1</f>
        <v>REdC</v>
      </c>
      <c r="BQ1" t="str">
        <f>RawCurrent!BQ1</f>
        <v>REdC</v>
      </c>
      <c r="BR1" t="str">
        <f>RawCurrent!BR1</f>
        <v>REdC</v>
      </c>
      <c r="BS1" t="str">
        <f>RawCurrent!BS1</f>
        <v>REdC</v>
      </c>
      <c r="BT1" t="str">
        <f>RawCurrent!BT1</f>
        <v>REdC</v>
      </c>
      <c r="BU1" t="str">
        <f>RawCurrent!BU1</f>
        <v>REdC</v>
      </c>
      <c r="BV1" t="str">
        <f>RawCurrent!BV1</f>
        <v>REdC</v>
      </c>
      <c r="BW1" t="str">
        <f>RawCurrent!BW1</f>
        <v>REdC</v>
      </c>
      <c r="BX1" t="str">
        <f>RawCurrent!BX1</f>
        <v>REdC</v>
      </c>
      <c r="BY1" t="str">
        <f>RawCurrent!BY1</f>
        <v>REdC</v>
      </c>
      <c r="BZ1" t="str">
        <f>RawCurrent!BZ1</f>
        <v>REdC</v>
      </c>
      <c r="CA1" t="str">
        <f>RawCurrent!CA1</f>
        <v>REdC</v>
      </c>
      <c r="CB1" t="str">
        <f>RawCurrent!CB1</f>
        <v>REdC</v>
      </c>
      <c r="CC1" t="str">
        <f>RawCurrent!CC1</f>
        <v>REdC</v>
      </c>
      <c r="CD1" t="str">
        <f>RawCurrent!CD1</f>
        <v>REdC</v>
      </c>
    </row>
    <row r="2" spans="1:113" x14ac:dyDescent="0.2">
      <c r="A2" s="2" t="s">
        <v>3</v>
      </c>
      <c r="B2" t="str">
        <f>RawCurrent!B2</f>
        <v>WT1_REdC_IV_18704034</v>
      </c>
      <c r="C2" t="str">
        <f>RawCurrent!C2</f>
        <v>WT2_REdC_IV_1.26.2018 WT cell 5 IV'</v>
      </c>
      <c r="D2" t="str">
        <f>RawCurrent!D2</f>
        <v>WT3_REdC_IV_17728035 Final</v>
      </c>
      <c r="E2" t="str">
        <f>RawCurrent!E2</f>
        <v>WT4_REdC_IV_18705015</v>
      </c>
      <c r="F2" t="str">
        <f>RawCurrent!F2</f>
        <v>WT5_REdC_IV_17728025 Final</v>
      </c>
      <c r="G2" t="str">
        <f>RawCurrent!G2</f>
        <v>WT6_REdC_IV_wt iv final</v>
      </c>
      <c r="H2" t="str">
        <f>RawCurrent!H2</f>
        <v>WT7_REdC_IV_1.26.2018</v>
      </c>
      <c r="I2" t="str">
        <f>RawCurrent!I2</f>
        <v>WT8_REdC_IV</v>
      </c>
      <c r="J2" t="str">
        <f>RawCurrent!J2</f>
        <v>WT9_REdC_IV_17504013 Final</v>
      </c>
      <c r="K2" t="str">
        <f>RawCurrent!K2</f>
        <v>WT10_REdC_IV_1.26.2018 WT cell 2 IV' -120 conditioning</v>
      </c>
      <c r="L2" t="str">
        <f>RawCurrent!L2</f>
        <v>WT11_REdC_IV_17723017</v>
      </c>
      <c r="M2" t="str">
        <f>RawCurrent!M2</f>
        <v>WT12_REdC_IV_17721049 Final filtered</v>
      </c>
      <c r="N2" t="str">
        <f>RawCurrent!N2</f>
        <v>WT13_REdC_IV_17723001</v>
      </c>
      <c r="O2" t="str">
        <f>RawCurrent!O2</f>
        <v>WT14_REdC_IV_19n15007</v>
      </c>
      <c r="P2" t="str">
        <f>RawCurrent!P2</f>
        <v>WT15_REdC_IV_19825000</v>
      </c>
      <c r="Q2" t="str">
        <f>RawCurrent!Q2</f>
        <v>WT16_REdC_IV_18705033</v>
      </c>
      <c r="R2" t="str">
        <f>RawCurrent!R2</f>
        <v>WT17_REdC_IV_17721059</v>
      </c>
      <c r="S2" t="str">
        <f>RawCurrent!S2</f>
        <v>WT19_REdC_IV_19n23000 (-80:-10); WT19_REdC_IV_19n23009 (0:+80)</v>
      </c>
      <c r="T2" t="str">
        <f>RawCurrent!T2</f>
        <v>WT20_REdC_IV_18115016</v>
      </c>
      <c r="U2" t="str">
        <f>RawCurrent!U2</f>
        <v>WT21_REdC_IV_19o30001 (-80:0),WT21_REdC_IV_19o30004(10:+80)</v>
      </c>
      <c r="V2" t="str">
        <f>RawCurrent!V2</f>
        <v>WT23_REdC_1.19.2018 IV cell 2 WT leak</v>
      </c>
      <c r="W2" t="str">
        <f>RawCurrent!W2</f>
        <v>WT24_REdC_IV_18705003(-80:10),WT24_REdC_IV_18705002(20:+80)</v>
      </c>
      <c r="X2" t="str">
        <f>RawCurrent!X2</f>
        <v>WT25_REdC_IV_18704045</v>
      </c>
      <c r="Y2" t="str">
        <f>RawCurrent!Y2</f>
        <v>WT26_REdC_IV_17809014</v>
      </c>
      <c r="Z2" t="str">
        <f>RawCurrent!Z2</f>
        <v>WT27_REdC_IV_1.23.2018 IV cell 1 WT</v>
      </c>
      <c r="AA2" t="str">
        <f>RawCurrent!AA2</f>
        <v>WT28_REdC_IV_1.23.2018 IV cell 1 WT</v>
      </c>
      <c r="AB2" t="str">
        <f>RawCurrent!AB2</f>
        <v>WT29_REdC_IV_18o19010</v>
      </c>
      <c r="AC2" t="str">
        <f>RawCurrent!AC2</f>
        <v>WT30_REdC_IV_1.26.2018 WT cell 1 IV p8 20 sweeps</v>
      </c>
      <c r="AD2" t="str">
        <f>RawCurrent!AD2</f>
        <v>WT31_REdC_IV_18o07001</v>
      </c>
      <c r="AE2" t="str">
        <f>RawCurrent!AE2</f>
        <v>WT33_REdC_IV_17728018</v>
      </c>
      <c r="AF2" t="str">
        <f>RawCurrent!AF2</f>
        <v>WT38_REdC_IV_19o21015</v>
      </c>
      <c r="AG2" t="str">
        <f>RawCurrent!AG2</f>
        <v>WT39_REdC_IV_17429002</v>
      </c>
      <c r="AH2" t="str">
        <f>RawCurrent!AH2</f>
        <v>WT40_REdC_IV_17810003</v>
      </c>
      <c r="AI2" t="str">
        <f>RawCurrent!AI2</f>
        <v>WT43_REdC_IV_1.26.2018 WT cell 4 IV</v>
      </c>
      <c r="AJ2" t="str">
        <f>RawCurrent!AJ2</f>
        <v>WT44_REdC_IV_1.14.2018 IV cell 2 NaV1.4 wt</v>
      </c>
      <c r="AK2" t="str">
        <f>RawCurrent!AK2</f>
        <v>WT47_REdC_IV_19911011</v>
      </c>
      <c r="AL2" t="str">
        <f>RawCurrent!AL2</f>
        <v>WT48_REdC_IV_19n06031</v>
      </c>
      <c r="AM2" t="str">
        <f>RawCurrent!AM2</f>
        <v>WT50_REdC_IV_19n06011</v>
      </c>
      <c r="AN2" t="str">
        <f>RawCurrent!AN2</f>
        <v>WT53_REdC_IV_17504004</v>
      </c>
      <c r="AO2" t="str">
        <f>RawCurrent!AO2</f>
        <v>WT54_REdC_IV_1.19.2018 IV cell 1 WT</v>
      </c>
      <c r="AP2" t="str">
        <f>RawCurrent!AP2</f>
        <v>WT63_REdC_IV_19n07011</v>
      </c>
      <c r="AQ2" t="str">
        <f>RawCurrent!AQ2</f>
        <v>WT66_REdC_IV_18704009</v>
      </c>
      <c r="AR2" t="str">
        <f>RawCurrent!AR2</f>
        <v>WT69_REdC_IV_18o18036</v>
      </c>
      <c r="AS2" t="str">
        <f>RawCurrent!AS2</f>
        <v>WT71_REdC_IV_17722009</v>
      </c>
      <c r="AT2" t="str">
        <f>RawCurrent!AT2</f>
        <v>WT74_REdC_IV_0003.abf</v>
      </c>
      <c r="AU2" t="str">
        <f>RawCurrent!AU2</f>
        <v>WT75_REdC_IV_0015.abf</v>
      </c>
      <c r="AV2" t="str">
        <f>RawCurrent!AV2</f>
        <v>WT76_REdC_IV_0012.abf</v>
      </c>
      <c r="AW2" t="str">
        <f>RawCurrent!AW2</f>
        <v>EPN1_REdC_IV_17725093.abf</v>
      </c>
      <c r="AX2" t="str">
        <f>RawCurrent!AX2</f>
        <v>EPN2_REdC_IV_17725017.abf</v>
      </c>
      <c r="AY2" t="str">
        <f>RawCurrent!AY2</f>
        <v>EPN3_REdC_IV_18115045.abf</v>
      </c>
      <c r="AZ2" t="str">
        <f>RawCurrent!AZ2</f>
        <v>EPN4_REdC_IV_IV cell 2 NaV1.4 EPN.abf</v>
      </c>
      <c r="BA2" t="str">
        <f>RawCurrent!BA2</f>
        <v>EPN5_REdC_IV_17725043.abf</v>
      </c>
      <c r="BB2" t="str">
        <f>RawCurrent!BB2</f>
        <v>EPN6_REdC_IV_1.14.2018 IV cell 1 NaV1.4 EPN.abf</v>
      </c>
      <c r="BC2" t="str">
        <f>RawCurrent!BC2</f>
        <v>EPN7_REdC_IV_17718015.abf</v>
      </c>
      <c r="BD2" t="str">
        <f>RawCurrent!BD2</f>
        <v>EPN9_REdC_IV_17725067.abf</v>
      </c>
      <c r="BE2" t="str">
        <f>RawCurrent!BE2</f>
        <v>EPN10_REdC_IV_2016_09_30_0029.abf</v>
      </c>
      <c r="BF2" t="str">
        <f>RawCurrent!BF2</f>
        <v>EPN11_REdC_IV_17725020.abf</v>
      </c>
      <c r="BG2" t="str">
        <f>RawCurrent!BG2</f>
        <v>EPN12_REdC_IV_1.19.2018 IV cell 1 EPN'.abf</v>
      </c>
      <c r="BH2" t="str">
        <f>RawCurrent!BH2</f>
        <v>EPN13_REdC_IV_2016_09_30_0015.abf</v>
      </c>
      <c r="BI2" t="str">
        <f>RawCurrent!BI2</f>
        <v>EPN14_REdC_IV_17725071.abf</v>
      </c>
      <c r="BJ2" t="str">
        <f>RawCurrent!BJ2</f>
        <v>EPN18_REdC_IV_0012.abf</v>
      </c>
      <c r="BK2" t="str">
        <f>RawCurrent!BK2</f>
        <v>LVNV1_REdC_IV_17724088.abf</v>
      </c>
      <c r="BL2" t="str">
        <f>RawCurrent!BL2</f>
        <v>LVNV2_REdC_IV_17724059.abf;LVNV2_REdC_IV_17724048.abf;LVNV2_REdC_IV_17724046.abf</v>
      </c>
      <c r="BM2" t="str">
        <f>RawCurrent!BM2</f>
        <v>LVNV3_REdC_IV_17726022.abf</v>
      </c>
      <c r="BN2" t="str">
        <f>RawCurrent!BN2</f>
        <v>LVNV4_REdC_IV_17429000.abf</v>
      </c>
      <c r="BO2" t="str">
        <f>RawCurrent!BO2</f>
        <v>LVNV4_REdC_IV_17429001.abf</v>
      </c>
      <c r="BP2" t="str">
        <f>RawCurrent!BP2</f>
        <v>LVNV4_REdC_IV_17429002.abf</v>
      </c>
      <c r="BQ2" t="str">
        <f>RawCurrent!BQ2</f>
        <v>LVNV5_REdC_IV_17724073.abf</v>
      </c>
      <c r="BR2" t="str">
        <f>RawCurrent!BR2</f>
        <v>LVNV6_REdC_IV_19915011.abf</v>
      </c>
      <c r="BS2" t="str">
        <f>RawCurrent!BS2</f>
        <v>LVNV7_REdC_IV_19d06007.abf</v>
      </c>
      <c r="BT2" t="str">
        <f>RawCurrent!BT2</f>
        <v>LVNV8_REdC_IV_17724003.abf;LVNV8_REdC_IV_17724001.abf</v>
      </c>
      <c r="BU2" t="str">
        <f>RawCurrent!BU2</f>
        <v>LVNV9_REdC_IV_17724034.abf</v>
      </c>
      <c r="BV2" t="str">
        <f>RawCurrent!BV2</f>
        <v>LVNV10_REdC_IV_17726060.abf;LVNV10_REdC_IV_17726061.abf</v>
      </c>
      <c r="BW2" t="str">
        <f>RawCurrent!BW2</f>
        <v>LVNV12_REdC_IV_19912002.abf</v>
      </c>
      <c r="BX2" t="str">
        <f>RawCurrent!BX2</f>
        <v>LVNV14_REdC_IV_17726099.abf;LVNV14_REdC_IV_17726072.abf;LVNV14_REdC_IV_17726074.abf;LVNV14_REdC_IV_17726083.abf;LVNV14_REdC_IV_17726088.abf;LVNV14_REdC_IV_17726095.abf;LVNV14_REdC_IV_17726098.abf;LVNV14_REdC_IV_17726100.abf</v>
      </c>
      <c r="BY2" t="str">
        <f>RawCurrent!BY2</f>
        <v>LVNV15_REdC_IV_17724016.abf</v>
      </c>
      <c r="BZ2" t="str">
        <f>RawCurrent!BZ2</f>
        <v>LVNV16_REdC_IV_17726035.abf</v>
      </c>
      <c r="CA2" t="str">
        <f>RawCurrent!CA2</f>
        <v>LVNV18_REdC_IV_19911028.abf;LVNV18_REdC_IV_19911026.abf;LVNV18_REdC_IV_19911027.abf;LVNV18_REdC_IV_19911029.abf</v>
      </c>
      <c r="CB2" t="str">
        <f>RawCurrent!CB2</f>
        <v>LVNV19_REdC_IV_17714002.abf;LVNV19_REdC_IV_17714003.abf</v>
      </c>
      <c r="CC2" t="str">
        <f>RawCurrent!CC2</f>
        <v>LVNV20_REdC_IV_17726011.abf</v>
      </c>
      <c r="CD2" t="str">
        <f>RawCurrent!CD2</f>
        <v>LVNV21_REdC_IV_17615002.abf;LVNV4_REdC_IV_17615007.abf</v>
      </c>
    </row>
    <row r="3" spans="1:113" x14ac:dyDescent="0.2">
      <c r="A3" t="s">
        <v>73</v>
      </c>
      <c r="B3">
        <f>RawCurrent!B3</f>
        <v>6.391800536699999</v>
      </c>
      <c r="C3">
        <f>RawCurrent!C3</f>
        <v>3.1770135480600001</v>
      </c>
      <c r="D3">
        <f>RawCurrent!D3</f>
        <v>12.816808360899998</v>
      </c>
      <c r="E3">
        <f>RawCurrent!E3</f>
        <v>6.4393644018000007</v>
      </c>
      <c r="F3">
        <f>RawCurrent!F3</f>
        <v>4.1415547519999993</v>
      </c>
      <c r="G3">
        <f>RawCurrent!G3</f>
        <v>6.7330414951999993</v>
      </c>
      <c r="H3">
        <f>RawCurrent!H3</f>
        <v>6.1017497671000003</v>
      </c>
      <c r="I3">
        <f>RawCurrent!I3</f>
        <v>5.2679979476000014</v>
      </c>
      <c r="J3">
        <f>RawCurrent!J3</f>
        <v>1.9426925711999996</v>
      </c>
      <c r="K3">
        <f>RawCurrent!K3</f>
        <v>7.2663764387999992</v>
      </c>
      <c r="L3">
        <f>RawCurrent!L3</f>
        <v>9.8133792090527017</v>
      </c>
      <c r="M3">
        <f>RawCurrent!M3</f>
        <v>5.9634416576470928</v>
      </c>
      <c r="N3">
        <f>RawCurrent!N3</f>
        <v>8.621972916599999</v>
      </c>
      <c r="O3">
        <f>RawCurrent!O3</f>
        <v>6.9784064186600006</v>
      </c>
      <c r="P3">
        <f>RawCurrent!P3</f>
        <v>5.9439750680000003</v>
      </c>
      <c r="Q3">
        <f>RawCurrent!Q3</f>
        <v>9.3769842030999975</v>
      </c>
      <c r="R3">
        <f>RawCurrent!R3</f>
        <v>5.7659015617000007</v>
      </c>
      <c r="S3">
        <f>RawCurrent!S3</f>
        <v>4.9435101709999989</v>
      </c>
      <c r="T3">
        <f>RawCurrent!T3</f>
        <v>6.3687977963999991</v>
      </c>
      <c r="U3">
        <f>RawCurrent!U3</f>
        <v>4.2012945678399998</v>
      </c>
      <c r="V3">
        <f>RawCurrent!V3</f>
        <v>1.94224344706537</v>
      </c>
      <c r="W3">
        <f>RawCurrent!W3</f>
        <v>5.6914977681000014</v>
      </c>
      <c r="X3">
        <f>RawCurrent!X3</f>
        <v>3.5272978020000001</v>
      </c>
      <c r="Y3">
        <f>RawCurrent!Y3</f>
        <v>3.3474243279999998</v>
      </c>
      <c r="Z3">
        <f>RawCurrent!Z3</f>
        <v>1.9251146577599998</v>
      </c>
      <c r="AA3">
        <f>RawCurrent!AA3</f>
        <v>1.9583813354699993</v>
      </c>
      <c r="AB3">
        <f>RawCurrent!AB3</f>
        <v>12.688791656000001</v>
      </c>
      <c r="AC3">
        <f>RawCurrent!AC3</f>
        <v>4.3809950771999997</v>
      </c>
      <c r="AD3">
        <f>RawCurrent!AD3</f>
        <v>6.8273253735999999</v>
      </c>
      <c r="AE3">
        <f>RawCurrent!AE3</f>
        <v>2.3971099300000001</v>
      </c>
      <c r="AF3">
        <f>RawCurrent!AF3</f>
        <v>3.900568452299999</v>
      </c>
      <c r="AG3">
        <f>RawCurrent!AG3</f>
        <v>4.0726768946000007</v>
      </c>
      <c r="AH3">
        <f>RawCurrent!AH3</f>
        <v>7.5345529800000008</v>
      </c>
      <c r="AI3">
        <f>RawCurrent!AI3</f>
        <v>4.4405213595999999</v>
      </c>
      <c r="AJ3">
        <f>RawCurrent!AJ3</f>
        <v>2.5034119380000006</v>
      </c>
      <c r="AK3">
        <f>RawCurrent!AK3</f>
        <v>5.8217415102857135</v>
      </c>
      <c r="AL3">
        <f>RawCurrent!AL3</f>
        <v>5.4120773374000004</v>
      </c>
      <c r="AM3">
        <f>RawCurrent!AM3</f>
        <v>3.1308680299499994</v>
      </c>
      <c r="AN3">
        <f>RawCurrent!AN3</f>
        <v>2.1530791841999997</v>
      </c>
      <c r="AO3">
        <f>RawCurrent!AO3</f>
        <v>4.6828832297511145</v>
      </c>
      <c r="AP3">
        <f>RawCurrent!AP3</f>
        <v>4.5696121390500002</v>
      </c>
      <c r="AQ3">
        <f>RawCurrent!AQ3</f>
        <v>5.4771448991999998</v>
      </c>
      <c r="AR3">
        <f>RawCurrent!AR3</f>
        <v>4.5332182904499998</v>
      </c>
      <c r="AS3">
        <f>RawCurrent!AS3</f>
        <v>6.2772916932000005</v>
      </c>
      <c r="AT3">
        <f>RawCurrent!AT3</f>
        <v>7.2507659897804499</v>
      </c>
      <c r="AU3">
        <f>RawCurrent!AU3</f>
        <v>5.2424940364182175</v>
      </c>
      <c r="AV3">
        <f>RawCurrent!AV3</f>
        <v>7.8035580797046311</v>
      </c>
      <c r="AW3">
        <f>RawCurrent!AW3</f>
        <v>4.3081732437999998</v>
      </c>
      <c r="AX3">
        <f>RawCurrent!AX3</f>
        <v>5.9116515077315306</v>
      </c>
      <c r="AY3">
        <f>RawCurrent!AY3</f>
        <v>6.3690267548859678</v>
      </c>
      <c r="AZ3">
        <f>RawCurrent!AZ3</f>
        <v>1.9958043233230687</v>
      </c>
      <c r="BA3">
        <f>RawCurrent!BA3</f>
        <v>5.0152046884003711</v>
      </c>
      <c r="BB3">
        <f>RawCurrent!BB3</f>
        <v>2.8197356420516986</v>
      </c>
      <c r="BC3">
        <f>RawCurrent!BC3</f>
        <v>6.8148693932681876</v>
      </c>
      <c r="BD3">
        <f>RawCurrent!BD3</f>
        <v>5.2707788291051818</v>
      </c>
      <c r="BE3">
        <f>RawCurrent!BE3</f>
        <v>3.9566496721089051</v>
      </c>
      <c r="BF3">
        <f>RawCurrent!BF3</f>
        <v>5.5692706669773777</v>
      </c>
      <c r="BG3">
        <f>RawCurrent!BG3</f>
        <v>4.7930427101559818</v>
      </c>
      <c r="BH3">
        <f>RawCurrent!BH3</f>
        <v>4.9504883473366341</v>
      </c>
      <c r="BI3">
        <f>RawCurrent!BI3</f>
        <v>10.871165677992973</v>
      </c>
      <c r="BJ3">
        <f>RawCurrent!BJ3</f>
        <v>7.4679808898985423</v>
      </c>
      <c r="BK3">
        <f>RawCurrent!BK3</f>
        <v>19.946134186819162</v>
      </c>
      <c r="BL3">
        <f>RawCurrent!BL3</f>
        <v>6.4223087544769069</v>
      </c>
      <c r="BM3">
        <f>RawCurrent!BM3</f>
        <v>3.6916910040154773</v>
      </c>
      <c r="BN3">
        <f>RawCurrent!BN3</f>
        <v>3.9347221929654719</v>
      </c>
      <c r="BO3">
        <f>RawCurrent!BO3</f>
        <v>3.9347221929654719</v>
      </c>
      <c r="BP3">
        <f>RawCurrent!BP3</f>
        <v>3.9347221929654719</v>
      </c>
      <c r="BQ3">
        <f>RawCurrent!BQ3</f>
        <v>3.6236144062996232</v>
      </c>
      <c r="BR3">
        <f>RawCurrent!BR3</f>
        <v>4.5734651714511285</v>
      </c>
      <c r="BS3">
        <f>RawCurrent!BS3</f>
        <v>6.030428868010616</v>
      </c>
      <c r="BT3">
        <f>RawCurrent!BT3</f>
        <v>6.5530017198397887</v>
      </c>
      <c r="BU3">
        <f>RawCurrent!BU3</f>
        <v>3.777933176509281</v>
      </c>
      <c r="BV3">
        <f>RawCurrent!BV3</f>
        <v>21.360497201093356</v>
      </c>
      <c r="BW3">
        <f>RawCurrent!BW3</f>
        <v>5.1578729531264251</v>
      </c>
      <c r="BX3">
        <f>RawCurrent!BX3</f>
        <v>7.618925827711827</v>
      </c>
      <c r="BY3">
        <f>RawCurrent!BY3</f>
        <v>3.010194052165716</v>
      </c>
      <c r="BZ3">
        <f>RawCurrent!BZ3</f>
        <v>4.5653243432231205</v>
      </c>
      <c r="CA3">
        <f>RawCurrent!CA3</f>
        <v>2.6636050095151971</v>
      </c>
      <c r="CB3">
        <f>RawCurrent!CB3</f>
        <v>4.3495176746170765</v>
      </c>
      <c r="CC3">
        <f>RawCurrent!CC3</f>
        <v>4.424043523818284</v>
      </c>
      <c r="CD3">
        <f>RawCurrent!CD3</f>
        <v>1.5789424310550071</v>
      </c>
    </row>
    <row r="4" spans="1:113" x14ac:dyDescent="0.2">
      <c r="A4" s="3" t="s">
        <v>1</v>
      </c>
      <c r="B4" t="str">
        <f>RawCurrent!B4</f>
        <v>WT</v>
      </c>
      <c r="C4" t="str">
        <f>RawCurrent!C4</f>
        <v>WT</v>
      </c>
      <c r="D4" t="str">
        <f>RawCurrent!D4</f>
        <v>WT</v>
      </c>
      <c r="E4" t="str">
        <f>RawCurrent!E4</f>
        <v>WT</v>
      </c>
      <c r="F4" t="str">
        <f>RawCurrent!F4</f>
        <v>WT</v>
      </c>
      <c r="G4" t="str">
        <f>RawCurrent!G4</f>
        <v>WT</v>
      </c>
      <c r="H4" t="str">
        <f>RawCurrent!H4</f>
        <v>WT</v>
      </c>
      <c r="I4" t="str">
        <f>RawCurrent!I4</f>
        <v>WT</v>
      </c>
      <c r="J4" t="str">
        <f>RawCurrent!J4</f>
        <v>WT</v>
      </c>
      <c r="K4" t="str">
        <f>RawCurrent!K4</f>
        <v>WT</v>
      </c>
      <c r="L4" t="str">
        <f>RawCurrent!L4</f>
        <v>WT</v>
      </c>
      <c r="M4" t="str">
        <f>RawCurrent!M4</f>
        <v>WT</v>
      </c>
      <c r="N4" t="str">
        <f>RawCurrent!N4</f>
        <v>WT</v>
      </c>
      <c r="O4" t="str">
        <f>RawCurrent!O4</f>
        <v>WT</v>
      </c>
      <c r="P4" t="str">
        <f>RawCurrent!P4</f>
        <v>WT</v>
      </c>
      <c r="Q4" t="str">
        <f>RawCurrent!Q4</f>
        <v>WT</v>
      </c>
      <c r="R4" t="str">
        <f>RawCurrent!R4</f>
        <v>WT</v>
      </c>
      <c r="S4" t="str">
        <f>RawCurrent!S4</f>
        <v>WT</v>
      </c>
      <c r="T4" t="str">
        <f>RawCurrent!T4</f>
        <v>WT</v>
      </c>
      <c r="U4" t="str">
        <f>RawCurrent!U4</f>
        <v>WT</v>
      </c>
      <c r="V4" t="str">
        <f>RawCurrent!V4</f>
        <v>WT</v>
      </c>
      <c r="W4" t="str">
        <f>RawCurrent!W4</f>
        <v>WT</v>
      </c>
      <c r="X4" t="str">
        <f>RawCurrent!X4</f>
        <v>WT</v>
      </c>
      <c r="Y4" t="str">
        <f>RawCurrent!Y4</f>
        <v>WT</v>
      </c>
      <c r="Z4" t="str">
        <f>RawCurrent!Z4</f>
        <v>WT</v>
      </c>
      <c r="AA4" t="str">
        <f>RawCurrent!AA4</f>
        <v>WT</v>
      </c>
      <c r="AB4" t="str">
        <f>RawCurrent!AB4</f>
        <v>WT</v>
      </c>
      <c r="AC4" t="str">
        <f>RawCurrent!AC4</f>
        <v>WT</v>
      </c>
      <c r="AD4" t="str">
        <f>RawCurrent!AD4</f>
        <v>WT</v>
      </c>
      <c r="AE4" t="str">
        <f>RawCurrent!AE4</f>
        <v>WT</v>
      </c>
      <c r="AF4" t="str">
        <f>RawCurrent!AF4</f>
        <v>WT</v>
      </c>
      <c r="AG4" t="str">
        <f>RawCurrent!AG4</f>
        <v>WT</v>
      </c>
      <c r="AH4" t="str">
        <f>RawCurrent!AH4</f>
        <v>WT</v>
      </c>
      <c r="AI4" t="str">
        <f>RawCurrent!AI4</f>
        <v>WT</v>
      </c>
      <c r="AJ4" t="str">
        <f>RawCurrent!AJ4</f>
        <v>WT</v>
      </c>
      <c r="AK4" t="str">
        <f>RawCurrent!AK4</f>
        <v>WT</v>
      </c>
      <c r="AL4" t="str">
        <f>RawCurrent!AL4</f>
        <v>WT</v>
      </c>
      <c r="AM4" t="str">
        <f>RawCurrent!AM4</f>
        <v>WT</v>
      </c>
      <c r="AN4" t="str">
        <f>RawCurrent!AN4</f>
        <v>WT</v>
      </c>
      <c r="AO4" t="str">
        <f>RawCurrent!AO4</f>
        <v>WT</v>
      </c>
      <c r="AP4" t="str">
        <f>RawCurrent!AP4</f>
        <v>WT</v>
      </c>
      <c r="AQ4" t="str">
        <f>RawCurrent!AQ4</f>
        <v>WT</v>
      </c>
      <c r="AR4" t="str">
        <f>RawCurrent!AR4</f>
        <v>WT</v>
      </c>
      <c r="AS4" t="str">
        <f>RawCurrent!AS4</f>
        <v>WT</v>
      </c>
      <c r="AT4" t="str">
        <f>RawCurrent!AT4</f>
        <v>WT</v>
      </c>
      <c r="AU4" t="str">
        <f>RawCurrent!AU4</f>
        <v>WT</v>
      </c>
      <c r="AV4" t="str">
        <f>RawCurrent!AV4</f>
        <v>WT</v>
      </c>
      <c r="AW4" t="str">
        <f>RawCurrent!AW4</f>
        <v>EPN</v>
      </c>
      <c r="AX4" t="str">
        <f>RawCurrent!AX4</f>
        <v>EPN</v>
      </c>
      <c r="AY4" t="str">
        <f>RawCurrent!AY4</f>
        <v>EPN</v>
      </c>
      <c r="AZ4" t="str">
        <f>RawCurrent!AZ4</f>
        <v>EPN</v>
      </c>
      <c r="BA4" t="str">
        <f>RawCurrent!BA4</f>
        <v>EPN</v>
      </c>
      <c r="BB4" t="str">
        <f>RawCurrent!BB4</f>
        <v>EPN</v>
      </c>
      <c r="BC4" t="str">
        <f>RawCurrent!BC4</f>
        <v>EPN</v>
      </c>
      <c r="BD4" t="str">
        <f>RawCurrent!BD4</f>
        <v>EPN</v>
      </c>
      <c r="BE4" t="str">
        <f>RawCurrent!BE4</f>
        <v>EPN</v>
      </c>
      <c r="BF4" t="str">
        <f>RawCurrent!BF4</f>
        <v>EPN</v>
      </c>
      <c r="BG4" t="str">
        <f>RawCurrent!BG4</f>
        <v>EPN</v>
      </c>
      <c r="BH4" t="str">
        <f>RawCurrent!BH4</f>
        <v>EPN</v>
      </c>
      <c r="BI4" t="str">
        <f>RawCurrent!BI4</f>
        <v>EPN</v>
      </c>
      <c r="BJ4" t="str">
        <f>RawCurrent!BJ4</f>
        <v>EPN</v>
      </c>
      <c r="BK4" t="str">
        <f>RawCurrent!BK4</f>
        <v>LVNV</v>
      </c>
      <c r="BL4" t="str">
        <f>RawCurrent!BL4</f>
        <v>LVNV</v>
      </c>
      <c r="BM4" t="str">
        <f>RawCurrent!BM4</f>
        <v>LVNV</v>
      </c>
      <c r="BN4" t="str">
        <f>RawCurrent!BN4</f>
        <v>LVNV</v>
      </c>
      <c r="BO4" t="str">
        <f>RawCurrent!BO4</f>
        <v>LVNV</v>
      </c>
      <c r="BP4" t="str">
        <f>RawCurrent!BP4</f>
        <v>LVNV</v>
      </c>
      <c r="BQ4" t="str">
        <f>RawCurrent!BQ4</f>
        <v>LVNV</v>
      </c>
      <c r="BR4" t="str">
        <f>RawCurrent!BR4</f>
        <v>LVNV</v>
      </c>
      <c r="BS4" t="str">
        <f>RawCurrent!BS4</f>
        <v>LVNV</v>
      </c>
      <c r="BT4" t="str">
        <f>RawCurrent!BT4</f>
        <v>LVNV</v>
      </c>
      <c r="BU4" t="str">
        <f>RawCurrent!BU4</f>
        <v>LVNV</v>
      </c>
      <c r="BV4" t="str">
        <f>RawCurrent!BV4</f>
        <v>LVNV</v>
      </c>
      <c r="BW4" t="str">
        <f>RawCurrent!BW4</f>
        <v>LVNV</v>
      </c>
      <c r="BX4" t="str">
        <f>RawCurrent!BX4</f>
        <v>LVNV</v>
      </c>
      <c r="BY4" t="str">
        <f>RawCurrent!BY4</f>
        <v>LVNV</v>
      </c>
      <c r="BZ4" t="str">
        <f>RawCurrent!BZ4</f>
        <v>LVNV</v>
      </c>
      <c r="CA4" t="str">
        <f>RawCurrent!CA4</f>
        <v>LVNV</v>
      </c>
      <c r="CB4" t="str">
        <f>RawCurrent!CB4</f>
        <v>LVNV</v>
      </c>
      <c r="CC4" t="str">
        <f>RawCurrent!CC4</f>
        <v>LVNV</v>
      </c>
      <c r="CD4" t="str">
        <f>RawCurrent!CD4</f>
        <v>LVNV</v>
      </c>
    </row>
    <row r="5" spans="1:113" x14ac:dyDescent="0.2">
      <c r="A5" s="3" t="s">
        <v>0</v>
      </c>
      <c r="B5" t="str">
        <f>RawCurrent!B5</f>
        <v>WT1</v>
      </c>
      <c r="C5" t="str">
        <f>RawCurrent!C5</f>
        <v>WT2</v>
      </c>
      <c r="D5" t="str">
        <f>RawCurrent!D5</f>
        <v>WT3</v>
      </c>
      <c r="E5" t="str">
        <f>RawCurrent!E5</f>
        <v>WT4</v>
      </c>
      <c r="F5" t="str">
        <f>RawCurrent!F5</f>
        <v>WT5</v>
      </c>
      <c r="G5" t="str">
        <f>RawCurrent!G5</f>
        <v>WT6</v>
      </c>
      <c r="H5" t="str">
        <f>RawCurrent!H5</f>
        <v>WT7</v>
      </c>
      <c r="I5" t="str">
        <f>RawCurrent!I5</f>
        <v>WT8</v>
      </c>
      <c r="J5" t="str">
        <f>RawCurrent!J5</f>
        <v>WT9</v>
      </c>
      <c r="K5" t="str">
        <f>RawCurrent!K5</f>
        <v>WT10</v>
      </c>
      <c r="L5" t="str">
        <f>RawCurrent!L5</f>
        <v>WT11</v>
      </c>
      <c r="M5" t="str">
        <f>RawCurrent!M5</f>
        <v>WT12</v>
      </c>
      <c r="N5" t="str">
        <f>RawCurrent!N5</f>
        <v>WT13</v>
      </c>
      <c r="O5" t="str">
        <f>RawCurrent!O5</f>
        <v>WT14</v>
      </c>
      <c r="P5" t="str">
        <f>RawCurrent!P5</f>
        <v>WT15</v>
      </c>
      <c r="Q5" t="str">
        <f>RawCurrent!Q5</f>
        <v>WT16</v>
      </c>
      <c r="R5" t="str">
        <f>RawCurrent!R5</f>
        <v>WT17</v>
      </c>
      <c r="S5" t="str">
        <f>RawCurrent!S5</f>
        <v>WT19</v>
      </c>
      <c r="T5" t="str">
        <f>RawCurrent!T5</f>
        <v>WT20</v>
      </c>
      <c r="U5" t="str">
        <f>RawCurrent!U5</f>
        <v>WT21</v>
      </c>
      <c r="V5" t="str">
        <f>RawCurrent!V5</f>
        <v>WT23</v>
      </c>
      <c r="W5" t="str">
        <f>RawCurrent!W5</f>
        <v>WT24</v>
      </c>
      <c r="X5" t="str">
        <f>RawCurrent!X5</f>
        <v>WT25</v>
      </c>
      <c r="Y5" t="str">
        <f>RawCurrent!Y5</f>
        <v>WT26</v>
      </c>
      <c r="Z5" t="str">
        <f>RawCurrent!Z5</f>
        <v>WT27</v>
      </c>
      <c r="AA5" t="str">
        <f>RawCurrent!AA5</f>
        <v>WT28</v>
      </c>
      <c r="AB5" t="str">
        <f>RawCurrent!AB5</f>
        <v>WT29</v>
      </c>
      <c r="AC5" t="str">
        <f>RawCurrent!AC5</f>
        <v>WT30</v>
      </c>
      <c r="AD5" t="str">
        <f>RawCurrent!AD5</f>
        <v>WT31</v>
      </c>
      <c r="AE5" t="str">
        <f>RawCurrent!AE5</f>
        <v>WT33</v>
      </c>
      <c r="AF5" t="str">
        <f>RawCurrent!AF5</f>
        <v>WT38</v>
      </c>
      <c r="AG5" t="str">
        <f>RawCurrent!AG5</f>
        <v>WT39</v>
      </c>
      <c r="AH5" t="str">
        <f>RawCurrent!AH5</f>
        <v>WT40</v>
      </c>
      <c r="AI5" t="str">
        <f>RawCurrent!AI5</f>
        <v>WT43</v>
      </c>
      <c r="AJ5" t="str">
        <f>RawCurrent!AJ5</f>
        <v>WT44</v>
      </c>
      <c r="AK5" t="str">
        <f>RawCurrent!AK5</f>
        <v>WT47</v>
      </c>
      <c r="AL5" t="str">
        <f>RawCurrent!AL5</f>
        <v>WT48</v>
      </c>
      <c r="AM5" t="str">
        <f>RawCurrent!AM5</f>
        <v>WT50</v>
      </c>
      <c r="AN5" t="str">
        <f>RawCurrent!AN5</f>
        <v>WT53</v>
      </c>
      <c r="AO5" t="str">
        <f>RawCurrent!AO5</f>
        <v>WT54</v>
      </c>
      <c r="AP5" t="str">
        <f>RawCurrent!AP5</f>
        <v>WT63</v>
      </c>
      <c r="AQ5" t="str">
        <f>RawCurrent!AQ5</f>
        <v>WT66</v>
      </c>
      <c r="AR5" t="str">
        <f>RawCurrent!AR5</f>
        <v>WT69</v>
      </c>
      <c r="AS5" t="str">
        <f>RawCurrent!AS5</f>
        <v>WT71</v>
      </c>
      <c r="AT5" t="str">
        <f>RawCurrent!AT5</f>
        <v>WT74</v>
      </c>
      <c r="AU5" t="str">
        <f>RawCurrent!AU5</f>
        <v>WT75</v>
      </c>
      <c r="AV5" t="str">
        <f>RawCurrent!AV5</f>
        <v>WT76</v>
      </c>
      <c r="AW5" t="str">
        <f>RawCurrent!AW5</f>
        <v>EPN1</v>
      </c>
      <c r="AX5" t="str">
        <f>RawCurrent!AX5</f>
        <v>EPN2</v>
      </c>
      <c r="AY5" t="str">
        <f>RawCurrent!AY5</f>
        <v>EPN3</v>
      </c>
      <c r="AZ5" t="str">
        <f>RawCurrent!AZ5</f>
        <v>EPN4</v>
      </c>
      <c r="BA5" t="str">
        <f>RawCurrent!BA5</f>
        <v>EPN5</v>
      </c>
      <c r="BB5" t="str">
        <f>RawCurrent!BB5</f>
        <v>EPN6</v>
      </c>
      <c r="BC5" t="str">
        <f>RawCurrent!BC5</f>
        <v>EPN7</v>
      </c>
      <c r="BD5" t="str">
        <f>RawCurrent!BD5</f>
        <v>EPN9</v>
      </c>
      <c r="BE5" t="str">
        <f>RawCurrent!BE5</f>
        <v>EPN10</v>
      </c>
      <c r="BF5" t="str">
        <f>RawCurrent!BF5</f>
        <v>EPN11</v>
      </c>
      <c r="BG5" t="str">
        <f>RawCurrent!BG5</f>
        <v>EPN12</v>
      </c>
      <c r="BH5" t="str">
        <f>RawCurrent!BH5</f>
        <v>EPN13</v>
      </c>
      <c r="BI5" t="str">
        <f>RawCurrent!BI5</f>
        <v>EPN14</v>
      </c>
      <c r="BJ5" t="str">
        <f>RawCurrent!BJ5</f>
        <v>EPN18</v>
      </c>
      <c r="BK5" t="str">
        <f>RawCurrent!BK5</f>
        <v>LVNV1</v>
      </c>
      <c r="BL5" t="str">
        <f>RawCurrent!BL5</f>
        <v>LVNV2</v>
      </c>
      <c r="BM5" t="str">
        <f>RawCurrent!BM5</f>
        <v>LVNV3</v>
      </c>
      <c r="BN5" t="str">
        <f>RawCurrent!BN5</f>
        <v>LVNV4</v>
      </c>
      <c r="BO5" t="str">
        <f>RawCurrent!BO5</f>
        <v>LVNV4</v>
      </c>
      <c r="BP5" t="str">
        <f>RawCurrent!BP5</f>
        <v>LVNV4</v>
      </c>
      <c r="BQ5" t="str">
        <f>RawCurrent!BQ5</f>
        <v>LVNV5</v>
      </c>
      <c r="BR5" t="str">
        <f>RawCurrent!BR5</f>
        <v>LVNV6</v>
      </c>
      <c r="BS5" t="str">
        <f>RawCurrent!BS5</f>
        <v>LVNV7</v>
      </c>
      <c r="BT5" t="str">
        <f>RawCurrent!BT5</f>
        <v>LVNV8</v>
      </c>
      <c r="BU5" t="str">
        <f>RawCurrent!BU5</f>
        <v>LVNV9</v>
      </c>
      <c r="BV5" t="str">
        <f>RawCurrent!BV5</f>
        <v>LVNV10</v>
      </c>
      <c r="BW5" t="str">
        <f>RawCurrent!BW5</f>
        <v>LVNV12</v>
      </c>
      <c r="BX5" t="str">
        <f>RawCurrent!BX5</f>
        <v>LVNV14</v>
      </c>
      <c r="BY5" t="str">
        <f>RawCurrent!BY5</f>
        <v>LVNV15</v>
      </c>
      <c r="BZ5" t="str">
        <f>RawCurrent!BZ5</f>
        <v>LVNV16</v>
      </c>
      <c r="CA5" t="str">
        <f>RawCurrent!CA5</f>
        <v>LVNV18</v>
      </c>
      <c r="CB5" t="str">
        <f>RawCurrent!CB5</f>
        <v>LVNV19</v>
      </c>
      <c r="CC5" t="str">
        <f>RawCurrent!CC5</f>
        <v>LVNV20</v>
      </c>
      <c r="CD5" t="str">
        <f>RawCurrent!CD5</f>
        <v>LVNV21</v>
      </c>
    </row>
    <row r="6" spans="1:113" x14ac:dyDescent="0.2">
      <c r="A6" s="3" t="s">
        <v>5</v>
      </c>
      <c r="CE6" t="s">
        <v>216</v>
      </c>
      <c r="CF6" t="str">
        <f>CONCATENATE("WT_N_=_",COUNT(B7:AQ7,AS7:AU7))</f>
        <v>WT_N_=_45</v>
      </c>
      <c r="CG6" t="str">
        <f>CONCATENATE("WTsem_N_=_",COUNT(B7:AQ7,AS7:AU7))</f>
        <v>WTsem_N_=_45</v>
      </c>
      <c r="CH6" t="str">
        <f>CONCATENATE("EPN_N_=_",COUNT(AW7:BJ7))</f>
        <v>EPN_N_=_12</v>
      </c>
      <c r="CI6" t="str">
        <f>CONCATENATE("EPN_N_=_",COUNT(AW7:BJ7))</f>
        <v>EPN_N_=_12</v>
      </c>
      <c r="CJ6" t="str">
        <f>CONCATENATE("LVNV_N_=_",COUNT(BK7:CD7))</f>
        <v>LVNV_N_=_20</v>
      </c>
      <c r="CK6" t="str">
        <f>CONCATENATE("LVNVsem_N_=_",COUNT(BK7:CD7))</f>
        <v>LVNVsem_N_=_20</v>
      </c>
      <c r="CL6" t="str">
        <f>CONCATENATE("WT_N_=_",COUNT(H7:BB7))</f>
        <v>WT_N_=_46</v>
      </c>
      <c r="CM6" t="str">
        <f>CONCATENATE("WTsem_N_=_",COUNT(H7:BB7))</f>
        <v>WTsem_N_=_46</v>
      </c>
      <c r="CN6" t="str">
        <f>CONCATENATE("EPN_N_=_",COUNT(BC7:BP7))</f>
        <v>EPN_N_=_13</v>
      </c>
      <c r="CO6" t="str">
        <f>CONCATENATE("EPN_N_=_",COUNT(BC7:BP7))</f>
        <v>EPN_N_=_13</v>
      </c>
      <c r="CP6" t="str">
        <f>CONCATENATE("LVNV_N_=_",COUNT(BQ7:CJ7))</f>
        <v>LVNV_N_=_20</v>
      </c>
      <c r="CQ6" t="str">
        <f>CONCATENATE("LVNVsem_N_=_",COUNT(BQ7:CJ7))</f>
        <v>LVNVsem_N_=_20</v>
      </c>
      <c r="CR6" t="s">
        <v>228</v>
      </c>
      <c r="CS6" t="s">
        <v>229</v>
      </c>
      <c r="CT6" t="s">
        <v>230</v>
      </c>
      <c r="CU6" t="s">
        <v>231</v>
      </c>
      <c r="CV6" t="s">
        <v>232</v>
      </c>
      <c r="CW6" t="s">
        <v>233</v>
      </c>
      <c r="CX6" t="s">
        <v>234</v>
      </c>
      <c r="CY6" t="s">
        <v>235</v>
      </c>
      <c r="CZ6" t="s">
        <v>236</v>
      </c>
      <c r="DA6" t="s">
        <v>228</v>
      </c>
      <c r="DB6" t="s">
        <v>229</v>
      </c>
      <c r="DC6" t="s">
        <v>230</v>
      </c>
      <c r="DD6" t="s">
        <v>231</v>
      </c>
      <c r="DE6" t="s">
        <v>232</v>
      </c>
      <c r="DF6" t="s">
        <v>233</v>
      </c>
      <c r="DG6" t="s">
        <v>234</v>
      </c>
      <c r="DH6" t="s">
        <v>235</v>
      </c>
      <c r="DI6" t="s">
        <v>236</v>
      </c>
    </row>
    <row r="7" spans="1:113" x14ac:dyDescent="0.2">
      <c r="A7" s="3">
        <v>-80</v>
      </c>
      <c r="B7">
        <f>IF(ISBLANK(RawCurrent!B7),"",IF(AVERAGE(RawCurrent!B$7:B$10)&gt;0,(RawCurrent!B7+MEDIAN(RawCurrent!B$7:B$10)),(RawCurrent!B7-MEDIAN(RawCurrent!B$7:B$10))))</f>
        <v>358.0671157836905</v>
      </c>
      <c r="C7">
        <f>IF(ISBLANK(RawCurrent!C7),"",IF(AVERAGE(RawCurrent!C$7:C$10)&gt;0,(RawCurrent!C7+MEDIAN(RawCurrent!C$7:C$10)),(RawCurrent!C7-MEDIAN(RawCurrent!C$7:C$10))))</f>
        <v>-35.554784774780202</v>
      </c>
      <c r="D7">
        <f>IF(ISBLANK(RawCurrent!D7),"",IF(AVERAGE(RawCurrent!D$7:D$10)&gt;0,(RawCurrent!D7+MEDIAN(RawCurrent!D$7:D$10)),(RawCurrent!D7-MEDIAN(RawCurrent!D$7:D$10))))</f>
        <v>237.86808013915899</v>
      </c>
      <c r="E7">
        <f>IF(ISBLANK(RawCurrent!E7),"",IF(AVERAGE(RawCurrent!E$7:E$10)&gt;0,(RawCurrent!E7+MEDIAN(RawCurrent!E$7:E$10)),(RawCurrent!E7-MEDIAN(RawCurrent!E$7:E$10))))</f>
        <v>-36.078781127929659</v>
      </c>
      <c r="F7">
        <f>IF(ISBLANK(RawCurrent!F7),"",IF(AVERAGE(RawCurrent!F$7:F$10)&gt;0,(RawCurrent!F7+MEDIAN(RawCurrent!F$7:F$10)),(RawCurrent!F7-MEDIAN(RawCurrent!F$7:F$10))))</f>
        <v>303.94523620605452</v>
      </c>
      <c r="G7">
        <f>IF(ISBLANK(RawCurrent!G7),"",IF(AVERAGE(RawCurrent!G$7:G$10)&gt;0,(RawCurrent!G7+MEDIAN(RawCurrent!G$7:G$10)),(RawCurrent!G7-MEDIAN(RawCurrent!G$7:G$10))))</f>
        <v>36.649032592773295</v>
      </c>
      <c r="H7">
        <f>IF(ISBLANK(RawCurrent!H7),"",IF(AVERAGE(RawCurrent!H$7:H$10)&gt;0,(RawCurrent!H7+MEDIAN(RawCurrent!H$7:H$10)),(RawCurrent!H7-MEDIAN(RawCurrent!H$7:H$10))))</f>
        <v>1.8157520294189524</v>
      </c>
      <c r="I7">
        <f>IF(ISBLANK(RawCurrent!I7),"",IF(AVERAGE(RawCurrent!I$7:I$10)&gt;0,(RawCurrent!I7+MEDIAN(RawCurrent!I$7:I$10)),(RawCurrent!I7-MEDIAN(RawCurrent!I$7:I$10))))</f>
        <v>80.929243087768498</v>
      </c>
      <c r="J7">
        <f>IF(ISBLANK(RawCurrent!J7),"",IF(AVERAGE(RawCurrent!J$7:J$10)&gt;0,(RawCurrent!J7+MEDIAN(RawCurrent!J$7:J$10)),(RawCurrent!J7-MEDIAN(RawCurrent!J$7:J$10))))</f>
        <v>87.717098236083899</v>
      </c>
      <c r="K7">
        <f>IF(ISBLANK(RawCurrent!K7),"",IF(AVERAGE(RawCurrent!K$7:K$10)&gt;0,(RawCurrent!K7+MEDIAN(RawCurrent!K$7:K$10)),(RawCurrent!K7-MEDIAN(RawCurrent!K$7:K$10))))</f>
        <v>45.008622504770699</v>
      </c>
      <c r="L7">
        <f>IF(ISBLANK(RawCurrent!L7),"",IF(AVERAGE(RawCurrent!L$7:L$10)&gt;0,(RawCurrent!L7+MEDIAN(RawCurrent!L$7:L$10)),(RawCurrent!L7-MEDIAN(RawCurrent!L$7:L$10))))</f>
        <v>30.229594230651749</v>
      </c>
      <c r="M7">
        <f>IF(ISBLANK(RawCurrent!M7),"",IF(AVERAGE(RawCurrent!M$7:M$10)&gt;0,(RawCurrent!M7+MEDIAN(RawCurrent!M$7:M$10)),(RawCurrent!M7-MEDIAN(RawCurrent!M$7:M$10))))</f>
        <v>-1.7871322631836009</v>
      </c>
      <c r="N7">
        <f>IF(ISBLANK(RawCurrent!N7),"",IF(AVERAGE(RawCurrent!N$7:N$10)&gt;0,(RawCurrent!N7+MEDIAN(RawCurrent!N$7:N$10)),(RawCurrent!N7-MEDIAN(RawCurrent!N$7:N$10))))</f>
        <v>62.968902587890597</v>
      </c>
      <c r="O7">
        <f>IF(ISBLANK(RawCurrent!O7),"",IF(AVERAGE(RawCurrent!O$7:O$10)&gt;0,(RawCurrent!O7+MEDIAN(RawCurrent!O$7:O$10)),(RawCurrent!O7-MEDIAN(RawCurrent!O$7:O$10))))</f>
        <v>-35.620925903320199</v>
      </c>
      <c r="P7">
        <f>IF(ISBLANK(RawCurrent!P7),"",IF(AVERAGE(RawCurrent!P$7:P$10)&gt;0,(RawCurrent!P7+MEDIAN(RawCurrent!P$7:P$10)),(RawCurrent!P7-MEDIAN(RawCurrent!P$7:P$10))))</f>
        <v>56.296356201171847</v>
      </c>
      <c r="Q7">
        <f>IF(ISBLANK(RawCurrent!Q7),"",IF(AVERAGE(RawCurrent!Q$7:Q$10)&gt;0,(RawCurrent!Q7+MEDIAN(RawCurrent!Q$7:Q$10)),(RawCurrent!Q7-MEDIAN(RawCurrent!Q$7:Q$10))))</f>
        <v>70.942281723022404</v>
      </c>
      <c r="R7">
        <f>IF(ISBLANK(RawCurrent!R7),"",IF(AVERAGE(RawCurrent!R$7:R$10)&gt;0,(RawCurrent!R7+MEDIAN(RawCurrent!R$7:R$10)),(RawCurrent!R7-MEDIAN(RawCurrent!R$7:R$10))))</f>
        <v>49.8908014297484</v>
      </c>
      <c r="S7">
        <f>IF(ISBLANK(RawCurrent!S7),"",IF(AVERAGE(RawCurrent!S$7:S$10)&gt;0,(RawCurrent!S7+MEDIAN(RawCurrent!S$7:S$10)),(RawCurrent!S7-MEDIAN(RawCurrent!S$7:S$10))))</f>
        <v>-0.47204399108885298</v>
      </c>
      <c r="T7">
        <f>IF(ISBLANK(RawCurrent!T7),"",IF(AVERAGE(RawCurrent!T$7:T$10)&gt;0,(RawCurrent!T7+MEDIAN(RawCurrent!T$7:T$10)),(RawCurrent!T7-MEDIAN(RawCurrent!T$7:T$10))))</f>
        <v>39.457511901855298</v>
      </c>
      <c r="U7">
        <f>IF(ISBLANK(RawCurrent!U7),"",IF(AVERAGE(RawCurrent!U$7:U$10)&gt;0,(RawCurrent!U7+MEDIAN(RawCurrent!U$7:U$10)),(RawCurrent!U7-MEDIAN(RawCurrent!U$7:U$10))))</f>
        <v>39.19097900390625</v>
      </c>
      <c r="V7">
        <f>IF(ISBLANK(RawCurrent!V7),"",IF(AVERAGE(RawCurrent!V$7:V$10)&gt;0,(RawCurrent!V7+MEDIAN(RawCurrent!V$7:V$10)),(RawCurrent!V7-MEDIAN(RawCurrent!V$7:V$10))))</f>
        <v>21.699340820312351</v>
      </c>
      <c r="W7">
        <f>IF(ISBLANK(RawCurrent!W7),"",IF(AVERAGE(RawCurrent!W$7:W$10)&gt;0,(RawCurrent!W7+MEDIAN(RawCurrent!W$7:W$10)),(RawCurrent!W7-MEDIAN(RawCurrent!W$7:W$10))))</f>
        <v>16.633750915527301</v>
      </c>
      <c r="X7">
        <f>IF(ISBLANK(RawCurrent!X7),"",IF(AVERAGE(RawCurrent!X$7:X$10)&gt;0,(RawCurrent!X7+MEDIAN(RawCurrent!X$7:X$10)),(RawCurrent!X7-MEDIAN(RawCurrent!X$7:X$10))))</f>
        <v>0.67995834350584872</v>
      </c>
      <c r="Y7">
        <f>IF(ISBLANK(RawCurrent!Y7),"",IF(AVERAGE(RawCurrent!Y$7:Y$10)&gt;0,(RawCurrent!Y7+MEDIAN(RawCurrent!Y$7:Y$10)),(RawCurrent!Y7-MEDIAN(RawCurrent!Y$7:Y$10))))</f>
        <v>21.459261894226049</v>
      </c>
      <c r="Z7">
        <f>IF(ISBLANK(RawCurrent!Z7),"",IF(AVERAGE(RawCurrent!Z$7:Z$10)&gt;0,(RawCurrent!Z7+MEDIAN(RawCurrent!Z$7:Z$10)),(RawCurrent!Z7-MEDIAN(RawCurrent!Z$7:Z$10))))</f>
        <v>13.212481021881102</v>
      </c>
      <c r="AA7">
        <f>IF(ISBLANK(RawCurrent!AA7),"",IF(AVERAGE(RawCurrent!AA$7:AA$10)&gt;0,(RawCurrent!AA7+MEDIAN(RawCurrent!AA$7:AA$10)),(RawCurrent!AA7-MEDIAN(RawCurrent!AA$7:AA$10))))</f>
        <v>8.5525555610656685</v>
      </c>
      <c r="AB7">
        <f>IF(ISBLANK(RawCurrent!AB7),"",IF(AVERAGE(RawCurrent!AB$7:AB$10)&gt;0,(RawCurrent!AB7+MEDIAN(RawCurrent!AB$7:AB$10)),(RawCurrent!AB7-MEDIAN(RawCurrent!AB$7:AB$10))))</f>
        <v>-39.927420616149803</v>
      </c>
      <c r="AC7">
        <f>IF(ISBLANK(RawCurrent!AC7),"",IF(AVERAGE(RawCurrent!AC$7:AC$10)&gt;0,(RawCurrent!AC7+MEDIAN(RawCurrent!AC$7:AC$10)),(RawCurrent!AC7-MEDIAN(RawCurrent!AC$7:AC$10))))</f>
        <v>1.3789882659911541</v>
      </c>
      <c r="AD7">
        <f>IF(ISBLANK(RawCurrent!AD7),"",IF(AVERAGE(RawCurrent!AD$7:AD$10)&gt;0,(RawCurrent!AD7+MEDIAN(RawCurrent!AD$7:AD$10)),(RawCurrent!AD7-MEDIAN(RawCurrent!AD$7:AD$10))))</f>
        <v>67.740066528320199</v>
      </c>
      <c r="AE7">
        <f>IF(ISBLANK(RawCurrent!AE7),"",IF(AVERAGE(RawCurrent!AE$7:AE$10)&gt;0,(RawCurrent!AE7+MEDIAN(RawCurrent!AE$7:AE$10)),(RawCurrent!AE7-MEDIAN(RawCurrent!AE$7:AE$10))))</f>
        <v>0.16620731353760121</v>
      </c>
      <c r="AF7">
        <f>IF(ISBLANK(RawCurrent!AF7),"",IF(AVERAGE(RawCurrent!AF$7:AF$10)&gt;0,(RawCurrent!AF7+MEDIAN(RawCurrent!AF$7:AF$10)),(RawCurrent!AF7-MEDIAN(RawCurrent!AF$7:AF$10))))</f>
        <v>-26.9654474258422</v>
      </c>
      <c r="AG7">
        <f>IF(ISBLANK(RawCurrent!AG7),"",IF(AVERAGE(RawCurrent!AG$7:AG$10)&gt;0,(RawCurrent!AG7+MEDIAN(RawCurrent!AG$7:AG$10)),(RawCurrent!AG7-MEDIAN(RawCurrent!AG$7:AG$10))))</f>
        <v>36.526962280273352</v>
      </c>
      <c r="AH7">
        <f>IF(ISBLANK(RawCurrent!AH7),"",IF(AVERAGE(RawCurrent!AH$7:AH$10)&gt;0,(RawCurrent!AH7+MEDIAN(RawCurrent!AH$7:AH$10)),(RawCurrent!AH7-MEDIAN(RawCurrent!AH$7:AH$10))))</f>
        <v>-36.640163421630795</v>
      </c>
      <c r="AI7">
        <f>IF(ISBLANK(RawCurrent!AI7),"",IF(AVERAGE(RawCurrent!AI$7:AI$10)&gt;0,(RawCurrent!AI7+MEDIAN(RawCurrent!AI$7:AI$10)),(RawCurrent!AI7-MEDIAN(RawCurrent!AI$7:AI$10))))</f>
        <v>1.9245414733887003</v>
      </c>
      <c r="AJ7">
        <f>IF(ISBLANK(RawCurrent!AJ7),"",IF(AVERAGE(RawCurrent!AJ$7:AJ$10)&gt;0,(RawCurrent!AJ7+MEDIAN(RawCurrent!AJ$7:AJ$10)),(RawCurrent!AJ7-MEDIAN(RawCurrent!AJ$7:AJ$10))))</f>
        <v>-2.599302291870103</v>
      </c>
      <c r="AK7">
        <f>IF(ISBLANK(RawCurrent!AK7),"",IF(AVERAGE(RawCurrent!AK$7:AK$10)&gt;0,(RawCurrent!AK7+MEDIAN(RawCurrent!AK$7:AK$10)),(RawCurrent!AK7-MEDIAN(RawCurrent!AK$7:AK$10))))</f>
        <v>-1.2885437011718999</v>
      </c>
      <c r="AL7">
        <f>IF(ISBLANK(RawCurrent!AL7),"",IF(AVERAGE(RawCurrent!AL$7:AL$10)&gt;0,(RawCurrent!AL7+MEDIAN(RawCurrent!AL$7:AL$10)),(RawCurrent!AL7-MEDIAN(RawCurrent!AL$7:AL$10))))</f>
        <v>-10.0250129699707</v>
      </c>
      <c r="AM7">
        <f>IF(ISBLANK(RawCurrent!AM7),"",IF(AVERAGE(RawCurrent!AM$7:AM$10)&gt;0,(RawCurrent!AM7+MEDIAN(RawCurrent!AM$7:AM$10)),(RawCurrent!AM7-MEDIAN(RawCurrent!AM$7:AM$10))))</f>
        <v>10.5941505432128</v>
      </c>
      <c r="AN7">
        <f>IF(ISBLANK(RawCurrent!AN7),"",IF(AVERAGE(RawCurrent!AN$7:AN$10)&gt;0,(RawCurrent!AN7+MEDIAN(RawCurrent!AN$7:AN$10)),(RawCurrent!AN7-MEDIAN(RawCurrent!AN$7:AN$10))))</f>
        <v>30.147369384765497</v>
      </c>
      <c r="AO7">
        <f>IF(ISBLANK(RawCurrent!AO7),"",IF(AVERAGE(RawCurrent!AO$7:AO$10)&gt;0,(RawCurrent!AO7+MEDIAN(RawCurrent!AO$7:AO$10)),(RawCurrent!AO7-MEDIAN(RawCurrent!AO$7:AO$10))))</f>
        <v>0.77390289306639914</v>
      </c>
      <c r="AP7">
        <f>IF(ISBLANK(RawCurrent!AP7),"",IF(AVERAGE(RawCurrent!AP$7:AP$10)&gt;0,(RawCurrent!AP7+MEDIAN(RawCurrent!AP$7:AP$10)),(RawCurrent!AP7-MEDIAN(RawCurrent!AP$7:AP$10))))</f>
        <v>17.233371734619091</v>
      </c>
      <c r="AQ7">
        <f>IF(ISBLANK(RawCurrent!AQ7),"",IF(AVERAGE(RawCurrent!AQ$7:AQ$10)&gt;0,(RawCurrent!AQ7+MEDIAN(RawCurrent!AQ$7:AQ$10)),(RawCurrent!AQ7-MEDIAN(RawCurrent!AQ$7:AQ$10))))</f>
        <v>14.662992477416948</v>
      </c>
      <c r="AR7">
        <f>IF(ISBLANK(RawCurrent!AR7),"",IF(AVERAGE(RawCurrent!AR$7:AR$10)&gt;0,(RawCurrent!AR7+MEDIAN(RawCurrent!AR$7:AR$10)),(RawCurrent!AR7-MEDIAN(RawCurrent!AR$7:AR$10))))</f>
        <v>-1.8307261466980513</v>
      </c>
      <c r="AS7">
        <f>IF(ISBLANK(RawCurrent!AS7),"",IF(AVERAGE(RawCurrent!AS$7:AS$10)&gt;0,(RawCurrent!AS7+MEDIAN(RawCurrent!AS$7:AS$10)),(RawCurrent!AS7-MEDIAN(RawCurrent!AS$7:AS$10))))</f>
        <v>-18.863705635070751</v>
      </c>
      <c r="AT7">
        <f>IF(ISBLANK(RawCurrent!AT7),"",IF(AVERAGE(RawCurrent!AT$7:AT$10)&gt;0,(RawCurrent!AT7+MEDIAN(RawCurrent!AT$7:AT$10)),(RawCurrent!AT7-MEDIAN(RawCurrent!AT$7:AT$10))))</f>
        <v>-16.966796874999986</v>
      </c>
      <c r="AU7">
        <f>IF(ISBLANK(RawCurrent!AU7),"",IF(AVERAGE(RawCurrent!AU$7:AU$10)&gt;0,(RawCurrent!AU7+MEDIAN(RawCurrent!AU$7:AU$10)),(RawCurrent!AU7-MEDIAN(RawCurrent!AU$7:AU$10))))</f>
        <v>24.088411331176708</v>
      </c>
      <c r="AV7">
        <f>IF(ISBLANK(RawCurrent!AV7),"",IF(AVERAGE(RawCurrent!AV$7:AV$10)&gt;0,(RawCurrent!AV7+MEDIAN(RawCurrent!AV$7:AV$10)),(RawCurrent!AV7-MEDIAN(RawCurrent!AV$7:AV$10))))</f>
        <v>19.662833023071261</v>
      </c>
      <c r="AW7">
        <f>IF(ISBLANK(RawCurrent!AW7),"",IF(AVERAGE(RawCurrent!AW$7:AW$10)&gt;0,(RawCurrent!AW7+MEDIAN(RawCurrent!AW$7:AW$10)),(RawCurrent!AW7-MEDIAN(RawCurrent!AW$7:AW$10))))</f>
        <v>98.31484985351554</v>
      </c>
      <c r="AX7">
        <f>IF(ISBLANK(RawCurrent!AX7),"",IF(AVERAGE(RawCurrent!AX$7:AX$10)&gt;0,(RawCurrent!AX7+MEDIAN(RawCurrent!AX$7:AX$10)),(RawCurrent!AX7-MEDIAN(RawCurrent!AX$7:AX$10))))</f>
        <v>-39.007881164550746</v>
      </c>
      <c r="AY7">
        <f>IF(ISBLANK(RawCurrent!AY7),"",IF(AVERAGE(RawCurrent!AY$7:AY$10)&gt;0,(RawCurrent!AY7+MEDIAN(RawCurrent!AY$7:AY$10)),(RawCurrent!AY7-MEDIAN(RawCurrent!AY$7:AY$10))))</f>
        <v>29.896692593892368</v>
      </c>
      <c r="AZ7">
        <f>IF(ISBLANK(RawCurrent!AZ7),"",IF(AVERAGE(RawCurrent!AZ$7:AZ$10)&gt;0,(RawCurrent!AZ7+MEDIAN(RawCurrent!AZ$7:AZ$10)),(RawCurrent!AZ7-MEDIAN(RawCurrent!AZ$7:AZ$10))))</f>
        <v>23.55550765991206</v>
      </c>
      <c r="BA7">
        <f>IF(ISBLANK(RawCurrent!BA7),"",IF(AVERAGE(RawCurrent!BA$7:BA$10)&gt;0,(RawCurrent!BA7+MEDIAN(RawCurrent!BA$7:BA$10)),(RawCurrent!BA7-MEDIAN(RawCurrent!BA$7:BA$10))))</f>
        <v>0.73891894022624882</v>
      </c>
      <c r="BC7">
        <f>IF(ISBLANK(RawCurrent!BC7),"",IF(AVERAGE(RawCurrent!BC$7:BC$10)&gt;0,(RawCurrent!BC7+MEDIAN(RawCurrent!BC$7:BC$10)),(RawCurrent!BC7-MEDIAN(RawCurrent!BC$7:BC$10))))</f>
        <v>2.6525268554687997</v>
      </c>
      <c r="BD7">
        <f>IF(ISBLANK(RawCurrent!BD7),"",IF(AVERAGE(RawCurrent!BD$7:BD$10)&gt;0,(RawCurrent!BD7+MEDIAN(RawCurrent!BD$7:BD$10)),(RawCurrent!BD7-MEDIAN(RawCurrent!BD$7:BD$10))))</f>
        <v>39.265439987182546</v>
      </c>
      <c r="BF7">
        <f>IF(ISBLANK(RawCurrent!BF7),"",IF(AVERAGE(RawCurrent!BF$7:BF$10)&gt;0,(RawCurrent!BF7+MEDIAN(RawCurrent!BF$7:BF$10)),(RawCurrent!BF7-MEDIAN(RawCurrent!BF$7:BF$10))))</f>
        <v>26.514542579650822</v>
      </c>
      <c r="BG7">
        <f>IF(ISBLANK(RawCurrent!BG7),"",IF(AVERAGE(RawCurrent!BG$7:BG$10)&gt;0,(RawCurrent!BG7+MEDIAN(RawCurrent!BG$7:BG$10)),(RawCurrent!BG7-MEDIAN(RawCurrent!BG$7:BG$10))))</f>
        <v>62.80113410949695</v>
      </c>
      <c r="BH7">
        <f>IF(ISBLANK(RawCurrent!BH7),"",IF(AVERAGE(RawCurrent!BH$7:BH$10)&gt;0,(RawCurrent!BH7+MEDIAN(RawCurrent!BH$7:BH$10)),(RawCurrent!BH7-MEDIAN(RawCurrent!BH$7:BH$10))))</f>
        <v>2.0717391967773207</v>
      </c>
      <c r="BI7">
        <f>IF(ISBLANK(RawCurrent!BI7),"",IF(AVERAGE(RawCurrent!BI$7:BI$10)&gt;0,(RawCurrent!BI7+MEDIAN(RawCurrent!BI$7:BI$10)),(RawCurrent!BI7-MEDIAN(RawCurrent!BI$7:BI$10))))</f>
        <v>49.398852348327551</v>
      </c>
      <c r="BJ7">
        <f>IF(ISBLANK(RawCurrent!BJ7),"",IF(AVERAGE(RawCurrent!BJ$7:BJ$10)&gt;0,(RawCurrent!BJ7+MEDIAN(RawCurrent!BJ$7:BJ$10)),(RawCurrent!BJ7-MEDIAN(RawCurrent!BJ$7:BJ$10))))</f>
        <v>2.0446777343750391</v>
      </c>
      <c r="BK7">
        <f>IF(ISBLANK(RawCurrent!BK7),"",IF(AVERAGE(RawCurrent!BK$7:BK$10)&gt;0,(RawCurrent!BK7+MEDIAN(RawCurrent!BK$7:BK$10)),(RawCurrent!BK7-MEDIAN(RawCurrent!BK$7:BK$10))))</f>
        <v>-13.243904693634903</v>
      </c>
      <c r="BL7">
        <f>IF(ISBLANK(RawCurrent!BL7),"",IF(AVERAGE(RawCurrent!BL$7:BL$10)&gt;0,(RawCurrent!BL7+MEDIAN(RawCurrent!BL$7:BL$10)),(RawCurrent!BL7-MEDIAN(RawCurrent!BL$7:BL$10))))</f>
        <v>8.7299575805664045</v>
      </c>
      <c r="BM7">
        <f>IF(ISBLANK(RawCurrent!BM7),"",IF(AVERAGE(RawCurrent!BM$7:BM$10)&gt;0,(RawCurrent!BM7+MEDIAN(RawCurrent!BM$7:BM$10)),(RawCurrent!BM7-MEDIAN(RawCurrent!BM$7:BM$10))))</f>
        <v>-9.0520210266113175</v>
      </c>
      <c r="BN7">
        <f>IF(ISBLANK(RawCurrent!BN7),"",IF(AVERAGE(RawCurrent!BN$7:BN$10)&gt;0,(RawCurrent!BN7+MEDIAN(RawCurrent!BN$7:BN$10)),(RawCurrent!BN7-MEDIAN(RawCurrent!BN$7:BN$10))))</f>
        <v>44.180896759033146</v>
      </c>
      <c r="BO7">
        <f>IF(ISBLANK(RawCurrent!BO7),"",IF(AVERAGE(RawCurrent!BO$7:BO$10)&gt;0,(RawCurrent!BO7+MEDIAN(RawCurrent!BO$7:BO$10)),(RawCurrent!BO7-MEDIAN(RawCurrent!BO$7:BO$10))))</f>
        <v>50.733476638793903</v>
      </c>
      <c r="BP7">
        <f>IF(ISBLANK(RawCurrent!BP7),"",IF(AVERAGE(RawCurrent!BP$7:BP$10)&gt;0,(RawCurrent!BP7+MEDIAN(RawCurrent!BP$7:BP$10)),(RawCurrent!BP7-MEDIAN(RawCurrent!BP$7:BP$10))))</f>
        <v>34.80480575561505</v>
      </c>
      <c r="BQ7">
        <f>IF(ISBLANK(RawCurrent!BQ7),"",IF(AVERAGE(RawCurrent!BQ$7:BQ$10)&gt;0,(RawCurrent!BQ7+MEDIAN(RawCurrent!BQ$7:BQ$10)),(RawCurrent!BQ7-MEDIAN(RawCurrent!BQ$7:BQ$10))))</f>
        <v>42.725329399108801</v>
      </c>
      <c r="BR7">
        <f>IF(ISBLANK(RawCurrent!BR7),"",IF(AVERAGE(RawCurrent!BR$7:BR$10)&gt;0,(RawCurrent!BR7+MEDIAN(RawCurrent!BR$7:BR$10)),(RawCurrent!BR7-MEDIAN(RawCurrent!BR$7:BR$10))))</f>
        <v>10.254646937052383</v>
      </c>
      <c r="BS7">
        <f>IF(ISBLANK(RawCurrent!BS7),"",IF(AVERAGE(RawCurrent!BS$7:BS$10)&gt;0,(RawCurrent!BS7+MEDIAN(RawCurrent!BS$7:BS$10)),(RawCurrent!BS7-MEDIAN(RawCurrent!BS$7:BS$10))))</f>
        <v>1.5184707641601494</v>
      </c>
      <c r="BT7">
        <f>IF(ISBLANK(RawCurrent!BT7),"",IF(AVERAGE(RawCurrent!BT$7:BT$10)&gt;0,(RawCurrent!BT7+MEDIAN(RawCurrent!BT$7:BT$10)),(RawCurrent!BT7-MEDIAN(RawCurrent!BT$7:BT$10))))</f>
        <v>21.844720363616901</v>
      </c>
      <c r="BU7">
        <f>IF(ISBLANK(RawCurrent!BU7),"",IF(AVERAGE(RawCurrent!BU$7:BU$10)&gt;0,(RawCurrent!BU7+MEDIAN(RawCurrent!BU$7:BU$10)),(RawCurrent!BU7-MEDIAN(RawCurrent!BU$7:BU$10))))</f>
        <v>0</v>
      </c>
      <c r="BV7">
        <f>IF(ISBLANK(RawCurrent!BV7),"",IF(AVERAGE(RawCurrent!BV$7:BV$10)&gt;0,(RawCurrent!BV7+MEDIAN(RawCurrent!BV$7:BV$10)),(RawCurrent!BV7-MEDIAN(RawCurrent!BV$7:BV$10))))</f>
        <v>-5.3956338564554827</v>
      </c>
      <c r="BW7">
        <f>IF(ISBLANK(RawCurrent!BW7),"",IF(AVERAGE(RawCurrent!BW$7:BW$10)&gt;0,(RawCurrent!BW7+MEDIAN(RawCurrent!BW$7:BW$10)),(RawCurrent!BW7-MEDIAN(RawCurrent!BW$7:BW$10))))</f>
        <v>22.686714649200297</v>
      </c>
      <c r="BX7">
        <f>IF(ISBLANK(RawCurrent!BX7),"",IF(AVERAGE(RawCurrent!BX$7:BX$10)&gt;0,(RawCurrent!BX7+MEDIAN(RawCurrent!BX$7:BX$10)),(RawCurrent!BX7-MEDIAN(RawCurrent!BX$7:BX$10))))</f>
        <v>0.17959338596889474</v>
      </c>
      <c r="BY7">
        <f>IF(ISBLANK(RawCurrent!BY7),"",IF(AVERAGE(RawCurrent!BY$7:BY$10)&gt;0,(RawCurrent!BY7+MEDIAN(RawCurrent!BY$7:BY$10)),(RawCurrent!BY7-MEDIAN(RawCurrent!BY$7:BY$10))))</f>
        <v>1.40924072265625</v>
      </c>
      <c r="BZ7">
        <f>IF(ISBLANK(RawCurrent!BZ7),"",IF(AVERAGE(RawCurrent!BZ$7:BZ$10)&gt;0,(RawCurrent!BZ7+MEDIAN(RawCurrent!BZ$7:BZ$10)),(RawCurrent!BZ7-MEDIAN(RawCurrent!BZ$7:BZ$10))))</f>
        <v>26.047893524169815</v>
      </c>
      <c r="CA7">
        <f>IF(ISBLANK(RawCurrent!CA7),"",IF(AVERAGE(RawCurrent!CA$7:CA$10)&gt;0,(RawCurrent!CA7+MEDIAN(RawCurrent!CA$7:CA$10)),(RawCurrent!CA7-MEDIAN(RawCurrent!CA$7:CA$10))))</f>
        <v>4.5515975952148295</v>
      </c>
      <c r="CB7">
        <f>IF(ISBLANK(RawCurrent!CB7),"",IF(AVERAGE(RawCurrent!CB$7:CB$10)&gt;0,(RawCurrent!CB7+MEDIAN(RawCurrent!CB$7:CB$10)),(RawCurrent!CB7-MEDIAN(RawCurrent!CB$7:CB$10))))</f>
        <v>0.34675868352253086</v>
      </c>
      <c r="CC7">
        <f>IF(ISBLANK(RawCurrent!CC7),"",IF(AVERAGE(RawCurrent!CC$7:CC$10)&gt;0,(RawCurrent!CC7+MEDIAN(RawCurrent!CC$7:CC$10)),(RawCurrent!CC7-MEDIAN(RawCurrent!CC$7:CC$10))))</f>
        <v>-10.435263872146603</v>
      </c>
      <c r="CD7">
        <f>IF(ISBLANK(RawCurrent!CD7),"",IF(AVERAGE(RawCurrent!CD$7:CD$10)&gt;0,(RawCurrent!CD7+MEDIAN(RawCurrent!CD$7:CD$10)),(RawCurrent!CD7-MEDIAN(RawCurrent!CD$7:CD$10))))</f>
        <v>3.5876283645629878</v>
      </c>
      <c r="CE7">
        <v>-80</v>
      </c>
      <c r="CF7">
        <f>AVERAGE(B7:AQ7,AS7:AU7)</f>
        <v>33.90357465429431</v>
      </c>
      <c r="CG7">
        <f>STDEV(B7:AQ7,AS7:AU7)/SQRT(COUNT(B7:AQ7,AS7:AU7))</f>
        <v>11.880781809601203</v>
      </c>
      <c r="CH7">
        <f>AVERAGE(AW7:BJ7)</f>
        <v>24.853916724522875</v>
      </c>
      <c r="CI7">
        <f>STDEV((AW7:BJ7))/SQRT(COUNT(AW7:BJ7))</f>
        <v>10.250119016258344</v>
      </c>
      <c r="CJ7">
        <f>AVERAGE(BK7:CD7)</f>
        <v>11.773745383719699</v>
      </c>
      <c r="CK7">
        <f>STDEV(BK7:CD7)/SQRT(COUNT(BK7:CD7))</f>
        <v>4.3150182983586136</v>
      </c>
      <c r="CL7">
        <f>IF(AVERAGE(CF$7:CF$10)&gt;0,(CF7-MEDIAN(CF$7:CF$10)),(CF7+MEDIAN(CF$7:CF$10)))</f>
        <v>1.2170513778097174</v>
      </c>
      <c r="CM7">
        <v>12.775597045364066</v>
      </c>
      <c r="CN7">
        <f t="shared" ref="CN7:CN22" si="0">IF(AVERAGE(CH$7:CH$10)&gt;0,(CH7-MEDIAN(CH$7:CH$10)),(CH7+MEDIAN(CH$7:CH$10)))</f>
        <v>2.3935486200528189</v>
      </c>
      <c r="CO7">
        <v>10.250119016258344</v>
      </c>
      <c r="CP7">
        <f>IF(AVERAGE(CJ$7:CJ$10)&gt;0,(CJ7-MEDIAN(CJ$7:CJ$10)),(CJ7+MEDIAN(CJ$7:CJ$10)))</f>
        <v>-0.93083286090119444</v>
      </c>
      <c r="CQ7">
        <v>4.3150182983586136</v>
      </c>
      <c r="CR7">
        <f>MEDIAN((B7:AQ7,AS7:AU7))</f>
        <v>14.662992477416948</v>
      </c>
      <c r="CS7">
        <f>_xlfn.QUARTILE.EXC((B7:AQ7,AS7:AU7),3)</f>
        <v>42.233067203312999</v>
      </c>
      <c r="CT7">
        <f>_xlfn.QUARTILE.EXC((B7:AQ7,AS7:AU7),1)</f>
        <v>-1.5378379821777504</v>
      </c>
      <c r="CU7">
        <f>MEDIAN(AW7:BJ7)</f>
        <v>25.035025119781441</v>
      </c>
      <c r="CV7">
        <f>_xlfn.QUARTILE.EXC((AW7:BJ7),3)</f>
        <v>46.865499258041297</v>
      </c>
      <c r="CW7">
        <f>_xlfn.QUARTILE.EXC((AW7:BJ7),1)</f>
        <v>2.0514430999756095</v>
      </c>
      <c r="CX7">
        <f>MEDIAN(BK7:CD7)</f>
        <v>4.0696129798889089</v>
      </c>
      <c r="CY7">
        <f>_xlfn.QUARTILE.EXC((BK7:CD7),3)</f>
        <v>25.207598805427438</v>
      </c>
      <c r="CZ7">
        <f>_xlfn.QUARTILE.EXC((BK7:CD7),1)</f>
        <v>4.4898346492223684E-2</v>
      </c>
      <c r="DA7">
        <f>IF(AVERAGE($CR$7:$CR$10)&gt;0,(CR7-MEDIAN($CR$7:$CR$10)),(CR7+MEDIAN($CR$7:$CR$10)))</f>
        <v>-0.9939219951629763</v>
      </c>
      <c r="DB7">
        <f t="shared" ref="DB7" si="1">IF(AVERAGE($CR$7:$CR$10)&gt;0,(CS7-MEDIAN($CR$7:$CR$10)),(CS7+MEDIAN($CR$7:$CR$10)))</f>
        <v>26.576152730733074</v>
      </c>
      <c r="DC7">
        <f>IF(AVERAGE($CR$7:$CR$10)&gt;0,(CT7-MEDIAN($CR$7:$CR$10)),(CT7+MEDIAN($CR$7:$CR$10)))</f>
        <v>-17.194752454757676</v>
      </c>
      <c r="DD7">
        <f>IF(AVERAGE($CU$7:$CU$10)&gt;0,(CU7-MEDIAN($CU$7:$CU$10)),(CU7+MEDIAN($CU$7:$CU$10)))</f>
        <v>10.436797857284517</v>
      </c>
      <c r="DE7">
        <f t="shared" ref="DE7:DF7" si="2">IF(AVERAGE($CU$7:$CU$10)&gt;0,(CV7-MEDIAN($CU$7:$CU$10)),(CV7+MEDIAN($CU$7:$CU$10)))</f>
        <v>32.267271995544377</v>
      </c>
      <c r="DF7">
        <f t="shared" si="2"/>
        <v>-12.546784162521314</v>
      </c>
      <c r="DG7">
        <f>IF(AVERAGE($CX$7:$CX$10)&gt;0,(CX7-MEDIAN($CX$7:$CX$10)),(CX7+MEDIAN($CX$7:$CX$10)))</f>
        <v>-4.5313661098480367</v>
      </c>
      <c r="DH7">
        <f t="shared" ref="DH7:DI7" si="3">IF(AVERAGE($CX$7:$CX$10)&gt;0,(CY7-MEDIAN($CX$7:$CX$10)),(CY7+MEDIAN($CX$7:$CX$10)))</f>
        <v>16.606619715690492</v>
      </c>
      <c r="DI7">
        <f t="shared" si="3"/>
        <v>-8.5560807432447223</v>
      </c>
    </row>
    <row r="8" spans="1:113" x14ac:dyDescent="0.2">
      <c r="A8" s="3">
        <f>A7+10</f>
        <v>-70</v>
      </c>
      <c r="B8">
        <f>IF(ISBLANK(RawCurrent!B8),"",IF(AVERAGE(RawCurrent!B$7:B$10)&gt;0,(RawCurrent!B8+MEDIAN(RawCurrent!B$7:B$10)),(RawCurrent!B8-MEDIAN(RawCurrent!B$7:B$10))))</f>
        <v>-4.3683853149414915</v>
      </c>
      <c r="C8">
        <f>IF(ISBLANK(RawCurrent!C8),"",IF(AVERAGE(RawCurrent!C$7:C$10)&gt;0,(RawCurrent!C8+MEDIAN(RawCurrent!C$7:C$10)),(RawCurrent!C8-MEDIAN(RawCurrent!C$7:C$10))))</f>
        <v>35.554784774780195</v>
      </c>
      <c r="D8">
        <f>IF(ISBLANK(RawCurrent!D8),"",IF(AVERAGE(RawCurrent!D$7:D$10)&gt;0,(RawCurrent!D8+MEDIAN(RawCurrent!D$7:D$10)),(RawCurrent!D8-MEDIAN(RawCurrent!D$7:D$10))))</f>
        <v>241.74871826171801</v>
      </c>
      <c r="E8">
        <f>IF(ISBLANK(RawCurrent!E8),"",IF(AVERAGE(RawCurrent!E$7:E$10)&gt;0,(RawCurrent!E8+MEDIAN(RawCurrent!E$7:E$10)),(RawCurrent!E8-MEDIAN(RawCurrent!E$7:E$10))))</f>
        <v>-8.3473968505859517</v>
      </c>
      <c r="F8">
        <f>IF(ISBLANK(RawCurrent!F8),"",IF(AVERAGE(RawCurrent!F$7:F$10)&gt;0,(RawCurrent!F8+MEDIAN(RawCurrent!F$7:F$10)),(RawCurrent!F8-MEDIAN(RawCurrent!F$7:F$10))))</f>
        <v>308.85676574706952</v>
      </c>
      <c r="G8">
        <f>IF(ISBLANK(RawCurrent!G8),"",IF(AVERAGE(RawCurrent!G$7:G$10)&gt;0,(RawCurrent!G8+MEDIAN(RawCurrent!G$7:G$10)),(RawCurrent!G8-MEDIAN(RawCurrent!G$7:G$10))))</f>
        <v>33.169502258300696</v>
      </c>
      <c r="H8">
        <f>IF(ISBLANK(RawCurrent!H8),"",IF(AVERAGE(RawCurrent!H$7:H$10)&gt;0,(RawCurrent!H8+MEDIAN(RawCurrent!H$7:H$10)),(RawCurrent!H8-MEDIAN(RawCurrent!H$7:H$10))))</f>
        <v>-1.8157520294189489</v>
      </c>
      <c r="I8">
        <f>IF(ISBLANK(RawCurrent!I8),"",IF(AVERAGE(RawCurrent!I$7:I$10)&gt;0,(RawCurrent!I8+MEDIAN(RawCurrent!I$7:I$10)),(RawCurrent!I8-MEDIAN(RawCurrent!I$7:I$10))))</f>
        <v>95.360219955444308</v>
      </c>
      <c r="J8">
        <f>IF(ISBLANK(RawCurrent!J8),"",IF(AVERAGE(RawCurrent!J$7:J$10)&gt;0,(RawCurrent!J8+MEDIAN(RawCurrent!J$7:J$10)),(RawCurrent!J8-MEDIAN(RawCurrent!J$7:J$10))))</f>
        <v>-4.6374778747558025</v>
      </c>
      <c r="K8">
        <f>IF(ISBLANK(RawCurrent!K8),"",IF(AVERAGE(RawCurrent!K$7:K$10)&gt;0,(RawCurrent!K8+MEDIAN(RawCurrent!K$7:K$10)),(RawCurrent!K8-MEDIAN(RawCurrent!K$7:K$10))))</f>
        <v>48.897702097892662</v>
      </c>
      <c r="L8">
        <f>IF(ISBLANK(RawCurrent!L8),"",IF(AVERAGE(RawCurrent!L$7:L$10)&gt;0,(RawCurrent!L8+MEDIAN(RawCurrent!L$7:L$10)),(RawCurrent!L8-MEDIAN(RawCurrent!L$7:L$10))))</f>
        <v>32.281892776489144</v>
      </c>
      <c r="M8">
        <f>IF(ISBLANK(RawCurrent!M8),"",IF(AVERAGE(RawCurrent!M$7:M$10)&gt;0,(RawCurrent!M8+MEDIAN(RawCurrent!M$7:M$10)),(RawCurrent!M8-MEDIAN(RawCurrent!M$7:M$10))))</f>
        <v>114.54986572265611</v>
      </c>
      <c r="N8">
        <f>IF(ISBLANK(RawCurrent!N8),"",IF(AVERAGE(RawCurrent!N$7:N$10)&gt;0,(RawCurrent!N8+MEDIAN(RawCurrent!N$7:N$10)),(RawCurrent!N8-MEDIAN(RawCurrent!N$7:N$10))))</f>
        <v>66.09713745117179</v>
      </c>
      <c r="O8">
        <f>IF(ISBLANK(RawCurrent!O8),"",IF(AVERAGE(RawCurrent!O$7:O$10)&gt;0,(RawCurrent!O8+MEDIAN(RawCurrent!O$7:O$10)),(RawCurrent!O8-MEDIAN(RawCurrent!O$7:O$10))))</f>
        <v>29.529575347900398</v>
      </c>
      <c r="P8">
        <f>IF(ISBLANK(RawCurrent!P8),"",IF(AVERAGE(RawCurrent!P$7:P$10)&gt;0,(RawCurrent!P8+MEDIAN(RawCurrent!P$7:P$10)),(RawCurrent!P8-MEDIAN(RawCurrent!P$7:P$10))))</f>
        <v>50.942474365234347</v>
      </c>
      <c r="Q8">
        <f>IF(ISBLANK(RawCurrent!Q8),"",IF(AVERAGE(RawCurrent!Q$7:Q$10)&gt;0,(RawCurrent!Q8+MEDIAN(RawCurrent!Q$7:Q$10)),(RawCurrent!Q8-MEDIAN(RawCurrent!Q$7:Q$10))))</f>
        <v>82.698892593383704</v>
      </c>
      <c r="R8">
        <f>IF(ISBLANK(RawCurrent!R8),"",IF(AVERAGE(RawCurrent!R$7:R$10)&gt;0,(RawCurrent!R8+MEDIAN(RawCurrent!R$7:R$10)),(RawCurrent!R8-MEDIAN(RawCurrent!R$7:R$10))))</f>
        <v>49.182827949523798</v>
      </c>
      <c r="S8">
        <f>IF(ISBLANK(RawCurrent!S8),"",IF(AVERAGE(RawCurrent!S$7:S$10)&gt;0,(RawCurrent!S8+MEDIAN(RawCurrent!S$7:S$10)),(RawCurrent!S8-MEDIAN(RawCurrent!S$7:S$10))))</f>
        <v>-0.65710449218755329</v>
      </c>
      <c r="T8">
        <f>IF(ISBLANK(RawCurrent!T8),"",IF(AVERAGE(RawCurrent!T$7:T$10)&gt;0,(RawCurrent!T8+MEDIAN(RawCurrent!T$7:T$10)),(RawCurrent!T8-MEDIAN(RawCurrent!T$7:T$10))))</f>
        <v>43.125495910644403</v>
      </c>
      <c r="U8">
        <f>IF(ISBLANK(RawCurrent!U8),"",IF(AVERAGE(RawCurrent!U$7:U$10)&gt;0,(RawCurrent!U8+MEDIAN(RawCurrent!U$7:U$10)),(RawCurrent!U8-MEDIAN(RawCurrent!U$7:U$10))))</f>
        <v>36.40692138671875</v>
      </c>
      <c r="V8">
        <f>IF(ISBLANK(RawCurrent!V8),"",IF(AVERAGE(RawCurrent!V$7:V$10)&gt;0,(RawCurrent!V8+MEDIAN(RawCurrent!V$7:V$10)),(RawCurrent!V8-MEDIAN(RawCurrent!V$7:V$10))))</f>
        <v>22.294525146484247</v>
      </c>
      <c r="W8">
        <f>IF(ISBLANK(RawCurrent!W8),"",IF(AVERAGE(RawCurrent!W$7:W$10)&gt;0,(RawCurrent!W8+MEDIAN(RawCurrent!W$7:W$10)),(RawCurrent!W8-MEDIAN(RawCurrent!W$7:W$10))))</f>
        <v>-16.633750915527301</v>
      </c>
      <c r="X8">
        <f>IF(ISBLANK(RawCurrent!X8),"",IF(AVERAGE(RawCurrent!X$7:X$10)&gt;0,(RawCurrent!X8+MEDIAN(RawCurrent!X$7:X$10)),(RawCurrent!X8-MEDIAN(RawCurrent!X$7:X$10))))</f>
        <v>1.3012542724609482</v>
      </c>
      <c r="Y8">
        <f>IF(ISBLANK(RawCurrent!Y8),"",IF(AVERAGE(RawCurrent!Y$7:Y$10)&gt;0,(RawCurrent!Y8+MEDIAN(RawCurrent!Y$7:Y$10)),(RawCurrent!Y8-MEDIAN(RawCurrent!Y$7:Y$10))))</f>
        <v>9.6035003662109499</v>
      </c>
      <c r="Z8">
        <f>IF(ISBLANK(RawCurrent!Z8),"",IF(AVERAGE(RawCurrent!Z$7:Z$10)&gt;0,(RawCurrent!Z8+MEDIAN(RawCurrent!Z$7:Z$10)),(RawCurrent!Z8-MEDIAN(RawCurrent!Z$7:Z$10))))</f>
        <v>-10.892488956451299</v>
      </c>
      <c r="AA8">
        <f>IF(ISBLANK(RawCurrent!AA8),"",IF(AVERAGE(RawCurrent!AA$7:AA$10)&gt;0,(RawCurrent!AA8+MEDIAN(RawCurrent!AA$7:AA$10)),(RawCurrent!AA8-MEDIAN(RawCurrent!AA$7:AA$10))))</f>
        <v>-9.3224587440490723</v>
      </c>
      <c r="AB8">
        <f>IF(ISBLANK(RawCurrent!AB8),"",IF(AVERAGE(RawCurrent!AB$7:AB$10)&gt;0,(RawCurrent!AB8+MEDIAN(RawCurrent!AB$7:AB$10)),(RawCurrent!AB8-MEDIAN(RawCurrent!AB$7:AB$10))))</f>
        <v>29.884976387023901</v>
      </c>
      <c r="AC8">
        <f>IF(ISBLANK(RawCurrent!AC8),"",IF(AVERAGE(RawCurrent!AC$7:AC$10)&gt;0,(RawCurrent!AC8+MEDIAN(RawCurrent!AC$7:AC$10)),(RawCurrent!AC8-MEDIAN(RawCurrent!AC$7:AC$10))))</f>
        <v>65.178407669067255</v>
      </c>
      <c r="AD8">
        <f>IF(ISBLANK(RawCurrent!AD8),"",IF(AVERAGE(RawCurrent!AD$7:AD$10)&gt;0,(RawCurrent!AD8+MEDIAN(RawCurrent!AD$7:AD$10)),(RawCurrent!AD8-MEDIAN(RawCurrent!AD$7:AD$10))))</f>
        <v>61.503929138183494</v>
      </c>
      <c r="AE8">
        <f>IF(ISBLANK(RawCurrent!AE8),"",IF(AVERAGE(RawCurrent!AE$7:AE$10)&gt;0,(RawCurrent!AE8+MEDIAN(RawCurrent!AE$7:AE$10)),(RawCurrent!AE8-MEDIAN(RawCurrent!AE$7:AE$10))))</f>
        <v>63.371212959289501</v>
      </c>
      <c r="AF8">
        <f>IF(ISBLANK(RawCurrent!AF8),"",IF(AVERAGE(RawCurrent!AF$7:AF$10)&gt;0,(RawCurrent!AF8+MEDIAN(RawCurrent!AF$7:AF$10)),(RawCurrent!AF8-MEDIAN(RawCurrent!AF$7:AF$10))))</f>
        <v>36.013714790344196</v>
      </c>
      <c r="AG8">
        <f>IF(ISBLANK(RawCurrent!AG8),"",IF(AVERAGE(RawCurrent!AG$7:AG$10)&gt;0,(RawCurrent!AG8+MEDIAN(RawCurrent!AG$7:AG$10)),(RawCurrent!AG8-MEDIAN(RawCurrent!AG$7:AG$10))))</f>
        <v>31.815460205078054</v>
      </c>
      <c r="AH8">
        <f>IF(ISBLANK(RawCurrent!AH8),"",IF(AVERAGE(RawCurrent!AH$7:AH$10)&gt;0,(RawCurrent!AH8+MEDIAN(RawCurrent!AH$7:AH$10)),(RawCurrent!AH8-MEDIAN(RawCurrent!AH$7:AH$10))))</f>
        <v>36.006923675537102</v>
      </c>
      <c r="AI8">
        <f>IF(ISBLANK(RawCurrent!AI8),"",IF(AVERAGE(RawCurrent!AI$7:AI$10)&gt;0,(RawCurrent!AI8+MEDIAN(RawCurrent!AI$7:AI$10)),(RawCurrent!AI8-MEDIAN(RawCurrent!AI$7:AI$10))))</f>
        <v>-6.3377685546874982</v>
      </c>
      <c r="AJ8">
        <f>IF(ISBLANK(RawCurrent!AJ8),"",IF(AVERAGE(RawCurrent!AJ$7:AJ$10)&gt;0,(RawCurrent!AJ8+MEDIAN(RawCurrent!AJ$7:AJ$10)),(RawCurrent!AJ8-MEDIAN(RawCurrent!AJ$7:AJ$10))))</f>
        <v>2.5993022918700994</v>
      </c>
      <c r="AK8">
        <f>IF(ISBLANK(RawCurrent!AK8),"",IF(AVERAGE(RawCurrent!AK$7:AK$10)&gt;0,(RawCurrent!AK8+MEDIAN(RawCurrent!AK$7:AK$10)),(RawCurrent!AK8-MEDIAN(RawCurrent!AK$7:AK$10))))</f>
        <v>27.9494934082031</v>
      </c>
      <c r="AL8">
        <f>IF(ISBLANK(RawCurrent!AL8),"",IF(AVERAGE(RawCurrent!AL$7:AL$10)&gt;0,(RawCurrent!AL8+MEDIAN(RawCurrent!AL$7:AL$10)),(RawCurrent!AL8-MEDIAN(RawCurrent!AL$7:AL$10))))</f>
        <v>23.434947967529197</v>
      </c>
      <c r="AM8">
        <f>IF(ISBLANK(RawCurrent!AM8),"",IF(AVERAGE(RawCurrent!AM$7:AM$10)&gt;0,(RawCurrent!AM8+MEDIAN(RawCurrent!AM$7:AM$10)),(RawCurrent!AM8-MEDIAN(RawCurrent!AM$7:AM$10))))</f>
        <v>-10.1987953186035</v>
      </c>
      <c r="AN8">
        <f>IF(ISBLANK(RawCurrent!AN8),"",IF(AVERAGE(RawCurrent!AN$7:AN$10)&gt;0,(RawCurrent!AN8+MEDIAN(RawCurrent!AN$7:AN$10)),(RawCurrent!AN8-MEDIAN(RawCurrent!AN$7:AN$10))))</f>
        <v>33.078338623046697</v>
      </c>
      <c r="AO8">
        <f>IF(ISBLANK(RawCurrent!AO8),"",IF(AVERAGE(RawCurrent!AO$7:AO$10)&gt;0,(RawCurrent!AO8+MEDIAN(RawCurrent!AO$7:AO$10)),(RawCurrent!AO8-MEDIAN(RawCurrent!AO$7:AO$10))))</f>
        <v>34.590694427490199</v>
      </c>
      <c r="AP8">
        <f>IF(ISBLANK(RawCurrent!AP8),"",IF(AVERAGE(RawCurrent!AP$7:AP$10)&gt;0,(RawCurrent!AP8+MEDIAN(RawCurrent!AP$7:AP$10)),(RawCurrent!AP8-MEDIAN(RawCurrent!AP$7:AP$10))))</f>
        <v>21.527767181396399</v>
      </c>
      <c r="AQ8">
        <f>IF(ISBLANK(RawCurrent!AQ8),"",IF(AVERAGE(RawCurrent!AQ$7:AQ$10)&gt;0,(RawCurrent!AQ8+MEDIAN(RawCurrent!AQ$7:AQ$10)),(RawCurrent!AQ8-MEDIAN(RawCurrent!AQ$7:AQ$10))))</f>
        <v>19.905714035034148</v>
      </c>
      <c r="AR8">
        <f>IF(ISBLANK(RawCurrent!AR8),"",IF(AVERAGE(RawCurrent!AR$7:AR$10)&gt;0,(RawCurrent!AR8+MEDIAN(RawCurrent!AR$7:AR$10)),(RawCurrent!AR8-MEDIAN(RawCurrent!AR$7:AR$10))))</f>
        <v>24.268268108367828</v>
      </c>
      <c r="AS8">
        <f>IF(ISBLANK(RawCurrent!AS8),"",IF(AVERAGE(RawCurrent!AS$7:AS$10)&gt;0,(RawCurrent!AS8+MEDIAN(RawCurrent!AS$7:AS$10)),(RawCurrent!AS8-MEDIAN(RawCurrent!AS$7:AS$10))))</f>
        <v>14.620169639587351</v>
      </c>
      <c r="AT8">
        <f>IF(ISBLANK(RawCurrent!AT8),"",IF(AVERAGE(RawCurrent!AT$7:AT$10)&gt;0,(RawCurrent!AT8+MEDIAN(RawCurrent!AT$7:AT$10)),(RawCurrent!AT8-MEDIAN(RawCurrent!AT$7:AT$10))))</f>
        <v>10.925346374511708</v>
      </c>
      <c r="AU8">
        <f>IF(ISBLANK(RawCurrent!AU8),"",IF(AVERAGE(RawCurrent!AU$7:AU$10)&gt;0,(RawCurrent!AU8+MEDIAN(RawCurrent!AU$7:AU$10)),(RawCurrent!AU8-MEDIAN(RawCurrent!AU$7:AU$10))))</f>
        <v>35.10018920898429</v>
      </c>
      <c r="AV8">
        <f>IF(ISBLANK(RawCurrent!AV8),"",IF(AVERAGE(RawCurrent!AV$7:AV$10)&gt;0,(RawCurrent!AV8+MEDIAN(RawCurrent!AV$7:AV$10)),(RawCurrent!AV8-MEDIAN(RawCurrent!AV$7:AV$10))))</f>
        <v>21.434943008422792</v>
      </c>
      <c r="AW8">
        <f>IF(ISBLANK(RawCurrent!AW8),"",IF(AVERAGE(RawCurrent!AW$7:AW$10)&gt;0,(RawCurrent!AW8+MEDIAN(RawCurrent!AW$7:AW$10)),(RawCurrent!AW8-MEDIAN(RawCurrent!AW$7:AW$10))))</f>
        <v>116.25341796874994</v>
      </c>
      <c r="AX8">
        <f>IF(ISBLANK(RawCurrent!AX8),"",IF(AVERAGE(RawCurrent!AX$7:AX$10)&gt;0,(RawCurrent!AX8+MEDIAN(RawCurrent!AX$7:AX$10)),(RawCurrent!AX8-MEDIAN(RawCurrent!AX$7:AX$10))))</f>
        <v>52.078025817871058</v>
      </c>
      <c r="AY8">
        <f>IF(ISBLANK(RawCurrent!AY8),"",IF(AVERAGE(RawCurrent!AY$7:AY$10)&gt;0,(RawCurrent!AY8+MEDIAN(RawCurrent!AY$7:AY$10)),(RawCurrent!AY8-MEDIAN(RawCurrent!AY$7:AY$10))))</f>
        <v>17.437728563944489</v>
      </c>
      <c r="AZ8">
        <f>IF(ISBLANK(RawCurrent!AZ8),"",IF(AVERAGE(RawCurrent!AZ$7:AZ$10)&gt;0,(RawCurrent!AZ8+MEDIAN(RawCurrent!AZ$7:AZ$10)),(RawCurrent!AZ8-MEDIAN(RawCurrent!AZ$7:AZ$10))))</f>
        <v>26.953594207763551</v>
      </c>
      <c r="BA8">
        <f>IF(ISBLANK(RawCurrent!BA8),"",IF(AVERAGE(RawCurrent!BA$7:BA$10)&gt;0,(RawCurrent!BA8+MEDIAN(RawCurrent!BA$7:BA$10)),(RawCurrent!BA8-MEDIAN(RawCurrent!BA$7:BA$10))))</f>
        <v>-0.73891894022624882</v>
      </c>
      <c r="BC8">
        <f>IF(ISBLANK(RawCurrent!BC8),"",IF(AVERAGE(RawCurrent!BC$7:BC$10)&gt;0,(RawCurrent!BC8+MEDIAN(RawCurrent!BC$7:BC$10)),(RawCurrent!BC8-MEDIAN(RawCurrent!BC$7:BC$10))))</f>
        <v>-1.0991439819336009</v>
      </c>
      <c r="BD8">
        <f>IF(ISBLANK(RawCurrent!BD8),"",IF(AVERAGE(RawCurrent!BD$7:BD$10)&gt;0,(RawCurrent!BD8+MEDIAN(RawCurrent!BD$7:BD$10)),(RawCurrent!BD8-MEDIAN(RawCurrent!BD$7:BD$10))))</f>
        <v>-11.006969451904251</v>
      </c>
      <c r="BE8">
        <f>IF(ISBLANK(RawCurrent!BE8),"",IF(AVERAGE(RawCurrent!BE$7:BE$10)&gt;0,(RawCurrent!BE8+MEDIAN(RawCurrent!BE$7:BE$10)),(RawCurrent!BE8-MEDIAN(RawCurrent!BE$7:BE$10))))</f>
        <v>3.1663742065429972</v>
      </c>
      <c r="BF8">
        <f>IF(ISBLANK(RawCurrent!BF8),"",IF(AVERAGE(RawCurrent!BF$7:BF$10)&gt;0,(RawCurrent!BF8+MEDIAN(RawCurrent!BF$7:BF$10)),(RawCurrent!BF8-MEDIAN(RawCurrent!BF$7:BF$10))))</f>
        <v>34.008926391601449</v>
      </c>
      <c r="BG8">
        <f>IF(ISBLANK(RawCurrent!BG8),"",IF(AVERAGE(RawCurrent!BG$7:BG$10)&gt;0,(RawCurrent!BG8+MEDIAN(RawCurrent!BG$7:BG$10)),(RawCurrent!BG8-MEDIAN(RawCurrent!BG$7:BG$10))))</f>
        <v>-6.487136840820348</v>
      </c>
      <c r="BH8">
        <f>IF(ISBLANK(RawCurrent!BH8),"",IF(AVERAGE(RawCurrent!BH$7:BH$10)&gt;0,(RawCurrent!BH8+MEDIAN(RawCurrent!BH$7:BH$10)),(RawCurrent!BH8-MEDIAN(RawCurrent!BH$7:BH$10))))</f>
        <v>0.19348907470705079</v>
      </c>
      <c r="BI8">
        <f>IF(ISBLANK(RawCurrent!BI8),"",IF(AVERAGE(RawCurrent!BI$7:BI$10)&gt;0,(RawCurrent!BI8+MEDIAN(RawCurrent!BI$7:BI$10)),(RawCurrent!BI8-MEDIAN(RawCurrent!BI$7:BI$10))))</f>
        <v>31.543592453002852</v>
      </c>
      <c r="BJ8">
        <f>IF(ISBLANK(RawCurrent!BJ8),"",IF(AVERAGE(RawCurrent!BJ$7:BJ$10)&gt;0,(RawCurrent!BJ8+MEDIAN(RawCurrent!BJ$7:BJ$10)),(RawCurrent!BJ8-MEDIAN(RawCurrent!BJ$7:BJ$10))))</f>
        <v>-1.4343261718749609</v>
      </c>
      <c r="BK8">
        <f>IF(ISBLANK(RawCurrent!BK8),"",IF(AVERAGE(RawCurrent!BK$7:BK$10)&gt;0,(RawCurrent!BK8+MEDIAN(RawCurrent!BK$7:BK$10)),(RawCurrent!BK8-MEDIAN(RawCurrent!BK$7:BK$10))))</f>
        <v>-8.5866890549098827</v>
      </c>
      <c r="BL8">
        <f>IF(ISBLANK(RawCurrent!BL8),"",IF(AVERAGE(RawCurrent!BL$7:BL$10)&gt;0,(RawCurrent!BL8+MEDIAN(RawCurrent!BL$7:BL$10)),(RawCurrent!BL8-MEDIAN(RawCurrent!BL$7:BL$10))))</f>
        <v>8.4025802612304652</v>
      </c>
      <c r="BM8">
        <f>IF(ISBLANK(RawCurrent!BM8),"",IF(AVERAGE(RawCurrent!BM$7:BM$10)&gt;0,(RawCurrent!BM8+MEDIAN(RawCurrent!BM$7:BM$10)),(RawCurrent!BM8-MEDIAN(RawCurrent!BM$7:BM$10))))</f>
        <v>9.8099098205566424</v>
      </c>
      <c r="BN8">
        <f>IF(ISBLANK(RawCurrent!BN8),"",IF(AVERAGE(RawCurrent!BN$7:BN$10)&gt;0,(RawCurrent!BN8+MEDIAN(RawCurrent!BN$7:BN$10)),(RawCurrent!BN8-MEDIAN(RawCurrent!BN$7:BN$10))))</f>
        <v>54.031642913818246</v>
      </c>
      <c r="BO8">
        <f>IF(ISBLANK(RawCurrent!BO8),"",IF(AVERAGE(RawCurrent!BO$7:BO$10)&gt;0,(RawCurrent!BO8+MEDIAN(RawCurrent!BO$7:BO$10)),(RawCurrent!BO8-MEDIAN(RawCurrent!BO$7:BO$10))))</f>
        <v>6.8284358978271982</v>
      </c>
      <c r="BP8">
        <f>IF(ISBLANK(RawCurrent!BP8),"",IF(AVERAGE(RawCurrent!BP$7:BP$10)&gt;0,(RawCurrent!BP8+MEDIAN(RawCurrent!BP$7:BP$10)),(RawCurrent!BP8-MEDIAN(RawCurrent!BP$7:BP$10))))</f>
        <v>37.715061187743956</v>
      </c>
      <c r="BQ8">
        <f>IF(ISBLANK(RawCurrent!BQ8),"",IF(AVERAGE(RawCurrent!BQ$7:BQ$10)&gt;0,(RawCurrent!BQ8+MEDIAN(RawCurrent!BQ$7:BQ$10)),(RawCurrent!BQ8-MEDIAN(RawCurrent!BQ$7:BQ$10))))</f>
        <v>61.043085098266545</v>
      </c>
      <c r="BR8">
        <f>IF(ISBLANK(RawCurrent!BR8),"",IF(AVERAGE(RawCurrent!BR$7:BR$10)&gt;0,(RawCurrent!BR8+MEDIAN(RawCurrent!BR$7:BR$10)),(RawCurrent!BR8-MEDIAN(RawCurrent!BR$7:BR$10))))</f>
        <v>-20.971529006957951</v>
      </c>
      <c r="BS8">
        <f>IF(ISBLANK(RawCurrent!BS8),"",IF(AVERAGE(RawCurrent!BS$7:BS$10)&gt;0,(RawCurrent!BS8+MEDIAN(RawCurrent!BS$7:BS$10)),(RawCurrent!BS8-MEDIAN(RawCurrent!BS$7:BS$10))))</f>
        <v>-19.29917297363275</v>
      </c>
      <c r="BT8">
        <f>IF(ISBLANK(RawCurrent!BT8),"",IF(AVERAGE(RawCurrent!BT$7:BT$10)&gt;0,(RawCurrent!BT8+MEDIAN(RawCurrent!BT$7:BT$10)),(RawCurrent!BT8-MEDIAN(RawCurrent!BT$7:BT$10))))</f>
        <v>23.635526498158701</v>
      </c>
      <c r="BU8">
        <f>IF(ISBLANK(RawCurrent!BU8),"",IF(AVERAGE(RawCurrent!BU$7:BU$10)&gt;0,(RawCurrent!BU8+MEDIAN(RawCurrent!BU$7:BU$10)),(RawCurrent!BU8-MEDIAN(RawCurrent!BU$7:BU$10))))</f>
        <v>-30.69918823242185</v>
      </c>
      <c r="BV8">
        <f>IF(ISBLANK(RawCurrent!BV8),"",IF(AVERAGE(RawCurrent!BV$7:BV$10)&gt;0,(RawCurrent!BV8+MEDIAN(RawCurrent!BV$7:BV$10)),(RawCurrent!BV8-MEDIAN(RawCurrent!BV$7:BV$10))))</f>
        <v>3.1257009506225355</v>
      </c>
      <c r="BW8">
        <f>IF(ISBLANK(RawCurrent!BW8),"",IF(AVERAGE(RawCurrent!BW$7:BW$10)&gt;0,(RawCurrent!BW8+MEDIAN(RawCurrent!BW$7:BW$10)),(RawCurrent!BW8-MEDIAN(RawCurrent!BW$7:BW$10))))</f>
        <v>25.3257975578307</v>
      </c>
      <c r="BX8">
        <f>IF(ISBLANK(RawCurrent!BX8),"",IF(AVERAGE(RawCurrent!BX$7:BX$10)&gt;0,(RawCurrent!BX8+MEDIAN(RawCurrent!BX$7:BX$10)),(RawCurrent!BX8-MEDIAN(RawCurrent!BX$7:BX$10))))</f>
        <v>-0.14361795697893776</v>
      </c>
      <c r="BY8">
        <f>IF(ISBLANK(RawCurrent!BY8),"",IF(AVERAGE(RawCurrent!BY$7:BY$10)&gt;0,(RawCurrent!BY8+MEDIAN(RawCurrent!BY$7:BY$10)),(RawCurrent!BY8-MEDIAN(RawCurrent!BY$7:BY$10))))</f>
        <v>-5.535934448242152</v>
      </c>
      <c r="BZ8">
        <f>IF(ISBLANK(RawCurrent!BZ8),"",IF(AVERAGE(RawCurrent!BZ$7:BZ$10)&gt;0,(RawCurrent!BZ8+MEDIAN(RawCurrent!BZ$7:BZ$10)),(RawCurrent!BZ8-MEDIAN(RawCurrent!BZ$7:BZ$10))))</f>
        <v>18.882637023925746</v>
      </c>
      <c r="CA8">
        <f>IF(ISBLANK(RawCurrent!CA8),"",IF(AVERAGE(RawCurrent!CA$7:CA$10)&gt;0,(RawCurrent!CA8+MEDIAN(RawCurrent!CA$7:CA$10)),(RawCurrent!CA8-MEDIAN(RawCurrent!CA$7:CA$10))))</f>
        <v>10.220634460449208</v>
      </c>
      <c r="CB8">
        <f>IF(ISBLANK(RawCurrent!CB8),"",IF(AVERAGE(RawCurrent!CB$7:CB$10)&gt;0,(RawCurrent!CB8+MEDIAN(RawCurrent!CB$7:CB$10)),(RawCurrent!CB8-MEDIAN(RawCurrent!CB$7:CB$10))))</f>
        <v>-0.53730662663777662</v>
      </c>
      <c r="CC8">
        <f>IF(ISBLANK(RawCurrent!CC8),"",IF(AVERAGE(RawCurrent!CC$7:CC$10)&gt;0,(RawCurrent!CC8+MEDIAN(RawCurrent!CC$7:CC$10)),(RawCurrent!CC8-MEDIAN(RawCurrent!CC$7:CC$10))))</f>
        <v>32.159607648849345</v>
      </c>
      <c r="CD8">
        <f>IF(ISBLANK(RawCurrent!CD8),"",IF(AVERAGE(RawCurrent!CD$7:CD$10)&gt;0,(RawCurrent!CD8+MEDIAN(RawCurrent!CD$7:CD$10)),(RawCurrent!CD8-MEDIAN(RawCurrent!CD$7:CD$10))))</f>
        <v>3.4513673782348486</v>
      </c>
      <c r="CE8">
        <f>CE7+10</f>
        <v>-70</v>
      </c>
      <c r="CF8">
        <f t="shared" ref="CF8:CF23" si="4">AVERAGE(B8:AQ8,AS8:AU8)</f>
        <v>39.46438367366784</v>
      </c>
      <c r="CG8">
        <f t="shared" ref="CG8:CG23" si="5">STDEV(B8:AQ8,AS8:AU8)/SQRT(COUNT(B8:AQ8,AS8:AU8))</f>
        <v>8.8754560110773646</v>
      </c>
      <c r="CH8">
        <f t="shared" ref="CH8:CH23" si="6">AVERAGE(AW8:BJ8)</f>
        <v>20.066819484417234</v>
      </c>
      <c r="CI8">
        <f t="shared" ref="CI8:CI23" si="7">STDEV((AW8:BJ8))/SQRT(COUNT(AW8:BJ8))</f>
        <v>9.5914828670209253</v>
      </c>
      <c r="CJ8">
        <f t="shared" ref="CJ8:CJ23" si="8">AVERAGE(BK8:CD8)</f>
        <v>10.44292741988664</v>
      </c>
      <c r="CK8">
        <f t="shared" ref="CK8:CK23" si="9">STDEV(BK8:CD8)/SQRT(COUNT(BK8:CD8))</f>
        <v>5.3006541938142346</v>
      </c>
      <c r="CL8">
        <f t="shared" ref="CL8:CL23" si="10">IF(AVERAGE(CF$7:CF$10)&gt;0,(CF8-MEDIAN(CF$7:CF$10)),(CF8+MEDIAN(CF$7:CF$10)))</f>
        <v>6.7778603971832467</v>
      </c>
      <c r="CM8">
        <v>10.2649853314885</v>
      </c>
      <c r="CN8">
        <f t="shared" si="0"/>
        <v>-2.3935486200528224</v>
      </c>
      <c r="CO8">
        <v>9.5914828670209253</v>
      </c>
      <c r="CP8">
        <f t="shared" ref="CP8:CP23" si="11">IF(AVERAGE(CJ$7:CJ$10)&gt;0,(CJ8-MEDIAN(CJ$7:CJ$10)),(CJ8+MEDIAN(CJ$7:CJ$10)))</f>
        <v>-2.2616508247342537</v>
      </c>
      <c r="CQ8">
        <v>5.3006541938142346</v>
      </c>
      <c r="CR8">
        <f>MEDIAN((B8:AQ8,AS8:AU8))</f>
        <v>31.815460205078054</v>
      </c>
      <c r="CS8">
        <f>_xlfn.QUARTILE.EXC((B8:AQ8,AS8:AU8),3)</f>
        <v>49.04026502370823</v>
      </c>
      <c r="CT8">
        <f>_xlfn.QUARTILE.EXC((B8:AQ8,AS8:AU8),1)</f>
        <v>1.9502782821655238</v>
      </c>
      <c r="CU8">
        <f t="shared" ref="CU8:CU23" si="12">MEDIAN(AW8:BJ8)</f>
        <v>3.1663742065429972</v>
      </c>
      <c r="CV8">
        <f t="shared" ref="CV8:CV23" si="13">_xlfn.QUARTILE.EXC((AW8:BJ8),3)</f>
        <v>32.776259422302147</v>
      </c>
      <c r="CW8">
        <f t="shared" ref="CW8:CW23" si="14">_xlfn.QUARTILE.EXC((AW8:BJ8),1)</f>
        <v>-1.2667350769042809</v>
      </c>
      <c r="CX8">
        <f t="shared" ref="CX8:CX23" si="15">MEDIAN(BK8:CD8)</f>
        <v>7.6155080795288317</v>
      </c>
      <c r="CY8">
        <f t="shared" ref="CY8:CY23" si="16">_xlfn.QUARTILE.EXC((BK8:CD8),3)</f>
        <v>24.9032297929127</v>
      </c>
      <c r="CZ8">
        <f t="shared" ref="CZ8:CZ23" si="17">_xlfn.QUARTILE.EXC((BK8:CD8),1)</f>
        <v>-4.2862774928410579</v>
      </c>
      <c r="DA8">
        <f t="shared" ref="DA8:DA23" si="18">IF(AVERAGE($CR$7:$CR$10)&gt;0,(CR8-MEDIAN($CR$7:$CR$10)),(CR8+MEDIAN($CR$7:$CR$10)))</f>
        <v>16.15854573249813</v>
      </c>
      <c r="DB8">
        <f t="shared" ref="DB8:DB23" si="19">IF(AVERAGE($CR$7:$CR$10)&gt;0,(CS8-MEDIAN($CR$7:$CR$10)),(CS8+MEDIAN($CR$7:$CR$10)))</f>
        <v>33.383350551128302</v>
      </c>
      <c r="DC8">
        <f t="shared" ref="DC8:DC23" si="20">IF(AVERAGE($CR$7:$CR$10)&gt;0,(CT8-MEDIAN($CR$7:$CR$10)),(CT8+MEDIAN($CR$7:$CR$10)))</f>
        <v>-13.7066361904144</v>
      </c>
      <c r="DD8">
        <f t="shared" ref="DD8:DD23" si="21">IF(AVERAGE($CU$7:$CU$10)&gt;0,(CU8-MEDIAN($CU$7:$CU$10)),(CU8+MEDIAN($CU$7:$CU$10)))</f>
        <v>-11.431853055953926</v>
      </c>
      <c r="DE8">
        <f t="shared" ref="DE8:DE23" si="22">IF(AVERAGE($CU$7:$CU$10)&gt;0,(CV8-MEDIAN($CU$7:$CU$10)),(CV8+MEDIAN($CU$7:$CU$10)))</f>
        <v>18.178032159805223</v>
      </c>
      <c r="DF8">
        <f t="shared" ref="DF8:DF23" si="23">IF(AVERAGE($CU$7:$CU$10)&gt;0,(CW8-MEDIAN($CU$7:$CU$10)),(CW8+MEDIAN($CU$7:$CU$10)))</f>
        <v>-15.864962339401204</v>
      </c>
      <c r="DG8">
        <f t="shared" ref="DG8:DG23" si="24">IF(AVERAGE($CX$7:$CX$10)&gt;0,(CX8-MEDIAN($CX$7:$CX$10)),(CX8+MEDIAN($CX$7:$CX$10)))</f>
        <v>-0.9854710102081139</v>
      </c>
      <c r="DH8">
        <f t="shared" ref="DH8:DH23" si="25">IF(AVERAGE($CX$7:$CX$10)&gt;0,(CY8-MEDIAN($CX$7:$CX$10)),(CY8+MEDIAN($CX$7:$CX$10)))</f>
        <v>16.302250703175755</v>
      </c>
      <c r="DI8">
        <f t="shared" ref="DI8:DI22" si="26">IF(AVERAGE($CX$7:$CX$10)&gt;0,(CZ8-MEDIAN($CX$7:$CX$10)),(CZ8+MEDIAN($CX$7:$CX$10)))</f>
        <v>-12.887256582578004</v>
      </c>
    </row>
    <row r="9" spans="1:113" x14ac:dyDescent="0.2">
      <c r="A9" s="3">
        <f t="shared" ref="A9:A27" si="27">A8+10</f>
        <v>-60</v>
      </c>
      <c r="B9">
        <f>IF(ISBLANK(RawCurrent!B9),"",IF(AVERAGE(RawCurrent!B$7:B$10)&gt;0,(RawCurrent!B9+MEDIAN(RawCurrent!B$7:B$10)),(RawCurrent!B9-MEDIAN(RawCurrent!B$7:B$10))))</f>
        <v>4.3683853149415199</v>
      </c>
      <c r="C9">
        <f>IF(ISBLANK(RawCurrent!C9),"",IF(AVERAGE(RawCurrent!C$7:C$10)&gt;0,(RawCurrent!C9+MEDIAN(RawCurrent!C$7:C$10)),(RawCurrent!C9-MEDIAN(RawCurrent!C$7:C$10))))</f>
        <v>48.6175823211669</v>
      </c>
      <c r="D9">
        <f>IF(ISBLANK(RawCurrent!D9),"",IF(AVERAGE(RawCurrent!D$7:D$10)&gt;0,(RawCurrent!D9+MEDIAN(RawCurrent!D$7:D$10)),(RawCurrent!D9-MEDIAN(RawCurrent!D$7:D$10))))</f>
        <v>264.05035400390602</v>
      </c>
      <c r="E9">
        <f>IF(ISBLANK(RawCurrent!E9),"",IF(AVERAGE(RawCurrent!E$7:E$10)&gt;0,(RawCurrent!E9+MEDIAN(RawCurrent!E$7:E$10)),(RawCurrent!E9-MEDIAN(RawCurrent!E$7:E$10))))</f>
        <v>8.3473968505859446</v>
      </c>
      <c r="F9">
        <f>IF(ISBLANK(RawCurrent!F9),"",IF(AVERAGE(RawCurrent!F$7:F$10)&gt;0,(RawCurrent!F9+MEDIAN(RawCurrent!F$7:F$10)),(RawCurrent!F9-MEDIAN(RawCurrent!F$7:F$10))))</f>
        <v>-7.1044158935544885</v>
      </c>
      <c r="G9">
        <f>IF(ISBLANK(RawCurrent!G9),"",IF(AVERAGE(RawCurrent!G$7:G$10)&gt;0,(RawCurrent!G9+MEDIAN(RawCurrent!G$7:G$10)),(RawCurrent!G9-MEDIAN(RawCurrent!G$7:G$10))))</f>
        <v>39.502212524413892</v>
      </c>
      <c r="H9">
        <f>IF(ISBLANK(RawCurrent!H9),"",IF(AVERAGE(RawCurrent!H$7:H$10)&gt;0,(RawCurrent!H9+MEDIAN(RawCurrent!H$7:H$10)),(RawCurrent!H9-MEDIAN(RawCurrent!H$7:H$10))))</f>
        <v>37.185005187988153</v>
      </c>
      <c r="I9">
        <f>IF(ISBLANK(RawCurrent!I9),"",IF(AVERAGE(RawCurrent!I$7:I$10)&gt;0,(RawCurrent!I9+MEDIAN(RawCurrent!I$7:I$10)),(RawCurrent!I9-MEDIAN(RawCurrent!I$7:I$10))))</f>
        <v>107.2863636016845</v>
      </c>
      <c r="J9">
        <f>IF(ISBLANK(RawCurrent!J9),"",IF(AVERAGE(RawCurrent!J$7:J$10)&gt;0,(RawCurrent!J9+MEDIAN(RawCurrent!J$7:J$10)),(RawCurrent!J9-MEDIAN(RawCurrent!J$7:J$10))))</f>
        <v>-1.9028549194336009</v>
      </c>
      <c r="K9">
        <f>IF(ISBLANK(RawCurrent!K9),"",IF(AVERAGE(RawCurrent!K$7:K$10)&gt;0,(RawCurrent!K9+MEDIAN(RawCurrent!K$7:K$10)),(RawCurrent!K9-MEDIAN(RawCurrent!K$7:K$10))))</f>
        <v>45.504211686551457</v>
      </c>
      <c r="L9">
        <f>IF(ISBLANK(RawCurrent!L9),"",IF(AVERAGE(RawCurrent!L$7:L$10)&gt;0,(RawCurrent!L9+MEDIAN(RawCurrent!L$7:L$10)),(RawCurrent!L9-MEDIAN(RawCurrent!L$7:L$10))))</f>
        <v>33.916563034057447</v>
      </c>
      <c r="M9">
        <f>IF(ISBLANK(RawCurrent!M9),"",IF(AVERAGE(RawCurrent!M$7:M$10)&gt;0,(RawCurrent!M9+MEDIAN(RawCurrent!M$7:M$10)),(RawCurrent!M9-MEDIAN(RawCurrent!M$7:M$10))))</f>
        <v>-3.410781860351598</v>
      </c>
      <c r="N9">
        <f>IF(ISBLANK(RawCurrent!N9),"",IF(AVERAGE(RawCurrent!N$7:N$10)&gt;0,(RawCurrent!N9+MEDIAN(RawCurrent!N$7:N$10)),(RawCurrent!N9-MEDIAN(RawCurrent!N$7:N$10))))</f>
        <v>74.699913024902287</v>
      </c>
      <c r="O9">
        <f>IF(ISBLANK(RawCurrent!O9),"",IF(AVERAGE(RawCurrent!O$7:O$10)&gt;0,(RawCurrent!O9+MEDIAN(RawCurrent!O$7:O$10)),(RawCurrent!O9-MEDIAN(RawCurrent!O$7:O$10))))</f>
        <v>23.5276069641113</v>
      </c>
      <c r="P9">
        <f>IF(ISBLANK(RawCurrent!P9),"",IF(AVERAGE(RawCurrent!P$7:P$10)&gt;0,(RawCurrent!P9+MEDIAN(RawCurrent!P$7:P$10)),(RawCurrent!P9-MEDIAN(RawCurrent!P$7:P$10))))</f>
        <v>-11.53823852539065</v>
      </c>
      <c r="Q9">
        <f>IF(ISBLANK(RawCurrent!Q9),"",IF(AVERAGE(RawCurrent!Q$7:Q$10)&gt;0,(RawCurrent!Q9+MEDIAN(RawCurrent!Q$7:Q$10)),(RawCurrent!Q9-MEDIAN(RawCurrent!Q$7:Q$10))))</f>
        <v>99.924024581909094</v>
      </c>
      <c r="R9">
        <f>IF(ISBLANK(RawCurrent!R9),"",IF(AVERAGE(RawCurrent!R$7:R$10)&gt;0,(RawCurrent!R9+MEDIAN(RawCurrent!R$7:R$10)),(RawCurrent!R9-MEDIAN(RawCurrent!R$7:R$10))))</f>
        <v>42.461508750915399</v>
      </c>
      <c r="S9">
        <f>IF(ISBLANK(RawCurrent!S9),"",IF(AVERAGE(RawCurrent!S$7:S$10)&gt;0,(RawCurrent!S9+MEDIAN(RawCurrent!S$7:S$10)),(RawCurrent!S9-MEDIAN(RawCurrent!S$7:S$10))))</f>
        <v>2.6947422027587464</v>
      </c>
      <c r="T9">
        <f>IF(ISBLANK(RawCurrent!T9),"",IF(AVERAGE(RawCurrent!T$7:T$10)&gt;0,(RawCurrent!T9+MEDIAN(RawCurrent!T$7:T$10)),(RawCurrent!T9-MEDIAN(RawCurrent!T$7:T$10))))</f>
        <v>39.9324111938475</v>
      </c>
      <c r="U9">
        <f>IF(ISBLANK(RawCurrent!U9),"",IF(AVERAGE(RawCurrent!U$7:U$10)&gt;0,(RawCurrent!U9+MEDIAN(RawCurrent!U$7:U$10)),(RawCurrent!U9-MEDIAN(RawCurrent!U$7:U$10))))</f>
        <v>39.565765380859347</v>
      </c>
      <c r="V9">
        <f>IF(ISBLANK(RawCurrent!V9),"",IF(AVERAGE(RawCurrent!V$7:V$10)&gt;0,(RawCurrent!V9+MEDIAN(RawCurrent!V$7:V$10)),(RawCurrent!V9-MEDIAN(RawCurrent!V$7:V$10))))</f>
        <v>19.817185401916429</v>
      </c>
      <c r="W9">
        <f>IF(ISBLANK(RawCurrent!W9),"",IF(AVERAGE(RawCurrent!W$7:W$10)&gt;0,(RawCurrent!W9+MEDIAN(RawCurrent!W$7:W$10)),(RawCurrent!W9-MEDIAN(RawCurrent!W$7:W$10))))</f>
        <v>-18.778236389160099</v>
      </c>
      <c r="X9">
        <f>IF(ISBLANK(RawCurrent!X9),"",IF(AVERAGE(RawCurrent!X$7:X$10)&gt;0,(RawCurrent!X9+MEDIAN(RawCurrent!X$7:X$10)),(RawCurrent!X9-MEDIAN(RawCurrent!X$7:X$10))))</f>
        <v>-0.67995834350585227</v>
      </c>
      <c r="Y9">
        <f>IF(ISBLANK(RawCurrent!Y9),"",IF(AVERAGE(RawCurrent!Y$7:Y$10)&gt;0,(RawCurrent!Y9+MEDIAN(RawCurrent!Y$7:Y$10)),(RawCurrent!Y9-MEDIAN(RawCurrent!Y$7:Y$10))))</f>
        <v>-20.759899139404251</v>
      </c>
      <c r="Z9">
        <f>IF(ISBLANK(RawCurrent!Z9),"",IF(AVERAGE(RawCurrent!Z$7:Z$10)&gt;0,(RawCurrent!Z9+MEDIAN(RawCurrent!Z$7:Z$10)),(RawCurrent!Z9-MEDIAN(RawCurrent!Z$7:Z$10))))</f>
        <v>-9.9445729255674991</v>
      </c>
      <c r="AA9">
        <f>IF(ISBLANK(RawCurrent!AA9),"",IF(AVERAGE(RawCurrent!AA$7:AA$10)&gt;0,(RawCurrent!AA9+MEDIAN(RawCurrent!AA$7:AA$10)),(RawCurrent!AA9-MEDIAN(RawCurrent!AA$7:AA$10))))</f>
        <v>-11.165883541107151</v>
      </c>
      <c r="AB9">
        <f>IF(ISBLANK(RawCurrent!AB9),"",IF(AVERAGE(RawCurrent!AB$7:AB$10)&gt;0,(RawCurrent!AB9+MEDIAN(RawCurrent!AB$7:AB$10)),(RawCurrent!AB9-MEDIAN(RawCurrent!AB$7:AB$10))))</f>
        <v>-28.656619071960399</v>
      </c>
      <c r="AC9">
        <f>IF(ISBLANK(RawCurrent!AC9),"",IF(AVERAGE(RawCurrent!AC$7:AC$10)&gt;0,(RawCurrent!AC9+MEDIAN(RawCurrent!AC$7:AC$10)),(RawCurrent!AC9-MEDIAN(RawCurrent!AC$7:AC$10))))</f>
        <v>75.949666976928555</v>
      </c>
      <c r="AD9">
        <f>IF(ISBLANK(RawCurrent!AD9),"",IF(AVERAGE(RawCurrent!AD$7:AD$10)&gt;0,(RawCurrent!AD9+MEDIAN(RawCurrent!AD$7:AD$10)),(RawCurrent!AD9-MEDIAN(RawCurrent!AD$7:AD$10))))</f>
        <v>57.485452651977397</v>
      </c>
      <c r="AE9">
        <f>IF(ISBLANK(RawCurrent!AE9),"",IF(AVERAGE(RawCurrent!AE$7:AE$10)&gt;0,(RawCurrent!AE9+MEDIAN(RawCurrent!AE$7:AE$10)),(RawCurrent!AE9-MEDIAN(RawCurrent!AE$7:AE$10))))</f>
        <v>-5.7546014785765962</v>
      </c>
      <c r="AF9">
        <f>IF(ISBLANK(RawCurrent!AF9),"",IF(AVERAGE(RawCurrent!AF$7:AF$10)&gt;0,(RawCurrent!AF9+MEDIAN(RawCurrent!AF$7:AF$10)),(RawCurrent!AF9-MEDIAN(RawCurrent!AF$7:AF$10))))</f>
        <v>-31.087698936462299</v>
      </c>
      <c r="AG9">
        <f>IF(ISBLANK(RawCurrent!AG9),"",IF(AVERAGE(RawCurrent!AG$7:AG$10)&gt;0,(RawCurrent!AG9+MEDIAN(RawCurrent!AG$7:AG$10)),(RawCurrent!AG9-MEDIAN(RawCurrent!AG$7:AG$10))))</f>
        <v>41.860084533691349</v>
      </c>
      <c r="AH9">
        <f>IF(ISBLANK(RawCurrent!AH9),"",IF(AVERAGE(RawCurrent!AH$7:AH$10)&gt;0,(RawCurrent!AH9+MEDIAN(RawCurrent!AH$7:AH$10)),(RawCurrent!AH9-MEDIAN(RawCurrent!AH$7:AH$10))))</f>
        <v>-36.006923675537095</v>
      </c>
      <c r="AI9">
        <f>IF(ISBLANK(RawCurrent!AI9),"",IF(AVERAGE(RawCurrent!AI$7:AI$10)&gt;0,(RawCurrent!AI9+MEDIAN(RawCurrent!AI$7:AI$10)),(RawCurrent!AI9-MEDIAN(RawCurrent!AI$7:AI$10))))</f>
        <v>-1.9245414733887003</v>
      </c>
      <c r="AJ9">
        <f>IF(ISBLANK(RawCurrent!AJ9),"",IF(AVERAGE(RawCurrent!AJ$7:AJ$10)&gt;0,(RawCurrent!AJ9+MEDIAN(RawCurrent!AJ$7:AJ$10)),(RawCurrent!AJ9-MEDIAN(RawCurrent!AJ$7:AJ$10))))</f>
        <v>-2.8790264129638032</v>
      </c>
      <c r="AK9">
        <f>IF(ISBLANK(RawCurrent!AK9),"",IF(AVERAGE(RawCurrent!AK$7:AK$10)&gt;0,(RawCurrent!AK9+MEDIAN(RawCurrent!AK$7:AK$10)),(RawCurrent!AK9-MEDIAN(RawCurrent!AK$7:AK$10))))</f>
        <v>-9.2376708984399869E-2</v>
      </c>
      <c r="AL9">
        <f>IF(ISBLANK(RawCurrent!AL9),"",IF(AVERAGE(RawCurrent!AL$7:AL$10)&gt;0,(RawCurrent!AL9+MEDIAN(RawCurrent!AL$7:AL$10)),(RawCurrent!AL9-MEDIAN(RawCurrent!AL$7:AL$10))))</f>
        <v>24.528537750243999</v>
      </c>
      <c r="AM9">
        <f>IF(ISBLANK(RawCurrent!AM9),"",IF(AVERAGE(RawCurrent!AM$7:AM$10)&gt;0,(RawCurrent!AM9+MEDIAN(RawCurrent!AM$7:AM$10)),(RawCurrent!AM9-MEDIAN(RawCurrent!AM$7:AM$10))))</f>
        <v>-10.309017181396401</v>
      </c>
      <c r="AN9">
        <f>IF(ISBLANK(RawCurrent!AN9),"",IF(AVERAGE(RawCurrent!AN$7:AN$10)&gt;0,(RawCurrent!AN9+MEDIAN(RawCurrent!AN$7:AN$10)),(RawCurrent!AN9-MEDIAN(RawCurrent!AN$7:AN$10))))</f>
        <v>33.592376708984197</v>
      </c>
      <c r="AO9">
        <f>IF(ISBLANK(RawCurrent!AO9),"",IF(AVERAGE(RawCurrent!AO$7:AO$10)&gt;0,(RawCurrent!AO9+MEDIAN(RawCurrent!AO$7:AO$10)),(RawCurrent!AO9-MEDIAN(RawCurrent!AO$7:AO$10))))</f>
        <v>35.461048126220604</v>
      </c>
      <c r="AP9">
        <f>IF(ISBLANK(RawCurrent!AP9),"",IF(AVERAGE(RawCurrent!AP$7:AP$10)&gt;0,(RawCurrent!AP9+MEDIAN(RawCurrent!AP$7:AP$10)),(RawCurrent!AP9-MEDIAN(RawCurrent!AP$7:AP$10))))</f>
        <v>25.245189666748001</v>
      </c>
      <c r="AQ9">
        <f>IF(ISBLANK(RawCurrent!AQ9),"",IF(AVERAGE(RawCurrent!AQ$7:AQ$10)&gt;0,(RawCurrent!AQ9+MEDIAN(RawCurrent!AQ$7:AQ$10)),(RawCurrent!AQ9-MEDIAN(RawCurrent!AQ$7:AQ$10))))</f>
        <v>-19.245229721069251</v>
      </c>
      <c r="AR9">
        <f>IF(ISBLANK(RawCurrent!AR9),"",IF(AVERAGE(RawCurrent!AR$7:AR$10)&gt;0,(RawCurrent!AR9+MEDIAN(RawCurrent!AR$7:AR$10)),(RawCurrent!AR9-MEDIAN(RawCurrent!AR$7:AR$10))))</f>
        <v>1.33506536483765</v>
      </c>
      <c r="AS9">
        <f>IF(ISBLANK(RawCurrent!AS9),"",IF(AVERAGE(RawCurrent!AS$7:AS$10)&gt;0,(RawCurrent!AS9+MEDIAN(RawCurrent!AS$7:AS$10)),(RawCurrent!AS9-MEDIAN(RawCurrent!AS$7:AS$10))))</f>
        <v>12.84548282623285</v>
      </c>
      <c r="AT9">
        <f>IF(ISBLANK(RawCurrent!AT9),"",IF(AVERAGE(RawCurrent!AT$7:AT$10)&gt;0,(RawCurrent!AT9+MEDIAN(RawCurrent!AT$7:AT$10)),(RawCurrent!AT9-MEDIAN(RawCurrent!AT$7:AT$10))))</f>
        <v>11.344013214111325</v>
      </c>
      <c r="AU9">
        <f>IF(ISBLANK(RawCurrent!AU9),"",IF(AVERAGE(RawCurrent!AU$7:AU$10)&gt;0,(RawCurrent!AU9+MEDIAN(RawCurrent!AU$7:AU$10)),(RawCurrent!AU9-MEDIAN(RawCurrent!AU$7:AU$10))))</f>
        <v>37.498031616210859</v>
      </c>
      <c r="AV9">
        <f>IF(ISBLANK(RawCurrent!AV9),"",IF(AVERAGE(RawCurrent!AV$7:AV$10)&gt;0,(RawCurrent!AV9+MEDIAN(RawCurrent!AV$7:AV$10)),(RawCurrent!AV9-MEDIAN(RawCurrent!AV$7:AV$10))))</f>
        <v>29.107094383239669</v>
      </c>
      <c r="AW9">
        <f>IF(ISBLANK(RawCurrent!AW9),"",IF(AVERAGE(RawCurrent!AW$7:AW$10)&gt;0,(RawCurrent!AW9+MEDIAN(RawCurrent!AW$7:AW$10)),(RawCurrent!AW9-MEDIAN(RawCurrent!AW$7:AW$10))))</f>
        <v>114.88737487792955</v>
      </c>
      <c r="AX9">
        <f>IF(ISBLANK(RawCurrent!AX9),"",IF(AVERAGE(RawCurrent!AX$7:AX$10)&gt;0,(RawCurrent!AX9+MEDIAN(RawCurrent!AX$7:AX$10)),(RawCurrent!AX9-MEDIAN(RawCurrent!AX$7:AX$10))))</f>
        <v>-38.88744354248044</v>
      </c>
      <c r="AY9">
        <f>IF(ISBLANK(RawCurrent!AY9),"",IF(AVERAGE(RawCurrent!AY$7:AY$10)&gt;0,(RawCurrent!AY9+MEDIAN(RawCurrent!AY$7:AY$10)),(RawCurrent!AY9-MEDIAN(RawCurrent!AY$7:AY$10))))</f>
        <v>35.618998527526756</v>
      </c>
      <c r="AZ9">
        <f>IF(ISBLANK(RawCurrent!AZ9),"",IF(AVERAGE(RawCurrent!AZ$7:AZ$10)&gt;0,(RawCurrent!AZ9+MEDIAN(RawCurrent!AZ$7:AZ$10)),(RawCurrent!AZ9-MEDIAN(RawCurrent!AZ$7:AZ$10))))</f>
        <v>30.850162506103452</v>
      </c>
      <c r="BA9">
        <f>IF(ISBLANK(RawCurrent!BA9),"",IF(AVERAGE(RawCurrent!BA$7:BA$10)&gt;0,(RawCurrent!BA9+MEDIAN(RawCurrent!BA$7:BA$10)),(RawCurrent!BA9-MEDIAN(RawCurrent!BA$7:BA$10))))</f>
        <v>-2.3186003367106478</v>
      </c>
      <c r="BC9" t="str">
        <f>IF(ISBLANK(RawCurrent!BC9),"",IF(AVERAGE(RawCurrent!BC$7:BC$10)&gt;0,(RawCurrent!BC9+MEDIAN(RawCurrent!BC$7:BC$10)),(RawCurrent!BC9-MEDIAN(RawCurrent!BC$7:BC$10))))</f>
        <v/>
      </c>
      <c r="BD9">
        <f>IF(ISBLANK(RawCurrent!BD9),"",IF(AVERAGE(RawCurrent!BD$7:BD$10)&gt;0,(RawCurrent!BD9+MEDIAN(RawCurrent!BD$7:BD$10)),(RawCurrent!BD9-MEDIAN(RawCurrent!BD$7:BD$10))))</f>
        <v>-16.31324195861815</v>
      </c>
      <c r="BE9">
        <f>IF(ISBLANK(RawCurrent!BE9),"",IF(AVERAGE(RawCurrent!BE$7:BE$10)&gt;0,(RawCurrent!BE9+MEDIAN(RawCurrent!BE$7:BE$10)),(RawCurrent!BE9-MEDIAN(RawCurrent!BE$7:BE$10))))</f>
        <v>0</v>
      </c>
      <c r="BF9">
        <f>IF(ISBLANK(RawCurrent!BF9),"",IF(AVERAGE(RawCurrent!BF$7:BF$10)&gt;0,(RawCurrent!BF9+MEDIAN(RawCurrent!BF$7:BF$10)),(RawCurrent!BF9-MEDIAN(RawCurrent!BF$7:BF$10))))</f>
        <v>34.269348144531151</v>
      </c>
      <c r="BG9">
        <f>IF(ISBLANK(RawCurrent!BG9),"",IF(AVERAGE(RawCurrent!BG$7:BG$10)&gt;0,(RawCurrent!BG9+MEDIAN(RawCurrent!BG$7:BG$10)),(RawCurrent!BG9-MEDIAN(RawCurrent!BG$7:BG$10))))</f>
        <v>4.4471263885498509</v>
      </c>
      <c r="BH9">
        <f>IF(ISBLANK(RawCurrent!BH9),"",IF(AVERAGE(RawCurrent!BH$7:BH$10)&gt;0,(RawCurrent!BH9+MEDIAN(RawCurrent!BH$7:BH$10)),(RawCurrent!BH9-MEDIAN(RawCurrent!BH$7:BH$10))))</f>
        <v>-0.19348907470704901</v>
      </c>
      <c r="BI9">
        <f>IF(ISBLANK(RawCurrent!BI9),"",IF(AVERAGE(RawCurrent!BI$7:BI$10)&gt;0,(RawCurrent!BI9+MEDIAN(RawCurrent!BI$7:BI$10)),(RawCurrent!BI9-MEDIAN(RawCurrent!BI$7:BI$10))))</f>
        <v>35.684906959533649</v>
      </c>
      <c r="BJ9">
        <f>IF(ISBLANK(RawCurrent!BJ9),"",IF(AVERAGE(RawCurrent!BJ$7:BJ$10)&gt;0,(RawCurrent!BJ9+MEDIAN(RawCurrent!BJ$7:BJ$10)),(RawCurrent!BJ9-MEDIAN(RawCurrent!BJ$7:BJ$10))))</f>
        <v>3.8757324218749591</v>
      </c>
      <c r="BK9">
        <f>IF(ISBLANK(RawCurrent!BK9),"",IF(AVERAGE(RawCurrent!BK$7:BK$10)&gt;0,(RawCurrent!BK9+MEDIAN(RawCurrent!BK$7:BK$10)),(RawCurrent!BK9-MEDIAN(RawCurrent!BK$7:BK$10))))</f>
        <v>8.5866890549098827</v>
      </c>
      <c r="BL9">
        <f>IF(ISBLANK(RawCurrent!BL9),"",IF(AVERAGE(RawCurrent!BL$7:BL$10)&gt;0,(RawCurrent!BL9+MEDIAN(RawCurrent!BL$7:BL$10)),(RawCurrent!BL9-MEDIAN(RawCurrent!BL$7:BL$10))))</f>
        <v>9.3605270385742152</v>
      </c>
      <c r="BM9">
        <f>IF(ISBLANK(RawCurrent!BM9),"",IF(AVERAGE(RawCurrent!BM$7:BM$10)&gt;0,(RawCurrent!BM9+MEDIAN(RawCurrent!BM$7:BM$10)),(RawCurrent!BM9-MEDIAN(RawCurrent!BM$7:BM$10))))</f>
        <v>-14.495727539062468</v>
      </c>
      <c r="BN9">
        <f>IF(ISBLANK(RawCurrent!BN9),"",IF(AVERAGE(RawCurrent!BN$7:BN$10)&gt;0,(RawCurrent!BN9+MEDIAN(RawCurrent!BN$7:BN$10)),(RawCurrent!BN9-MEDIAN(RawCurrent!BN$7:BN$10))))</f>
        <v>-0.81121063232425072</v>
      </c>
      <c r="BO9">
        <f>IF(ISBLANK(RawCurrent!BO9),"",IF(AVERAGE(RawCurrent!BO$7:BO$10)&gt;0,(RawCurrent!BO9+MEDIAN(RawCurrent!BO$7:BO$10)),(RawCurrent!BO9-MEDIAN(RawCurrent!BO$7:BO$10))))</f>
        <v>46.7969875335693</v>
      </c>
      <c r="BP9">
        <f>IF(ISBLANK(RawCurrent!BP9),"",IF(AVERAGE(RawCurrent!BP$7:BP$10)&gt;0,(RawCurrent!BP9+MEDIAN(RawCurrent!BP$7:BP$10)),(RawCurrent!BP9-MEDIAN(RawCurrent!BP$7:BP$10))))</f>
        <v>44.31115341186505</v>
      </c>
      <c r="BQ9">
        <f>IF(ISBLANK(RawCurrent!BQ9),"",IF(AVERAGE(RawCurrent!BQ$7:BQ$10)&gt;0,(RawCurrent!BQ9+MEDIAN(RawCurrent!BQ$7:BQ$10)),(RawCurrent!BQ9-MEDIAN(RawCurrent!BQ$7:BQ$10))))</f>
        <v>20.822308540344199</v>
      </c>
      <c r="BR9">
        <f>IF(ISBLANK(RawCurrent!BR9),"",IF(AVERAGE(RawCurrent!BR$7:BR$10)&gt;0,(RawCurrent!BR9+MEDIAN(RawCurrent!BR$7:BR$10)),(RawCurrent!BR9-MEDIAN(RawCurrent!BR$7:BR$10))))</f>
        <v>-10.254646937052385</v>
      </c>
      <c r="BS9">
        <f>IF(ISBLANK(RawCurrent!BS9),"",IF(AVERAGE(RawCurrent!BS$7:BS$10)&gt;0,(RawCurrent!BS9+MEDIAN(RawCurrent!BS$7:BS$10)),(RawCurrent!BS9-MEDIAN(RawCurrent!BS$7:BS$10))))</f>
        <v>12.068644332885729</v>
      </c>
      <c r="BT9">
        <f>IF(ISBLANK(RawCurrent!BT9),"",IF(AVERAGE(RawCurrent!BT$7:BT$10)&gt;0,(RawCurrent!BT9+MEDIAN(RawCurrent!BT$7:BT$10)),(RawCurrent!BT9-MEDIAN(RawCurrent!BT$7:BT$10))))</f>
        <v>29.461540063222166</v>
      </c>
      <c r="BU9">
        <f>IF(ISBLANK(RawCurrent!BU9),"",IF(AVERAGE(RawCurrent!BU$7:BU$10)&gt;0,(RawCurrent!BU9+MEDIAN(RawCurrent!BU$7:BU$10)),(RawCurrent!BU9-MEDIAN(RawCurrent!BU$7:BU$10))))</f>
        <v>9.2131195068358505</v>
      </c>
      <c r="BV9">
        <f>IF(ISBLANK(RawCurrent!BV9),"",IF(AVERAGE(RawCurrent!BV$7:BV$10)&gt;0,(RawCurrent!BV9+MEDIAN(RawCurrent!BV$7:BV$10)),(RawCurrent!BV9-MEDIAN(RawCurrent!BV$7:BV$10))))</f>
        <v>-3.0281467437744083</v>
      </c>
      <c r="BW9">
        <f>IF(ISBLANK(RawCurrent!BW9),"",IF(AVERAGE(RawCurrent!BW$7:BW$10)&gt;0,(RawCurrent!BW9+MEDIAN(RawCurrent!BW$7:BW$10)),(RawCurrent!BW9-MEDIAN(RawCurrent!BW$7:BW$10))))</f>
        <v>25.301527500152499</v>
      </c>
      <c r="BX9">
        <f>IF(ISBLANK(RawCurrent!BX9),"",IF(AVERAGE(RawCurrent!BX$7:BX$10)&gt;0,(RawCurrent!BX9+MEDIAN(RawCurrent!BX$7:BX$10)),(RawCurrent!BX9-MEDIAN(RawCurrent!BX$7:BX$10))))</f>
        <v>-0.51789862768989359</v>
      </c>
      <c r="BY9">
        <f>IF(ISBLANK(RawCurrent!BY9),"",IF(AVERAGE(RawCurrent!BY$7:BY$10)&gt;0,(RawCurrent!BY9+MEDIAN(RawCurrent!BY$7:BY$10)),(RawCurrent!BY9-MEDIAN(RawCurrent!BY$7:BY$10))))</f>
        <v>57.845310211181555</v>
      </c>
      <c r="BZ9">
        <f>IF(ISBLANK(RawCurrent!BZ9),"",IF(AVERAGE(RawCurrent!BZ$7:BZ$10)&gt;0,(RawCurrent!BZ9+MEDIAN(RawCurrent!BZ$7:BZ$10)),(RawCurrent!BZ9-MEDIAN(RawCurrent!BZ$7:BZ$10))))</f>
        <v>-1.920272827148386</v>
      </c>
      <c r="CA9">
        <f>IF(ISBLANK(RawCurrent!CA9),"",IF(AVERAGE(RawCurrent!CA$7:CA$10)&gt;0,(RawCurrent!CA9+MEDIAN(RawCurrent!CA$7:CA$10)),(RawCurrent!CA9-MEDIAN(RawCurrent!CA$7:CA$10))))</f>
        <v>14.92807388305658</v>
      </c>
      <c r="CB9">
        <f>IF(ISBLANK(RawCurrent!CB9),"",IF(AVERAGE(RawCurrent!CB$7:CB$10)&gt;0,(RawCurrent!CB9+MEDIAN(RawCurrent!CB$7:CB$10)),(RawCurrent!CB9-MEDIAN(RawCurrent!CB$7:CB$10))))</f>
        <v>2.9489727020263583</v>
      </c>
      <c r="CC9">
        <f>IF(ISBLANK(RawCurrent!CC9),"",IF(AVERAGE(RawCurrent!CC$7:CC$10)&gt;0,(RawCurrent!CC9+MEDIAN(RawCurrent!CC$7:CC$10)),(RawCurrent!CC9-MEDIAN(RawCurrent!CC$7:CC$10))))</f>
        <v>12.27889847755425</v>
      </c>
      <c r="CD9">
        <f>IF(ISBLANK(RawCurrent!CD9),"",IF(AVERAGE(RawCurrent!CD$7:CD$10)&gt;0,(RawCurrent!CD9+MEDIAN(RawCurrent!CD$7:CD$10)),(RawCurrent!CD9-MEDIAN(RawCurrent!CD$7:CD$10))))</f>
        <v>9.8123731613159055</v>
      </c>
      <c r="CE9">
        <f t="shared" ref="CE9:CE23" si="28">CE8+10</f>
        <v>-60</v>
      </c>
      <c r="CF9">
        <f t="shared" si="4"/>
        <v>23.688227553334471</v>
      </c>
      <c r="CG9">
        <f t="shared" si="5"/>
        <v>7.3526707172994623</v>
      </c>
      <c r="CH9">
        <f t="shared" si="6"/>
        <v>16.826739576127757</v>
      </c>
      <c r="CI9">
        <f t="shared" si="7"/>
        <v>11.108368408356426</v>
      </c>
      <c r="CJ9">
        <f t="shared" si="8"/>
        <v>13.635411105522087</v>
      </c>
      <c r="CK9">
        <f t="shared" si="9"/>
        <v>4.2680869964966153</v>
      </c>
      <c r="CL9">
        <f t="shared" si="10"/>
        <v>-8.9982957231501217</v>
      </c>
      <c r="CM9">
        <v>7.073799149788222</v>
      </c>
      <c r="CN9">
        <f t="shared" si="0"/>
        <v>-5.6336285283422995</v>
      </c>
      <c r="CO9">
        <v>11.108368408356426</v>
      </c>
      <c r="CP9">
        <f t="shared" si="11"/>
        <v>0.93083286090119266</v>
      </c>
      <c r="CQ9">
        <v>4.2680869964966153</v>
      </c>
      <c r="CR9">
        <f>MEDIAN((B9:AQ9,AS9:AU9))</f>
        <v>12.84548282623285</v>
      </c>
      <c r="CS9">
        <f>_xlfn.QUARTILE.EXC((B9:AQ9,AS9:AU9),3)</f>
        <v>39.749088287353423</v>
      </c>
      <c r="CT9">
        <f>_xlfn.QUARTILE.EXC((B9:AQ9,AS9:AU9),1)</f>
        <v>-6.4295086860655424</v>
      </c>
      <c r="CU9">
        <f t="shared" si="12"/>
        <v>4.161429405212405</v>
      </c>
      <c r="CV9">
        <f t="shared" si="13"/>
        <v>35.281585931777855</v>
      </c>
      <c r="CW9">
        <f t="shared" si="14"/>
        <v>-1.7873225212097481</v>
      </c>
      <c r="CX9">
        <f t="shared" si="15"/>
        <v>9.5864500999450613</v>
      </c>
      <c r="CY9">
        <f t="shared" si="16"/>
        <v>24.181722760200422</v>
      </c>
      <c r="CZ9">
        <f t="shared" si="17"/>
        <v>-0.73788263116566144</v>
      </c>
      <c r="DA9">
        <f t="shared" si="18"/>
        <v>-2.8114316463470743</v>
      </c>
      <c r="DB9">
        <f t="shared" si="19"/>
        <v>24.092173814773499</v>
      </c>
      <c r="DC9">
        <f t="shared" si="20"/>
        <v>-22.086423158645466</v>
      </c>
      <c r="DD9">
        <f t="shared" si="21"/>
        <v>-10.436797857284517</v>
      </c>
      <c r="DE9">
        <f t="shared" si="22"/>
        <v>20.683358669280931</v>
      </c>
      <c r="DF9">
        <f t="shared" si="23"/>
        <v>-16.385549783706672</v>
      </c>
      <c r="DG9">
        <f t="shared" si="24"/>
        <v>0.98547101020811567</v>
      </c>
      <c r="DH9">
        <f t="shared" si="25"/>
        <v>15.580743670463477</v>
      </c>
      <c r="DI9">
        <f t="shared" si="26"/>
        <v>-9.3388617209026066</v>
      </c>
    </row>
    <row r="10" spans="1:113" x14ac:dyDescent="0.2">
      <c r="A10" s="3">
        <f t="shared" si="27"/>
        <v>-50</v>
      </c>
      <c r="B10">
        <f>IF(ISBLANK(RawCurrent!B10),"",IF(AVERAGE(RawCurrent!B$7:B$10)&gt;0,(RawCurrent!B10+MEDIAN(RawCurrent!B$7:B$10)),(RawCurrent!B10-MEDIAN(RawCurrent!B$7:B$10))))</f>
        <v>-59.505790710449503</v>
      </c>
      <c r="C10">
        <f>IF(ISBLANK(RawCurrent!C10),"",IF(AVERAGE(RawCurrent!C$7:C$10)&gt;0,(RawCurrent!C10+MEDIAN(RawCurrent!C$7:C$10)),(RawCurrent!C10-MEDIAN(RawCurrent!C$7:C$10))))</f>
        <v>-52.3499431610107</v>
      </c>
      <c r="D10">
        <f>IF(ISBLANK(RawCurrent!D10),"",IF(AVERAGE(RawCurrent!D$7:D$10)&gt;0,(RawCurrent!D10+MEDIAN(RawCurrent!D$7:D$10)),(RawCurrent!D10-MEDIAN(RawCurrent!D$7:D$10))))</f>
        <v>266.59440612792901</v>
      </c>
      <c r="E10">
        <f>IF(ISBLANK(RawCurrent!E10),"",IF(AVERAGE(RawCurrent!E$7:E$10)&gt;0,(RawCurrent!E10+MEDIAN(RawCurrent!E$7:E$10)),(RawCurrent!E10-MEDIAN(RawCurrent!E$7:E$10))))</f>
        <v>131.69319152832026</v>
      </c>
      <c r="F10">
        <f>IF(ISBLANK(RawCurrent!F10),"",IF(AVERAGE(RawCurrent!F$7:F$10)&gt;0,(RawCurrent!F10+MEDIAN(RawCurrent!F$7:F$10)),(RawCurrent!F10-MEDIAN(RawCurrent!F$7:F$10))))</f>
        <v>289.21070861816349</v>
      </c>
      <c r="G10">
        <f>IF(ISBLANK(RawCurrent!G10),"",IF(AVERAGE(RawCurrent!G$7:G$10)&gt;0,(RawCurrent!G10+MEDIAN(RawCurrent!G$7:G$10)),(RawCurrent!G10-MEDIAN(RawCurrent!G$7:G$10))))</f>
        <v>39.52042388916</v>
      </c>
      <c r="H10">
        <f>IF(ISBLANK(RawCurrent!H10),"",IF(AVERAGE(RawCurrent!H$7:H$10)&gt;0,(RawCurrent!H10+MEDIAN(RawCurrent!H$7:H$10)),(RawCurrent!H10-MEDIAN(RawCurrent!H$7:H$10))))</f>
        <v>-2.3470726013183487</v>
      </c>
      <c r="I10">
        <f>IF(ISBLANK(RawCurrent!I10),"",IF(AVERAGE(RawCurrent!I$7:I$10)&gt;0,(RawCurrent!I10+MEDIAN(RawCurrent!I$7:I$10)),(RawCurrent!I10-MEDIAN(RawCurrent!I$7:I$10))))</f>
        <v>120.7995929718017</v>
      </c>
      <c r="J10">
        <f>IF(ISBLANK(RawCurrent!J10),"",IF(AVERAGE(RawCurrent!J$7:J$10)&gt;0,(RawCurrent!J10+MEDIAN(RawCurrent!J$7:J$10)),(RawCurrent!J10-MEDIAN(RawCurrent!J$7:J$10))))</f>
        <v>1.9028549194336009</v>
      </c>
      <c r="K10">
        <f>IF(ISBLANK(RawCurrent!K10),"",IF(AVERAGE(RawCurrent!K$7:K$10)&gt;0,(RawCurrent!K10+MEDIAN(RawCurrent!K$7:K$10)),(RawCurrent!K10-MEDIAN(RawCurrent!K$7:K$10))))</f>
        <v>-4.8427358120680282</v>
      </c>
      <c r="L10">
        <f>IF(ISBLANK(RawCurrent!L10),"",IF(AVERAGE(RawCurrent!L$7:L$10)&gt;0,(RawCurrent!L10+MEDIAN(RawCurrent!L$7:L$10)),(RawCurrent!L10-MEDIAN(RawCurrent!L$7:L$10))))</f>
        <v>35.415470123290845</v>
      </c>
      <c r="M10">
        <f>IF(ISBLANK(RawCurrent!M10),"",IF(AVERAGE(RawCurrent!M$7:M$10)&gt;0,(RawCurrent!M10+MEDIAN(RawCurrent!M$7:M$10)),(RawCurrent!M10-MEDIAN(RawCurrent!M$7:M$10))))</f>
        <v>1.7871322631836009</v>
      </c>
      <c r="N10">
        <f>IF(ISBLANK(RawCurrent!N10),"",IF(AVERAGE(RawCurrent!N$7:N$10)&gt;0,(RawCurrent!N10+MEDIAN(RawCurrent!N$7:N$10)),(RawCurrent!N10-MEDIAN(RawCurrent!N$7:N$10))))</f>
        <v>-24.656394958496101</v>
      </c>
      <c r="O10">
        <f>IF(ISBLANK(RawCurrent!O10),"",IF(AVERAGE(RawCurrent!O$7:O$10)&gt;0,(RawCurrent!O10+MEDIAN(RawCurrent!O$7:O$10)),(RawCurrent!O10-MEDIAN(RawCurrent!O$7:O$10))))</f>
        <v>-23.5276069641113</v>
      </c>
      <c r="P10">
        <f>IF(ISBLANK(RawCurrent!P10),"",IF(AVERAGE(RawCurrent!P$7:P$10)&gt;0,(RawCurrent!P10+MEDIAN(RawCurrent!P$7:P$10)),(RawCurrent!P10-MEDIAN(RawCurrent!P$7:P$10))))</f>
        <v>52.174102783203054</v>
      </c>
      <c r="Q10">
        <f>IF(ISBLANK(RawCurrent!Q10),"",IF(AVERAGE(RawCurrent!Q$7:Q$10)&gt;0,(RawCurrent!Q10+MEDIAN(RawCurrent!Q$7:Q$10)),(RawCurrent!Q10-MEDIAN(RawCurrent!Q$7:Q$10))))</f>
        <v>100.823179244995</v>
      </c>
      <c r="R10">
        <f>IF(ISBLANK(RawCurrent!R10),"",IF(AVERAGE(RawCurrent!R$7:R$10)&gt;0,(RawCurrent!R10+MEDIAN(RawCurrent!R$7:R$10)),(RawCurrent!R10-MEDIAN(RawCurrent!R$7:R$10))))</f>
        <v>46.455138206481806</v>
      </c>
      <c r="S10">
        <f>IF(ISBLANK(RawCurrent!S10),"",IF(AVERAGE(RawCurrent!S$7:S$10)&gt;0,(RawCurrent!S10+MEDIAN(RawCurrent!S$7:S$10)),(RawCurrent!S10-MEDIAN(RawCurrent!S$7:S$10))))</f>
        <v>0.47204399108884942</v>
      </c>
      <c r="T10">
        <f>IF(ISBLANK(RawCurrent!T10),"",IF(AVERAGE(RawCurrent!T$7:T$10)&gt;0,(RawCurrent!T10+MEDIAN(RawCurrent!T$7:T$10)),(RawCurrent!T10-MEDIAN(RawCurrent!T$7:T$10))))</f>
        <v>-0.24427032470709875</v>
      </c>
      <c r="U10">
        <f>IF(ISBLANK(RawCurrent!U10),"",IF(AVERAGE(RawCurrent!U$7:U$10)&gt;0,(RawCurrent!U10+MEDIAN(RawCurrent!U$7:U$10)),(RawCurrent!U10-MEDIAN(RawCurrent!U$7:U$10))))</f>
        <v>-5.24688720703125</v>
      </c>
      <c r="V10">
        <f>IF(ISBLANK(RawCurrent!V10),"",IF(AVERAGE(RawCurrent!V$7:V$10)&gt;0,(RawCurrent!V10+MEDIAN(RawCurrent!V$7:V$10)),(RawCurrent!V10-MEDIAN(RawCurrent!V$7:V$10))))</f>
        <v>23.601965904235747</v>
      </c>
      <c r="W10">
        <f>IF(ISBLANK(RawCurrent!W10),"",IF(AVERAGE(RawCurrent!W$7:W$10)&gt;0,(RawCurrent!W10+MEDIAN(RawCurrent!W$7:W$10)),(RawCurrent!W10-MEDIAN(RawCurrent!W$7:W$10))))</f>
        <v>17.749229431152298</v>
      </c>
      <c r="X10">
        <f>IF(ISBLANK(RawCurrent!X10),"",IF(AVERAGE(RawCurrent!X$7:X$10)&gt;0,(RawCurrent!X10+MEDIAN(RawCurrent!X$7:X$10)),(RawCurrent!X10-MEDIAN(RawCurrent!X$7:X$10))))</f>
        <v>-6.5843811035156534</v>
      </c>
      <c r="Y10">
        <f>IF(ISBLANK(RawCurrent!Y10),"",IF(AVERAGE(RawCurrent!Y$7:Y$10)&gt;0,(RawCurrent!Y10+MEDIAN(RawCurrent!Y$7:Y$10)),(RawCurrent!Y10-MEDIAN(RawCurrent!Y$7:Y$10))))</f>
        <v>-9.6035003662109482</v>
      </c>
      <c r="Z10">
        <f>IF(ISBLANK(RawCurrent!Z10),"",IF(AVERAGE(RawCurrent!Z$7:Z$10)&gt;0,(RawCurrent!Z10+MEDIAN(RawCurrent!Z$7:Z$10)),(RawCurrent!Z10-MEDIAN(RawCurrent!Z$7:Z$10))))</f>
        <v>16.650836467742899</v>
      </c>
      <c r="AA10">
        <f>IF(ISBLANK(RawCurrent!AA10),"",IF(AVERAGE(RawCurrent!AA$7:AA$10)&gt;0,(RawCurrent!AA10+MEDIAN(RawCurrent!AA$7:AA$10)),(RawCurrent!AA10-MEDIAN(RawCurrent!AA$7:AA$10))))</f>
        <v>15.925831317901549</v>
      </c>
      <c r="AB10">
        <f>IF(ISBLANK(RawCurrent!AB10),"",IF(AVERAGE(RawCurrent!AB$7:AB$10)&gt;0,(RawCurrent!AB10+MEDIAN(RawCurrent!AB$7:AB$10)),(RawCurrent!AB10-MEDIAN(RawCurrent!AB$7:AB$10))))</f>
        <v>28.656619071960399</v>
      </c>
      <c r="AC10">
        <f>IF(ISBLANK(RawCurrent!AC10),"",IF(AVERAGE(RawCurrent!AC$7:AC$10)&gt;0,(RawCurrent!AC10+MEDIAN(RawCurrent!AC$7:AC$10)),(RawCurrent!AC10-MEDIAN(RawCurrent!AC$7:AC$10))))</f>
        <v>83.868280410766459</v>
      </c>
      <c r="AD10">
        <f>IF(ISBLANK(RawCurrent!AD10),"",IF(AVERAGE(RawCurrent!AD$7:AD$10)&gt;0,(RawCurrent!AD10+MEDIAN(RawCurrent!AD$7:AD$10)),(RawCurrent!AD10-MEDIAN(RawCurrent!AD$7:AD$10))))</f>
        <v>60.748176574706903</v>
      </c>
      <c r="AE10">
        <f>IF(ISBLANK(RawCurrent!AE10),"",IF(AVERAGE(RawCurrent!AE$7:AE$10)&gt;0,(RawCurrent!AE10+MEDIAN(RawCurrent!AE$7:AE$10)),(RawCurrent!AE10-MEDIAN(RawCurrent!AE$7:AE$10))))</f>
        <v>-0.16620731353759766</v>
      </c>
      <c r="AF10">
        <f>IF(ISBLANK(RawCurrent!AF10),"",IF(AVERAGE(RawCurrent!AF$7:AF$10)&gt;0,(RawCurrent!AF10+MEDIAN(RawCurrent!AF$7:AF$10)),(RawCurrent!AF10-MEDIAN(RawCurrent!AF$7:AF$10))))</f>
        <v>38.577584266662598</v>
      </c>
      <c r="AG10">
        <f>IF(ISBLANK(RawCurrent!AG10),"",IF(AVERAGE(RawCurrent!AG$7:AG$10)&gt;0,(RawCurrent!AG10+MEDIAN(RawCurrent!AG$7:AG$10)),(RawCurrent!AG10-MEDIAN(RawCurrent!AG$7:AG$10))))</f>
        <v>0.17092895507814987</v>
      </c>
      <c r="AH10">
        <f>IF(ISBLANK(RawCurrent!AH10),"",IF(AVERAGE(RawCurrent!AH$7:AH$10)&gt;0,(RawCurrent!AH10+MEDIAN(RawCurrent!AH$7:AH$10)),(RawCurrent!AH10-MEDIAN(RawCurrent!AH$7:AH$10))))</f>
        <v>58.318660736083906</v>
      </c>
      <c r="AI10">
        <f>IF(ISBLANK(RawCurrent!AI10),"",IF(AVERAGE(RawCurrent!AI$7:AI$10)&gt;0,(RawCurrent!AI10+MEDIAN(RawCurrent!AI$7:AI$10)),(RawCurrent!AI10-MEDIAN(RawCurrent!AI$7:AI$10))))</f>
        <v>2.462699890136701</v>
      </c>
      <c r="AJ10">
        <f>IF(ISBLANK(RawCurrent!AJ10),"",IF(AVERAGE(RawCurrent!AJ$7:AJ$10)&gt;0,(RawCurrent!AJ10+MEDIAN(RawCurrent!AJ$7:AJ$10)),(RawCurrent!AJ10-MEDIAN(RawCurrent!AJ$7:AJ$10))))</f>
        <v>34.533147811889599</v>
      </c>
      <c r="AK10">
        <f>IF(ISBLANK(RawCurrent!AK10),"",IF(AVERAGE(RawCurrent!AK$7:AK$10)&gt;0,(RawCurrent!AK10+MEDIAN(RawCurrent!AK$7:AK$10)),(RawCurrent!AK10-MEDIAN(RawCurrent!AK$7:AK$10))))</f>
        <v>9.2376708984399869E-2</v>
      </c>
      <c r="AL10">
        <f>IF(ISBLANK(RawCurrent!AL10),"",IF(AVERAGE(RawCurrent!AL$7:AL$10)&gt;0,(RawCurrent!AL10+MEDIAN(RawCurrent!AL$7:AL$10)),(RawCurrent!AL10-MEDIAN(RawCurrent!AL$7:AL$10))))</f>
        <v>28.867076873779197</v>
      </c>
      <c r="AM10">
        <f>IF(ISBLANK(RawCurrent!AM10),"",IF(AVERAGE(RawCurrent!AM$7:AM$10)&gt;0,(RawCurrent!AM10+MEDIAN(RawCurrent!AM$7:AM$10)),(RawCurrent!AM10-MEDIAN(RawCurrent!AM$7:AM$10))))</f>
        <v>10.1987953186035</v>
      </c>
      <c r="AN10">
        <f>IF(ISBLANK(RawCurrent!AN10),"",IF(AVERAGE(RawCurrent!AN$7:AN$10)&gt;0,(RawCurrent!AN10+MEDIAN(RawCurrent!AN$7:AN$10)),(RawCurrent!AN10-MEDIAN(RawCurrent!AN$7:AN$10))))</f>
        <v>31.986297607421697</v>
      </c>
      <c r="AO10">
        <f>IF(ISBLANK(RawCurrent!AO10),"",IF(AVERAGE(RawCurrent!AO$7:AO$10)&gt;0,(RawCurrent!AO10+MEDIAN(RawCurrent!AO$7:AO$10)),(RawCurrent!AO10-MEDIAN(RawCurrent!AO$7:AO$10))))</f>
        <v>41.142299652099496</v>
      </c>
      <c r="AP10">
        <f>IF(ISBLANK(RawCurrent!AP10),"",IF(AVERAGE(RawCurrent!AP$7:AP$10)&gt;0,(RawCurrent!AP10+MEDIAN(RawCurrent!AP$7:AP$10)),(RawCurrent!AP10-MEDIAN(RawCurrent!AP$7:AP$10))))</f>
        <v>22.4461555480956</v>
      </c>
      <c r="AQ10">
        <f>IF(ISBLANK(RawCurrent!AQ10),"",IF(AVERAGE(RawCurrent!AQ$7:AQ$10)&gt;0,(RawCurrent!AQ10+MEDIAN(RawCurrent!AQ$7:AQ$10)),(RawCurrent!AQ10-MEDIAN(RawCurrent!AQ$7:AQ$10))))</f>
        <v>-15.481573104858352</v>
      </c>
      <c r="AR10">
        <f>IF(ISBLANK(RawCurrent!AR10),"",IF(AVERAGE(RawCurrent!AR$7:AR$10)&gt;0,(RawCurrent!AR10+MEDIAN(RawCurrent!AR$7:AR$10)),(RawCurrent!AR10-MEDIAN(RawCurrent!AR$7:AR$10))))</f>
        <v>-1.33506536483765</v>
      </c>
      <c r="AS10">
        <f>IF(ISBLANK(RawCurrent!AS10),"",IF(AVERAGE(RawCurrent!AS$7:AS$10)&gt;0,(RawCurrent!AS10+MEDIAN(RawCurrent!AS$7:AS$10)),(RawCurrent!AS10-MEDIAN(RawCurrent!AS$7:AS$10))))</f>
        <v>-12.84548282623285</v>
      </c>
      <c r="AT10">
        <f>IF(ISBLANK(RawCurrent!AT10),"",IF(AVERAGE(RawCurrent!AT$7:AT$10)&gt;0,(RawCurrent!AT10+MEDIAN(RawCurrent!AT$7:AT$10)),(RawCurrent!AT10-MEDIAN(RawCurrent!AT$7:AT$10))))</f>
        <v>-10.925346374511708</v>
      </c>
      <c r="AU10">
        <f>IF(ISBLANK(RawCurrent!AU10),"",IF(AVERAGE(RawCurrent!AU$7:AU$10)&gt;0,(RawCurrent!AU10+MEDIAN(RawCurrent!AU$7:AU$10)),(RawCurrent!AU10-MEDIAN(RawCurrent!AU$7:AU$10))))</f>
        <v>41.608221054077063</v>
      </c>
      <c r="AV10">
        <f>IF(ISBLANK(RawCurrent!AV10),"",IF(AVERAGE(RawCurrent!AV$7:AV$10)&gt;0,(RawCurrent!AV10+MEDIAN(RawCurrent!AV$7:AV$10)),(RawCurrent!AV10-MEDIAN(RawCurrent!AV$7:AV$10))))</f>
        <v>23.03801002502437</v>
      </c>
      <c r="AW10">
        <f>IF(ISBLANK(RawCurrent!AW10),"",IF(AVERAGE(RawCurrent!AW$7:AW$10)&gt;0,(RawCurrent!AW10+MEDIAN(RawCurrent!AW$7:AW$10)),(RawCurrent!AW10-MEDIAN(RawCurrent!AW$7:AW$10))))</f>
        <v>113.89973449707026</v>
      </c>
      <c r="AX10">
        <f>IF(ISBLANK(RawCurrent!AX10),"",IF(AVERAGE(RawCurrent!AX$7:AX$10)&gt;0,(RawCurrent!AX10+MEDIAN(RawCurrent!AX$7:AX$10)),(RawCurrent!AX10-MEDIAN(RawCurrent!AX$7:AX$10))))</f>
        <v>55.769004821777258</v>
      </c>
      <c r="AY10">
        <f>IF(ISBLANK(RawCurrent!AY10),"",IF(AVERAGE(RawCurrent!AY$7:AY$10)&gt;0,(RawCurrent!AY10+MEDIAN(RawCurrent!AY$7:AY$10)),(RawCurrent!AY10-MEDIAN(RawCurrent!AY$7:AY$10))))</f>
        <v>29.270750999450655</v>
      </c>
      <c r="AZ10">
        <f>IF(ISBLANK(RawCurrent!AZ10),"",IF(AVERAGE(RawCurrent!AZ$7:AZ$10)&gt;0,(RawCurrent!AZ10+MEDIAN(RawCurrent!AZ$7:AZ$10)),(RawCurrent!AZ10-MEDIAN(RawCurrent!AZ$7:AZ$10))))</f>
        <v>34.592395782470646</v>
      </c>
      <c r="BA10">
        <f>IF(ISBLANK(RawCurrent!BA10),"",IF(AVERAGE(RawCurrent!BA$7:BA$10)&gt;0,(RawCurrent!BA10+MEDIAN(RawCurrent!BA$7:BA$10)),(RawCurrent!BA10-MEDIAN(RawCurrent!BA$7:BA$10))))</f>
        <v>2.1934820810953823</v>
      </c>
      <c r="BC10">
        <f>IF(ISBLANK(RawCurrent!BC10),"",IF(AVERAGE(RawCurrent!BC$7:BC$10)&gt;0,(RawCurrent!BC10+MEDIAN(RawCurrent!BC$7:BC$10)),(RawCurrent!BC10-MEDIAN(RawCurrent!BC$7:BC$10))))</f>
        <v>0</v>
      </c>
      <c r="BD10">
        <f>IF(ISBLANK(RawCurrent!BD10),"",IF(AVERAGE(RawCurrent!BD$7:BD$10)&gt;0,(RawCurrent!BD10+MEDIAN(RawCurrent!BD$7:BD$10)),(RawCurrent!BD10-MEDIAN(RawCurrent!BD$7:BD$10))))</f>
        <v>28.818973541259648</v>
      </c>
      <c r="BE10">
        <f>IF(ISBLANK(RawCurrent!BE10),"",IF(AVERAGE(RawCurrent!BE$7:BE$10)&gt;0,(RawCurrent!BE10+MEDIAN(RawCurrent!BE$7:BE$10)),(RawCurrent!BE10-MEDIAN(RawCurrent!BE$7:BE$10))))</f>
        <v>-4.7882347106933025</v>
      </c>
      <c r="BF10">
        <f>IF(ISBLANK(RawCurrent!BF10),"",IF(AVERAGE(RawCurrent!BF$7:BF$10)&gt;0,(RawCurrent!BF10+MEDIAN(RawCurrent!BF$7:BF$10)),(RawCurrent!BF10-MEDIAN(RawCurrent!BF$7:BF$10))))</f>
        <v>42.233222961425653</v>
      </c>
      <c r="BG10">
        <f>IF(ISBLANK(RawCurrent!BG10),"",IF(AVERAGE(RawCurrent!BG$7:BG$10)&gt;0,(RawCurrent!BG10+MEDIAN(RawCurrent!BG$7:BG$10)),(RawCurrent!BG10-MEDIAN(RawCurrent!BG$7:BG$10))))</f>
        <v>-4.4471263885498473</v>
      </c>
      <c r="BH10">
        <f>IF(ISBLANK(RawCurrent!BH10),"",IF(AVERAGE(RawCurrent!BH$7:BH$10)&gt;0,(RawCurrent!BH10+MEDIAN(RawCurrent!BH$7:BH$10)),(RawCurrent!BH10-MEDIAN(RawCurrent!BH$7:BH$10))))</f>
        <v>-3.6416549682616495</v>
      </c>
      <c r="BI10">
        <f>IF(ISBLANK(RawCurrent!BI10),"",IF(AVERAGE(RawCurrent!BI$7:BI$10)&gt;0,(RawCurrent!BI10+MEDIAN(RawCurrent!BI$7:BI$10)),(RawCurrent!BI10-MEDIAN(RawCurrent!BI$7:BI$10))))</f>
        <v>38.532465934753347</v>
      </c>
      <c r="BK10">
        <f>IF(ISBLANK(RawCurrent!BK10),"",IF(AVERAGE(RawCurrent!BK$7:BK$10)&gt;0,(RawCurrent!BK10+MEDIAN(RawCurrent!BK$7:BK$10)),(RawCurrent!BK10-MEDIAN(RawCurrent!BK$7:BK$10))))</f>
        <v>25.019081710405501</v>
      </c>
      <c r="BL10">
        <f>IF(ISBLANK(RawCurrent!BL10),"",IF(AVERAGE(RawCurrent!BL$7:BL$10)&gt;0,(RawCurrent!BL10+MEDIAN(RawCurrent!BL$7:BL$10)),(RawCurrent!BL10-MEDIAN(RawCurrent!BL$7:BL$10))))</f>
        <v>11.485031127929684</v>
      </c>
      <c r="BM10">
        <f>IF(ISBLANK(RawCurrent!BM10),"",IF(AVERAGE(RawCurrent!BM$7:BM$10)&gt;0,(RawCurrent!BM10+MEDIAN(RawCurrent!BM$7:BM$10)),(RawCurrent!BM10-MEDIAN(RawCurrent!BM$7:BM$10))))</f>
        <v>15.607036590576131</v>
      </c>
      <c r="BN10">
        <f>IF(ISBLANK(RawCurrent!BN10),"",IF(AVERAGE(RawCurrent!BN$7:BN$10)&gt;0,(RawCurrent!BN10+MEDIAN(RawCurrent!BN$7:BN$10)),(RawCurrent!BN10-MEDIAN(RawCurrent!BN$7:BN$10))))</f>
        <v>66.973899841308551</v>
      </c>
      <c r="BO10">
        <f>IF(ISBLANK(RawCurrent!BO10),"",IF(AVERAGE(RawCurrent!BO$7:BO$10)&gt;0,(RawCurrent!BO10+MEDIAN(RawCurrent!BO$7:BO$10)),(RawCurrent!BO10-MEDIAN(RawCurrent!BO$7:BO$10))))</f>
        <v>50.752199172973597</v>
      </c>
      <c r="BP10">
        <f>IF(ISBLANK(RawCurrent!BP10),"",IF(AVERAGE(RawCurrent!BP$7:BP$10)&gt;0,(RawCurrent!BP10+MEDIAN(RawCurrent!BP$7:BP$10)),(RawCurrent!BP10-MEDIAN(RawCurrent!BP$7:BP$10))))</f>
        <v>50.697463989257656</v>
      </c>
      <c r="BQ10">
        <f>IF(ISBLANK(RawCurrent!BQ10),"",IF(AVERAGE(RawCurrent!BQ$7:BQ$10)&gt;0,(RawCurrent!BQ10+MEDIAN(RawCurrent!BQ$7:BQ$10)),(RawCurrent!BQ10-MEDIAN(RawCurrent!BQ$7:BQ$10))))</f>
        <v>14.161318778991649</v>
      </c>
      <c r="BR10">
        <f>IF(ISBLANK(RawCurrent!BR10),"",IF(AVERAGE(RawCurrent!BR$7:BR$10)&gt;0,(RawCurrent!BR10+MEDIAN(RawCurrent!BR$7:BR$10)),(RawCurrent!BR10-MEDIAN(RawCurrent!BR$7:BR$10))))</f>
        <v>23.210846583048518</v>
      </c>
      <c r="BS10">
        <f>IF(ISBLANK(RawCurrent!BS10),"",IF(AVERAGE(RawCurrent!BS$7:BS$10)&gt;0,(RawCurrent!BS10+MEDIAN(RawCurrent!BS$7:BS$10)),(RawCurrent!BS10-MEDIAN(RawCurrent!BS$7:BS$10))))</f>
        <v>-1.5184707641601491</v>
      </c>
      <c r="BT10">
        <f>IF(ISBLANK(RawCurrent!BT10),"",IF(AVERAGE(RawCurrent!BT$7:BT$10)&gt;0,(RawCurrent!BT10+MEDIAN(RawCurrent!BT$7:BT$10)),(RawCurrent!BT10-MEDIAN(RawCurrent!BT$7:BT$10))))</f>
        <v>13.826889514923066</v>
      </c>
      <c r="BV10">
        <f>IF(ISBLANK(RawCurrent!BV10),"",IF(AVERAGE(RawCurrent!BV$7:BV$10)&gt;0,(RawCurrent!BV10+MEDIAN(RawCurrent!BV$7:BV$10)),(RawCurrent!BV10-MEDIAN(RawCurrent!BV$7:BV$10))))</f>
        <v>3.0281467437744087</v>
      </c>
      <c r="BW10">
        <f>IF(ISBLANK(RawCurrent!BW10),"",IF(AVERAGE(RawCurrent!BW$7:BW$10)&gt;0,(RawCurrent!BW10+MEDIAN(RawCurrent!BW$7:BW$10)),(RawCurrent!BW10-MEDIAN(RawCurrent!BW$7:BW$10))))</f>
        <v>26.259131908416599</v>
      </c>
      <c r="BX10">
        <f>IF(ISBLANK(RawCurrent!BX10),"",IF(AVERAGE(RawCurrent!BX$7:BX$10)&gt;0,(RawCurrent!BX10+MEDIAN(RawCurrent!BX$7:BX$10)),(RawCurrent!BX10-MEDIAN(RawCurrent!BX$7:BX$10))))</f>
        <v>0.14361795697893776</v>
      </c>
      <c r="BY10">
        <f>IF(ISBLANK(RawCurrent!BY10),"",IF(AVERAGE(RawCurrent!BY$7:BY$10)&gt;0,(RawCurrent!BY10+MEDIAN(RawCurrent!BY$7:BY$10)),(RawCurrent!BY10-MEDIAN(RawCurrent!BY$7:BY$10))))</f>
        <v>-1.40924072265625</v>
      </c>
      <c r="BZ10">
        <f>IF(ISBLANK(RawCurrent!BZ10),"",IF(AVERAGE(RawCurrent!BZ$7:BZ$10)&gt;0,(RawCurrent!BZ10+MEDIAN(RawCurrent!BZ$7:BZ$10)),(RawCurrent!BZ10-MEDIAN(RawCurrent!BZ$7:BZ$10))))</f>
        <v>23.557060241699112</v>
      </c>
      <c r="CA10">
        <f>IF(ISBLANK(RawCurrent!CA10),"",IF(AVERAGE(RawCurrent!CA$7:CA$10)&gt;0,(RawCurrent!CA10+MEDIAN(RawCurrent!CA$7:CA$10)),(RawCurrent!CA10-MEDIAN(RawCurrent!CA$7:CA$10))))</f>
        <v>12.97835540771481</v>
      </c>
      <c r="CB10">
        <f>IF(ISBLANK(RawCurrent!CB10),"",IF(AVERAGE(RawCurrent!CB$7:CB$10)&gt;0,(RawCurrent!CB10+MEDIAN(RawCurrent!CB$7:CB$10)),(RawCurrent!CB10-MEDIAN(RawCurrent!CB$7:CB$10))))</f>
        <v>2.2590584754943621</v>
      </c>
      <c r="CC10">
        <f>IF(ISBLANK(RawCurrent!CC10),"",IF(AVERAGE(RawCurrent!CC$7:CC$10)&gt;0,(RawCurrent!CC10+MEDIAN(RawCurrent!CC$7:CC$10)),(RawCurrent!CC10-MEDIAN(RawCurrent!CC$7:CC$10))))</f>
        <v>32.583116292953349</v>
      </c>
      <c r="CD10">
        <f>IF(ISBLANK(RawCurrent!CD10),"",IF(AVERAGE(RawCurrent!CD$7:CD$10)&gt;0,(RawCurrent!CD10+MEDIAN(RawCurrent!CD$7:CD$10)),(RawCurrent!CD10-MEDIAN(RawCurrent!CD$7:CD$10))))</f>
        <v>7.9224538803100319</v>
      </c>
      <c r="CE10">
        <f t="shared" si="28"/>
        <v>-50</v>
      </c>
      <c r="CF10">
        <f t="shared" si="4"/>
        <v>31.469471898674882</v>
      </c>
      <c r="CG10">
        <f t="shared" si="5"/>
        <v>9.8739195887677926</v>
      </c>
      <c r="CH10">
        <f t="shared" si="6"/>
        <v>27.70275121264984</v>
      </c>
      <c r="CI10">
        <f t="shared" si="7"/>
        <v>9.9571580230841832</v>
      </c>
      <c r="CJ10">
        <f t="shared" si="8"/>
        <v>19.870368248944182</v>
      </c>
      <c r="CK10">
        <f t="shared" si="9"/>
        <v>4.398815892937451</v>
      </c>
      <c r="CL10">
        <f t="shared" si="10"/>
        <v>-1.2170513778097103</v>
      </c>
      <c r="CM10">
        <v>10.958400629142803</v>
      </c>
      <c r="CN10">
        <f t="shared" si="0"/>
        <v>5.2423831081797836</v>
      </c>
      <c r="CO10">
        <v>9.9571580230841832</v>
      </c>
      <c r="CP10">
        <f t="shared" si="11"/>
        <v>7.1657900043232878</v>
      </c>
      <c r="CQ10">
        <v>4.398815892937451</v>
      </c>
      <c r="CR10">
        <f>MEDIAN((B10:AQ10,AS10:AU10))</f>
        <v>16.650836467742899</v>
      </c>
      <c r="CS10">
        <f>_xlfn.QUARTILE.EXC((B10:AQ10,AS10:AU10),3)</f>
        <v>41.375260353088279</v>
      </c>
      <c r="CT10">
        <f>_xlfn.QUARTILE.EXC((B10:AQ10,AS10:AU10),1)</f>
        <v>-3.5949042066931884</v>
      </c>
      <c r="CU10">
        <f t="shared" si="12"/>
        <v>29.044862270355154</v>
      </c>
      <c r="CV10">
        <f t="shared" si="13"/>
        <v>41.308033704757577</v>
      </c>
      <c r="CW10">
        <f t="shared" si="14"/>
        <v>-2.7312412261962371</v>
      </c>
      <c r="CX10">
        <f t="shared" si="15"/>
        <v>14.161318778991649</v>
      </c>
      <c r="CY10">
        <f t="shared" si="16"/>
        <v>26.259131908416599</v>
      </c>
      <c r="CZ10">
        <f t="shared" si="17"/>
        <v>3.0281467437744087</v>
      </c>
      <c r="DA10">
        <f t="shared" si="18"/>
        <v>0.99392199516297453</v>
      </c>
      <c r="DB10">
        <f t="shared" si="19"/>
        <v>25.718345880508355</v>
      </c>
      <c r="DC10">
        <f t="shared" si="20"/>
        <v>-19.251818679273114</v>
      </c>
      <c r="DD10">
        <f t="shared" si="21"/>
        <v>14.44663500785823</v>
      </c>
      <c r="DE10">
        <f t="shared" si="22"/>
        <v>26.709806442260653</v>
      </c>
      <c r="DF10">
        <f t="shared" si="23"/>
        <v>-17.329468488693159</v>
      </c>
      <c r="DG10">
        <f t="shared" si="24"/>
        <v>5.5603396892547039</v>
      </c>
      <c r="DH10">
        <f t="shared" si="25"/>
        <v>17.658152818679653</v>
      </c>
      <c r="DI10">
        <f t="shared" si="26"/>
        <v>-5.5728323459625368</v>
      </c>
    </row>
    <row r="11" spans="1:113" x14ac:dyDescent="0.2">
      <c r="A11" s="3">
        <f t="shared" si="27"/>
        <v>-40</v>
      </c>
      <c r="B11">
        <f>IF(ISBLANK(RawCurrent!B11),"",IF(AVERAGE(RawCurrent!B$7:B$10)&gt;0,(RawCurrent!B11+MEDIAN(RawCurrent!B$7:B$10)),(RawCurrent!B11-MEDIAN(RawCurrent!B$7:B$10))))</f>
        <v>-66.37673187255848</v>
      </c>
      <c r="C11">
        <f>IF(ISBLANK(RawCurrent!C11),"",IF(AVERAGE(RawCurrent!C$7:C$10)&gt;0,(RawCurrent!C11+MEDIAN(RawCurrent!C$7:C$10)),(RawCurrent!C11-MEDIAN(RawCurrent!C$7:C$10))))</f>
        <v>-65.838197708129798</v>
      </c>
      <c r="D11">
        <f>IF(ISBLANK(RawCurrent!D11),"",IF(AVERAGE(RawCurrent!D$7:D$10)&gt;0,(RawCurrent!D11+MEDIAN(RawCurrent!D$7:D$10)),(RawCurrent!D11-MEDIAN(RawCurrent!D$7:D$10))))</f>
        <v>286.48170471191298</v>
      </c>
      <c r="E11">
        <f>IF(ISBLANK(RawCurrent!E11),"",IF(AVERAGE(RawCurrent!E$7:E$10)&gt;0,(RawCurrent!E11+MEDIAN(RawCurrent!E$7:E$10)),(RawCurrent!E11-MEDIAN(RawCurrent!E$7:E$10))))</f>
        <v>145.39221191406244</v>
      </c>
      <c r="F11">
        <f>IF(ISBLANK(RawCurrent!F11),"",IF(AVERAGE(RawCurrent!F$7:F$10)&gt;0,(RawCurrent!F11+MEDIAN(RawCurrent!F$7:F$10)),(RawCurrent!F11-MEDIAN(RawCurrent!F$7:F$10))))</f>
        <v>10.097229003906506</v>
      </c>
      <c r="G11">
        <f>IF(ISBLANK(RawCurrent!G11),"",IF(AVERAGE(RawCurrent!G$7:G$10)&gt;0,(RawCurrent!G11+MEDIAN(RawCurrent!G$7:G$10)),(RawCurrent!G11-MEDIAN(RawCurrent!G$7:G$10))))</f>
        <v>-22.445613861084006</v>
      </c>
      <c r="H11">
        <f>IF(ISBLANK(RawCurrent!H11),"",IF(AVERAGE(RawCurrent!H$7:H$10)&gt;0,(RawCurrent!H11+MEDIAN(RawCurrent!H$7:H$10)),(RawCurrent!H11-MEDIAN(RawCurrent!H$7:H$10))))</f>
        <v>1.275436401367152</v>
      </c>
      <c r="I11">
        <f>IF(ISBLANK(RawCurrent!I11),"",IF(AVERAGE(RawCurrent!I$7:I$10)&gt;0,(RawCurrent!I11+MEDIAN(RawCurrent!I$7:I$10)),(RawCurrent!I11-MEDIAN(RawCurrent!I$7:I$10))))</f>
        <v>125.1785297393798</v>
      </c>
      <c r="J11">
        <f>IF(ISBLANK(RawCurrent!J11),"",IF(AVERAGE(RawCurrent!J$7:J$10)&gt;0,(RawCurrent!J11+MEDIAN(RawCurrent!J$7:J$10)),(RawCurrent!J11-MEDIAN(RawCurrent!J$7:J$10))))</f>
        <v>91.419593811035099</v>
      </c>
      <c r="K11">
        <f>IF(ISBLANK(RawCurrent!K11),"",IF(AVERAGE(RawCurrent!K$7:K$10)&gt;0,(RawCurrent!K11+MEDIAN(RawCurrent!K$7:K$10)),(RawCurrent!K11-MEDIAN(RawCurrent!K$7:K$10))))</f>
        <v>-7.0024609602987304</v>
      </c>
      <c r="L11">
        <f>IF(ISBLANK(RawCurrent!L11),"",IF(AVERAGE(RawCurrent!L$7:L$10)&gt;0,(RawCurrent!L11+MEDIAN(RawCurrent!L$7:L$10)),(RawCurrent!L11-MEDIAN(RawCurrent!L$7:L$10))))</f>
        <v>32.169097900390547</v>
      </c>
      <c r="M11">
        <f>IF(ISBLANK(RawCurrent!M11),"",IF(AVERAGE(RawCurrent!M$7:M$10)&gt;0,(RawCurrent!M11+MEDIAN(RawCurrent!M$7:M$10)),(RawCurrent!M11-MEDIAN(RawCurrent!M$7:M$10))))</f>
        <v>138.16909027099601</v>
      </c>
      <c r="N11">
        <f>IF(ISBLANK(RawCurrent!N11),"",IF(AVERAGE(RawCurrent!N$7:N$10)&gt;0,(RawCurrent!N11+MEDIAN(RawCurrent!N$7:N$10)),(RawCurrent!N11-MEDIAN(RawCurrent!N$7:N$10))))</f>
        <v>71.106353759765597</v>
      </c>
      <c r="O11">
        <f>IF(ISBLANK(RawCurrent!O11),"",IF(AVERAGE(RawCurrent!O$7:O$10)&gt;0,(RawCurrent!O11+MEDIAN(RawCurrent!O$7:O$10)),(RawCurrent!O11-MEDIAN(RawCurrent!O$7:O$10))))</f>
        <v>33.722782135009695</v>
      </c>
      <c r="P11">
        <f>IF(ISBLANK(RawCurrent!P11),"",IF(AVERAGE(RawCurrent!P$7:P$10)&gt;0,(RawCurrent!P11+MEDIAN(RawCurrent!P$7:P$10)),(RawCurrent!P11-MEDIAN(RawCurrent!P$7:P$10))))</f>
        <v>-1.2049865722656499</v>
      </c>
      <c r="Q11">
        <f>IF(ISBLANK(RawCurrent!Q11),"",IF(AVERAGE(RawCurrent!Q$7:Q$10)&gt;0,(RawCurrent!Q11+MEDIAN(RawCurrent!Q$7:Q$10)),(RawCurrent!Q11-MEDIAN(RawCurrent!Q$7:Q$10))))</f>
        <v>124.204397201538</v>
      </c>
      <c r="R11">
        <f>IF(ISBLANK(RawCurrent!R11),"",IF(AVERAGE(RawCurrent!R$7:R$10)&gt;0,(RawCurrent!R11+MEDIAN(RawCurrent!R$7:R$10)),(RawCurrent!R11-MEDIAN(RawCurrent!R$7:R$10))))</f>
        <v>49.514687538146902</v>
      </c>
      <c r="S11">
        <f>IF(ISBLANK(RawCurrent!S11),"",IF(AVERAGE(RawCurrent!S$7:S$10)&gt;0,(RawCurrent!S11+MEDIAN(RawCurrent!S$7:S$10)),(RawCurrent!S11-MEDIAN(RawCurrent!S$7:S$10))))</f>
        <v>-112.32286834716784</v>
      </c>
      <c r="T11">
        <f>IF(ISBLANK(RawCurrent!T11),"",IF(AVERAGE(RawCurrent!T$7:T$10)&gt;0,(RawCurrent!T11+MEDIAN(RawCurrent!T$7:T$10)),(RawCurrent!T11-MEDIAN(RawCurrent!T$7:T$10))))</f>
        <v>-30.585700988769599</v>
      </c>
      <c r="U11">
        <f>IF(ISBLANK(RawCurrent!U11),"",IF(AVERAGE(RawCurrent!U$7:U$10)&gt;0,(RawCurrent!U11+MEDIAN(RawCurrent!U$7:U$10)),(RawCurrent!U11-MEDIAN(RawCurrent!U$7:U$10))))</f>
        <v>34.586578369140554</v>
      </c>
      <c r="V11">
        <f>IF(ISBLANK(RawCurrent!V11),"",IF(AVERAGE(RawCurrent!V$7:V$10)&gt;0,(RawCurrent!V11+MEDIAN(RawCurrent!V$7:V$10)),(RawCurrent!V11-MEDIAN(RawCurrent!V$7:V$10))))</f>
        <v>30.469902038574148</v>
      </c>
      <c r="W11">
        <f>IF(ISBLANK(RawCurrent!W11),"",IF(AVERAGE(RawCurrent!W$7:W$10)&gt;0,(RawCurrent!W11+MEDIAN(RawCurrent!W$7:W$10)),(RawCurrent!W11-MEDIAN(RawCurrent!W$7:W$10))))</f>
        <v>20.755577087402298</v>
      </c>
      <c r="X11">
        <f>IF(ISBLANK(RawCurrent!X11),"",IF(AVERAGE(RawCurrent!X$7:X$10)&gt;0,(RawCurrent!X11+MEDIAN(RawCurrent!X$7:X$10)),(RawCurrent!X11-MEDIAN(RawCurrent!X$7:X$10))))</f>
        <v>40.186775207519446</v>
      </c>
      <c r="Y11">
        <f>IF(ISBLANK(RawCurrent!Y11),"",IF(AVERAGE(RawCurrent!Y$7:Y$10)&gt;0,(RawCurrent!Y11+MEDIAN(RawCurrent!Y$7:Y$10)),(RawCurrent!Y11-MEDIAN(RawCurrent!Y$7:Y$10))))</f>
        <v>4.2883567810058487</v>
      </c>
      <c r="Z11">
        <f>IF(ISBLANK(RawCurrent!Z11),"",IF(AVERAGE(RawCurrent!Z$7:Z$10)&gt;0,(RawCurrent!Z11+MEDIAN(RawCurrent!Z$7:Z$10)),(RawCurrent!Z11-MEDIAN(RawCurrent!Z$7:Z$10))))</f>
        <v>-17.0003561973571</v>
      </c>
      <c r="AA11">
        <f>IF(ISBLANK(RawCurrent!AA11),"",IF(AVERAGE(RawCurrent!AA$7:AA$10)&gt;0,(RawCurrent!AA11+MEDIAN(RawCurrent!AA$7:AA$10)),(RawCurrent!AA11-MEDIAN(RawCurrent!AA$7:AA$10))))</f>
        <v>-16.324962139129553</v>
      </c>
      <c r="AB11">
        <f>IF(ISBLANK(RawCurrent!AB11),"",IF(AVERAGE(RawCurrent!AB$7:AB$10)&gt;0,(RawCurrent!AB11+MEDIAN(RawCurrent!AB$7:AB$10)),(RawCurrent!AB11-MEDIAN(RawCurrent!AB$7:AB$10))))</f>
        <v>34.322072029113798</v>
      </c>
      <c r="AC11">
        <f>IF(ISBLANK(RawCurrent!AC11),"",IF(AVERAGE(RawCurrent!AC$7:AC$10)&gt;0,(RawCurrent!AC11+MEDIAN(RawCurrent!AC$7:AC$10)),(RawCurrent!AC11-MEDIAN(RawCurrent!AC$7:AC$10))))</f>
        <v>-16.556779861450245</v>
      </c>
      <c r="AD11">
        <f>IF(ISBLANK(RawCurrent!AD11),"",IF(AVERAGE(RawCurrent!AD$7:AD$10)&gt;0,(RawCurrent!AD11+MEDIAN(RawCurrent!AD$7:AD$10)),(RawCurrent!AD11-MEDIAN(RawCurrent!AD$7:AD$10))))</f>
        <v>-14.365036010742202</v>
      </c>
      <c r="AE11">
        <f>IF(ISBLANK(RawCurrent!AE11),"",IF(AVERAGE(RawCurrent!AE$7:AE$10)&gt;0,(RawCurrent!AE11+MEDIAN(RawCurrent!AE$7:AE$10)),(RawCurrent!AE11-MEDIAN(RawCurrent!AE$7:AE$10))))</f>
        <v>-14.738167762756298</v>
      </c>
      <c r="AF11">
        <f>IF(ISBLANK(RawCurrent!AF11),"",IF(AVERAGE(RawCurrent!AF$7:AF$10)&gt;0,(RawCurrent!AF11+MEDIAN(RawCurrent!AF$7:AF$10)),(RawCurrent!AF11-MEDIAN(RawCurrent!AF$7:AF$10))))</f>
        <v>37.966042518615694</v>
      </c>
      <c r="AG11">
        <f>IF(ISBLANK(RawCurrent!AG11),"",IF(AVERAGE(RawCurrent!AG$7:AG$10)&gt;0,(RawCurrent!AG11+MEDIAN(RawCurrent!AG$7:AG$10)),(RawCurrent!AG11-MEDIAN(RawCurrent!AG$7:AG$10))))</f>
        <v>41.304149627685447</v>
      </c>
      <c r="AH11">
        <f>IF(ISBLANK(RawCurrent!AH11),"",IF(AVERAGE(RawCurrent!AH$7:AH$10)&gt;0,(RawCurrent!AH11+MEDIAN(RawCurrent!AH$7:AH$10)),(RawCurrent!AH11-MEDIAN(RawCurrent!AH$7:AH$10))))</f>
        <v>68.274173736572209</v>
      </c>
      <c r="AI11">
        <f>IF(ISBLANK(RawCurrent!AI11),"",IF(AVERAGE(RawCurrent!AI$7:AI$10)&gt;0,(RawCurrent!AI11+MEDIAN(RawCurrent!AI$7:AI$10)),(RawCurrent!AI11-MEDIAN(RawCurrent!AI$7:AI$10))))</f>
        <v>-7.3070907592773988</v>
      </c>
      <c r="AJ11">
        <f>IF(ISBLANK(RawCurrent!AJ11),"",IF(AVERAGE(RawCurrent!AJ$7:AJ$10)&gt;0,(RawCurrent!AJ11+MEDIAN(RawCurrent!AJ$7:AJ$10)),(RawCurrent!AJ11-MEDIAN(RawCurrent!AJ$7:AJ$10))))</f>
        <v>-0.91594886779780182</v>
      </c>
      <c r="AK11">
        <f>IF(ISBLANK(RawCurrent!AK11),"",IF(AVERAGE(RawCurrent!AK$7:AK$10)&gt;0,(RawCurrent!AK11+MEDIAN(RawCurrent!AK$7:AK$10)),(RawCurrent!AK11-MEDIAN(RawCurrent!AK$7:AK$10))))</f>
        <v>-5.4080810546875</v>
      </c>
      <c r="AL11">
        <f>IF(ISBLANK(RawCurrent!AL11),"",IF(AVERAGE(RawCurrent!AL$7:AL$10)&gt;0,(RawCurrent!AL11+MEDIAN(RawCurrent!AL$7:AL$10)),(RawCurrent!AL11-MEDIAN(RawCurrent!AL$7:AL$10))))</f>
        <v>30.507427215576097</v>
      </c>
      <c r="AM11">
        <f>IF(ISBLANK(RawCurrent!AM11),"",IF(AVERAGE(RawCurrent!AM$7:AM$10)&gt;0,(RawCurrent!AM11+MEDIAN(RawCurrent!AM$7:AM$10)),(RawCurrent!AM11-MEDIAN(RawCurrent!AM$7:AM$10))))</f>
        <v>-12.1664924621582</v>
      </c>
      <c r="AN11">
        <f>IF(ISBLANK(RawCurrent!AN11),"",IF(AVERAGE(RawCurrent!AN$7:AN$10)&gt;0,(RawCurrent!AN11+MEDIAN(RawCurrent!AN$7:AN$10)),(RawCurrent!AN11-MEDIAN(RawCurrent!AN$7:AN$10))))</f>
        <v>-2.4999084472656996</v>
      </c>
      <c r="AO11">
        <f>IF(ISBLANK(RawCurrent!AO11),"",IF(AVERAGE(RawCurrent!AO$7:AO$10)&gt;0,(RawCurrent!AO11+MEDIAN(RawCurrent!AO$7:AO$10)),(RawCurrent!AO11-MEDIAN(RawCurrent!AO$7:AO$10))))</f>
        <v>47.739055633544794</v>
      </c>
      <c r="AP11">
        <f>IF(ISBLANK(RawCurrent!AP11),"",IF(AVERAGE(RawCurrent!AP$7:AP$10)&gt;0,(RawCurrent!AP11+MEDIAN(RawCurrent!AP$7:AP$10)),(RawCurrent!AP11-MEDIAN(RawCurrent!AP$7:AP$10))))</f>
        <v>26.917934417724503</v>
      </c>
      <c r="AQ11">
        <f>IF(ISBLANK(RawCurrent!AQ11),"",IF(AVERAGE(RawCurrent!AQ$7:AQ$10)&gt;0,(RawCurrent!AQ11+MEDIAN(RawCurrent!AQ$7:AQ$10)),(RawCurrent!AQ11-MEDIAN(RawCurrent!AQ$7:AQ$10))))</f>
        <v>15.394460678100549</v>
      </c>
      <c r="AR11">
        <f>IF(ISBLANK(RawCurrent!AR11),"",IF(AVERAGE(RawCurrent!AR$7:AR$10)&gt;0,(RawCurrent!AR11+MEDIAN(RawCurrent!AR$7:AR$10)),(RawCurrent!AR11-MEDIAN(RawCurrent!AR$7:AR$10))))</f>
        <v>29.19980287551865</v>
      </c>
      <c r="AS11">
        <f>IF(ISBLANK(RawCurrent!AS11),"",IF(AVERAGE(RawCurrent!AS$7:AS$10)&gt;0,(RawCurrent!AS11+MEDIAN(RawCurrent!AS$7:AS$10)),(RawCurrent!AS11-MEDIAN(RawCurrent!AS$7:AS$10))))</f>
        <v>-15.593528747558549</v>
      </c>
      <c r="AT11">
        <f>IF(ISBLANK(RawCurrent!AT11),"",IF(AVERAGE(RawCurrent!AT$7:AT$10)&gt;0,(RawCurrent!AT11+MEDIAN(RawCurrent!AT$7:AT$10)),(RawCurrent!AT11-MEDIAN(RawCurrent!AT$7:AT$10))))</f>
        <v>14.112761179606093</v>
      </c>
      <c r="AU11">
        <f>IF(ISBLANK(RawCurrent!AU11),"",IF(AVERAGE(RawCurrent!AU$7:AU$10)&gt;0,(RawCurrent!AU11+MEDIAN(RawCurrent!AU$7:AU$10)),(RawCurrent!AU11-MEDIAN(RawCurrent!AU$7:AU$10))))</f>
        <v>40.362154006957937</v>
      </c>
      <c r="AV11">
        <f>IF(ISBLANK(RawCurrent!AV11),"",IF(AVERAGE(RawCurrent!AV$7:AV$10)&gt;0,(RawCurrent!AV11+MEDIAN(RawCurrent!AV$7:AV$10)),(RawCurrent!AV11-MEDIAN(RawCurrent!AV$7:AV$10))))</f>
        <v>19.613654708862271</v>
      </c>
      <c r="AW11">
        <f>IF(ISBLANK(RawCurrent!AW11),"",IF(AVERAGE(RawCurrent!AW$7:AW$10)&gt;0,(RawCurrent!AW11+MEDIAN(RawCurrent!AW$7:AW$10)),(RawCurrent!AW11-MEDIAN(RawCurrent!AW$7:AW$10))))</f>
        <v>123.50953674316395</v>
      </c>
      <c r="AX11">
        <f>IF(ISBLANK(RawCurrent!AX11),"",IF(AVERAGE(RawCurrent!AX$7:AX$10)&gt;0,(RawCurrent!AX11+MEDIAN(RawCurrent!AX$7:AX$10)),(RawCurrent!AX11-MEDIAN(RawCurrent!AX$7:AX$10))))</f>
        <v>-104.76667785644435</v>
      </c>
      <c r="AY11">
        <f>IF(ISBLANK(RawCurrent!AY11),"",IF(AVERAGE(RawCurrent!AY$7:AY$10)&gt;0,(RawCurrent!AY11+MEDIAN(RawCurrent!AY$7:AY$10)),(RawCurrent!AY11-MEDIAN(RawCurrent!AY$7:AY$10))))</f>
        <v>-32.404176394144642</v>
      </c>
      <c r="AZ11">
        <f>IF(ISBLANK(RawCurrent!AZ11),"",IF(AVERAGE(RawCurrent!AZ$7:AZ$10)&gt;0,(RawCurrent!AZ11+MEDIAN(RawCurrent!AZ$7:AZ$10)),(RawCurrent!AZ11-MEDIAN(RawCurrent!AZ$7:AZ$10))))</f>
        <v>39.326480865478452</v>
      </c>
      <c r="BA11">
        <f>IF(ISBLANK(RawCurrent!BA11),"",IF(AVERAGE(RawCurrent!BA$7:BA$10)&gt;0,(RawCurrent!BA11+MEDIAN(RawCurrent!BA$7:BA$10)),(RawCurrent!BA11-MEDIAN(RawCurrent!BA$7:BA$10))))</f>
        <v>21.378519058227482</v>
      </c>
      <c r="BB11">
        <v>38.213447570800703</v>
      </c>
      <c r="BC11">
        <f>IF(ISBLANK(RawCurrent!BC11),"",IF(AVERAGE(RawCurrent!BC$7:BC$10)&gt;0,(RawCurrent!BC11+MEDIAN(RawCurrent!BC$7:BC$10)),(RawCurrent!BC11-MEDIAN(RawCurrent!BC$7:BC$10))))</f>
        <v>1.8755798339843963</v>
      </c>
      <c r="BD11">
        <f>IF(ISBLANK(RawCurrent!BD11),"",IF(AVERAGE(RawCurrent!BD$7:BD$10)&gt;0,(RawCurrent!BD11+MEDIAN(RawCurrent!BD$7:BD$10)),(RawCurrent!BD11-MEDIAN(RawCurrent!BD$7:BD$10))))</f>
        <v>32.175306320190344</v>
      </c>
      <c r="BE11">
        <f>IF(ISBLANK(RawCurrent!BE11),"",IF(AVERAGE(RawCurrent!BE$7:BE$10)&gt;0,(RawCurrent!BE11+MEDIAN(RawCurrent!BE$7:BE$10)),(RawCurrent!BE11-MEDIAN(RawCurrent!BE$7:BE$10))))</f>
        <v>-0.22459793090820312</v>
      </c>
      <c r="BF11">
        <f>IF(ISBLANK(RawCurrent!BF11),"",IF(AVERAGE(RawCurrent!BF$7:BF$10)&gt;0,(RawCurrent!BF11+MEDIAN(RawCurrent!BF$7:BF$10)),(RawCurrent!BF11-MEDIAN(RawCurrent!BF$7:BF$10))))</f>
        <v>40.24624443054185</v>
      </c>
      <c r="BG11">
        <f>IF(ISBLANK(RawCurrent!BG11),"",IF(AVERAGE(RawCurrent!BG$7:BG$10)&gt;0,(RawCurrent!BG11+MEDIAN(RawCurrent!BG$7:BG$10)),(RawCurrent!BG11-MEDIAN(RawCurrent!BG$7:BG$10))))</f>
        <v>55.503267288207951</v>
      </c>
      <c r="BH11">
        <f>IF(ISBLANK(RawCurrent!BH11),"",IF(AVERAGE(RawCurrent!BH$7:BH$10)&gt;0,(RawCurrent!BH11+MEDIAN(RawCurrent!BH$7:BH$10)),(RawCurrent!BH11-MEDIAN(RawCurrent!BH$7:BH$10))))</f>
        <v>7.391357421875E-2</v>
      </c>
      <c r="BI11">
        <f>IF(ISBLANK(RawCurrent!BI11),"",IF(AVERAGE(RawCurrent!BI$7:BI$10)&gt;0,(RawCurrent!BI11+MEDIAN(RawCurrent!BI$7:BI$10)),(RawCurrent!BI11-MEDIAN(RawCurrent!BI$7:BI$10))))</f>
        <v>35.042489051818748</v>
      </c>
      <c r="BJ11">
        <f>IF(ISBLANK(RawCurrent!BJ11),"",IF(AVERAGE(RawCurrent!BJ$7:BJ$10)&gt;0,(RawCurrent!BJ11+MEDIAN(RawCurrent!BJ$7:BJ$10)),(RawCurrent!BJ11-MEDIAN(RawCurrent!BJ$7:BJ$10))))</f>
        <v>-0.39672851562496092</v>
      </c>
      <c r="BK11">
        <f>IF(ISBLANK(RawCurrent!BK11),"",IF(AVERAGE(RawCurrent!BK$7:BK$10)&gt;0,(RawCurrent!BK11+MEDIAN(RawCurrent!BK$7:BK$10)),(RawCurrent!BK11-MEDIAN(RawCurrent!BK$7:BK$10))))</f>
        <v>40.817958158073921</v>
      </c>
      <c r="BL11">
        <f>IF(ISBLANK(RawCurrent!BL11),"",IF(AVERAGE(RawCurrent!BL$7:BL$10)&gt;0,(RawCurrent!BL11+MEDIAN(RawCurrent!BL$7:BL$10)),(RawCurrent!BL11-MEDIAN(RawCurrent!BL$7:BL$10))))</f>
        <v>-2.9271392822265554</v>
      </c>
      <c r="BM11">
        <f>IF(ISBLANK(RawCurrent!BM11),"",IF(AVERAGE(RawCurrent!BM$7:BM$10)&gt;0,(RawCurrent!BM11+MEDIAN(RawCurrent!BM$7:BM$10)),(RawCurrent!BM11-MEDIAN(RawCurrent!BM$7:BM$10))))</f>
        <v>17.389125823974531</v>
      </c>
      <c r="BN11">
        <f>IF(ISBLANK(RawCurrent!BN11),"",IF(AVERAGE(RawCurrent!BN$7:BN$10)&gt;0,(RawCurrent!BN11+MEDIAN(RawCurrent!BN$7:BN$10)),(RawCurrent!BN11-MEDIAN(RawCurrent!BN$7:BN$10))))</f>
        <v>76.084705352783146</v>
      </c>
      <c r="BO11">
        <f>IF(ISBLANK(RawCurrent!BO11),"",IF(AVERAGE(RawCurrent!BO$7:BO$10)&gt;0,(RawCurrent!BO11+MEDIAN(RawCurrent!BO$7:BO$10)),(RawCurrent!BO11-MEDIAN(RawCurrent!BO$7:BO$10))))</f>
        <v>60.244318008422802</v>
      </c>
      <c r="BP11">
        <f>IF(ISBLANK(RawCurrent!BP11),"",IF(AVERAGE(RawCurrent!BP$7:BP$10)&gt;0,(RawCurrent!BP11+MEDIAN(RawCurrent!BP$7:BP$10)),(RawCurrent!BP11-MEDIAN(RawCurrent!BP$7:BP$10))))</f>
        <v>45.434814453124851</v>
      </c>
      <c r="BQ11">
        <f>IF(ISBLANK(RawCurrent!BQ11),"",IF(AVERAGE(RawCurrent!BQ$7:BQ$10)&gt;0,(RawCurrent!BQ11+MEDIAN(RawCurrent!BQ$7:BQ$10)),(RawCurrent!BQ11-MEDIAN(RawCurrent!BQ$7:BQ$10))))</f>
        <v>8.1610927581786488</v>
      </c>
      <c r="BR11">
        <f>IF(ISBLANK(RawCurrent!BR11),"",IF(AVERAGE(RawCurrent!BR$7:BR$10)&gt;0,(RawCurrent!BR11+MEDIAN(RawCurrent!BR$7:BR$10)),(RawCurrent!BR11-MEDIAN(RawCurrent!BR$7:BR$10))))</f>
        <v>-22.240048090616817</v>
      </c>
      <c r="BS11">
        <f>IF(ISBLANK(RawCurrent!BS11),"",IF(AVERAGE(RawCurrent!BS$7:BS$10)&gt;0,(RawCurrent!BS11+MEDIAN(RawCurrent!BS$7:BS$10)),(RawCurrent!BS11-MEDIAN(RawCurrent!BS$7:BS$10))))</f>
        <v>-16.243930053710891</v>
      </c>
      <c r="BT11">
        <f>IF(ISBLANK(RawCurrent!BT11),"",IF(AVERAGE(RawCurrent!BT$7:BT$10)&gt;0,(RawCurrent!BT11+MEDIAN(RawCurrent!BT$7:BT$10)),(RawCurrent!BT11-MEDIAN(RawCurrent!BT$7:BT$10))))</f>
        <v>34.789368788401234</v>
      </c>
      <c r="BU11">
        <f>IF(ISBLANK(RawCurrent!BU11),"",IF(AVERAGE(RawCurrent!BU$7:BU$10)&gt;0,(RawCurrent!BU11+MEDIAN(RawCurrent!BU$7:BU$10)),(RawCurrent!BU11-MEDIAN(RawCurrent!BU$7:BU$10))))</f>
        <v>6.9492187499999503</v>
      </c>
      <c r="BV11">
        <f>IF(ISBLANK(RawCurrent!BV11),"",IF(AVERAGE(RawCurrent!BV$7:BV$10)&gt;0,(RawCurrent!BV11+MEDIAN(RawCurrent!BV$7:BV$10)),(RawCurrent!BV11-MEDIAN(RawCurrent!BV$7:BV$10))))</f>
        <v>22.143695513407337</v>
      </c>
      <c r="BW11">
        <f>IF(ISBLANK(RawCurrent!BW11),"",IF(AVERAGE(RawCurrent!BW$7:BW$10)&gt;0,(RawCurrent!BW11+MEDIAN(RawCurrent!BW$7:BW$10)),(RawCurrent!BW11-MEDIAN(RawCurrent!BW$7:BW$10))))</f>
        <v>1.7028746604919007</v>
      </c>
      <c r="BX11">
        <f>IF(ISBLANK(RawCurrent!BX11),"",IF(AVERAGE(RawCurrent!BX$7:BX$10)&gt;0,(RawCurrent!BX11+MEDIAN(RawCurrent!BX$7:BX$10)),(RawCurrent!BX11-MEDIAN(RawCurrent!BX$7:BX$10))))</f>
        <v>3.5975428989956981E-2</v>
      </c>
      <c r="BY11">
        <f>IF(ISBLANK(RawCurrent!BY11),"",IF(AVERAGE(RawCurrent!BY$7:BY$10)&gt;0,(RawCurrent!BY11+MEDIAN(RawCurrent!BY$7:BY$10)),(RawCurrent!BY11-MEDIAN(RawCurrent!BY$7:BY$10))))</f>
        <v>42.962142944335852</v>
      </c>
      <c r="BZ11">
        <f>IF(ISBLANK(RawCurrent!BZ11),"",IF(AVERAGE(RawCurrent!BZ$7:BZ$10)&gt;0,(RawCurrent!BZ11+MEDIAN(RawCurrent!BZ$7:BZ$10)),(RawCurrent!BZ11-MEDIAN(RawCurrent!BZ$7:BZ$10))))</f>
        <v>24.375289916992116</v>
      </c>
      <c r="CA11">
        <f>IF(ISBLANK(RawCurrent!CA11),"",IF(AVERAGE(RawCurrent!CA$7:CA$10)&gt;0,(RawCurrent!CA11+MEDIAN(RawCurrent!CA$7:CA$10)),(RawCurrent!CA11-MEDIAN(RawCurrent!CA$7:CA$10))))</f>
        <v>-3.3385543823241939</v>
      </c>
      <c r="CB11">
        <f>IF(ISBLANK(RawCurrent!CB11),"",IF(AVERAGE(RawCurrent!CB$7:CB$10)&gt;0,(RawCurrent!CB11+MEDIAN(RawCurrent!CB$7:CB$10)),(RawCurrent!CB11-MEDIAN(RawCurrent!CB$7:CB$10))))</f>
        <v>-12.104502677917468</v>
      </c>
      <c r="CC11">
        <f>IF(ISBLANK(RawCurrent!CC11),"",IF(AVERAGE(RawCurrent!CC$7:CC$10)&gt;0,(RawCurrent!CC11+MEDIAN(RawCurrent!CC$7:CC$10)),(RawCurrent!CC11-MEDIAN(RawCurrent!CC$7:CC$10))))</f>
        <v>33.54111170768725</v>
      </c>
      <c r="CD11">
        <f>IF(ISBLANK(RawCurrent!CD11),"",IF(AVERAGE(RawCurrent!CD$7:CD$10)&gt;0,(RawCurrent!CD11+MEDIAN(RawCurrent!CD$7:CD$10)),(RawCurrent!CD11-MEDIAN(RawCurrent!CD$7:CD$10))))</f>
        <v>11.095725059509236</v>
      </c>
      <c r="CE11">
        <f t="shared" si="28"/>
        <v>-40</v>
      </c>
      <c r="CF11">
        <f t="shared" si="4"/>
        <v>25.939236050982128</v>
      </c>
      <c r="CG11">
        <f t="shared" si="5"/>
        <v>9.6665843051905647</v>
      </c>
      <c r="CH11">
        <f t="shared" si="6"/>
        <v>17.825186002822175</v>
      </c>
      <c r="CI11">
        <f t="shared" si="7"/>
        <v>13.519132274189314</v>
      </c>
      <c r="CJ11">
        <f t="shared" si="8"/>
        <v>18.443662141878839</v>
      </c>
      <c r="CK11">
        <f t="shared" si="9"/>
        <v>5.8666936761676949</v>
      </c>
      <c r="CL11">
        <f t="shared" si="10"/>
        <v>-6.7472872255024647</v>
      </c>
      <c r="CM11">
        <v>9.1991754155846657</v>
      </c>
      <c r="CN11">
        <f t="shared" si="0"/>
        <v>-4.6351821016478816</v>
      </c>
      <c r="CO11">
        <v>13.519132274189314</v>
      </c>
      <c r="CP11">
        <f t="shared" si="11"/>
        <v>5.7390838972579452</v>
      </c>
      <c r="CQ11">
        <v>5.8666936761676949</v>
      </c>
      <c r="CR11">
        <f>MEDIAN((B11:AQ11,AS11:AU11))</f>
        <v>15.394460678100549</v>
      </c>
      <c r="CS11">
        <f>_xlfn.QUARTILE.EXC((B11:AQ11,AS11:AU11),3)</f>
        <v>40.833151817321692</v>
      </c>
      <c r="CT11">
        <f>_xlfn.QUARTILE.EXC((B11:AQ11,AS11:AU11),1)</f>
        <v>-13.265764236450201</v>
      </c>
      <c r="CU11">
        <f t="shared" si="12"/>
        <v>26.776912689208913</v>
      </c>
      <c r="CV11">
        <f t="shared" si="13"/>
        <v>39.5564217567443</v>
      </c>
      <c r="CW11">
        <f t="shared" si="14"/>
        <v>-0.26763057708739257</v>
      </c>
      <c r="CX11">
        <f t="shared" si="15"/>
        <v>14.242425441741883</v>
      </c>
      <c r="CY11">
        <f t="shared" si="16"/>
        <v>39.310810815655749</v>
      </c>
      <c r="CZ11">
        <f t="shared" si="17"/>
        <v>-2.1863606044224273</v>
      </c>
      <c r="DA11">
        <f t="shared" si="18"/>
        <v>-0.26245379447937545</v>
      </c>
      <c r="DB11">
        <f t="shared" si="19"/>
        <v>25.176237344741768</v>
      </c>
      <c r="DC11">
        <f t="shared" si="20"/>
        <v>-28.922678709030123</v>
      </c>
      <c r="DD11">
        <f t="shared" si="21"/>
        <v>12.17868542671199</v>
      </c>
      <c r="DE11">
        <f t="shared" si="22"/>
        <v>24.958194494247376</v>
      </c>
      <c r="DF11">
        <f t="shared" si="23"/>
        <v>-14.865857839584315</v>
      </c>
      <c r="DG11">
        <f t="shared" si="24"/>
        <v>5.6414463520049374</v>
      </c>
      <c r="DH11">
        <f t="shared" si="25"/>
        <v>30.709831725918804</v>
      </c>
      <c r="DI11">
        <f t="shared" si="26"/>
        <v>-10.787339694159373</v>
      </c>
    </row>
    <row r="12" spans="1:113" x14ac:dyDescent="0.2">
      <c r="A12" s="3">
        <f t="shared" si="27"/>
        <v>-30</v>
      </c>
      <c r="B12">
        <f>IF(ISBLANK(RawCurrent!B12),"",IF(AVERAGE(RawCurrent!B$7:B$10)&gt;0,(RawCurrent!B12+MEDIAN(RawCurrent!B$7:B$10)),(RawCurrent!B12-MEDIAN(RawCurrent!B$7:B$10))))</f>
        <v>-395.33632659912149</v>
      </c>
      <c r="C12">
        <f>IF(ISBLANK(RawCurrent!C12),"",IF(AVERAGE(RawCurrent!C$7:C$10)&gt;0,(RawCurrent!C12+MEDIAN(RawCurrent!C$7:C$10)),(RawCurrent!C12-MEDIAN(RawCurrent!C$7:C$10))))</f>
        <v>-302.6900806427002</v>
      </c>
      <c r="D12">
        <f>IF(ISBLANK(RawCurrent!D12),"",IF(AVERAGE(RawCurrent!D$7:D$10)&gt;0,(RawCurrent!D12+MEDIAN(RawCurrent!D$7:D$10)),(RawCurrent!D12-MEDIAN(RawCurrent!D$7:D$10))))</f>
        <v>247.81850433349501</v>
      </c>
      <c r="E12">
        <f>IF(ISBLANK(RawCurrent!E12),"",IF(AVERAGE(RawCurrent!E$7:E$10)&gt;0,(RawCurrent!E12+MEDIAN(RawCurrent!E$7:E$10)),(RawCurrent!E12-MEDIAN(RawCurrent!E$7:E$10))))</f>
        <v>-177.50785827636633</v>
      </c>
      <c r="F12">
        <f>IF(ISBLANK(RawCurrent!F12),"",IF(AVERAGE(RawCurrent!F$7:F$10)&gt;0,(RawCurrent!F12+MEDIAN(RawCurrent!F$7:F$10)),(RawCurrent!F12-MEDIAN(RawCurrent!F$7:F$10))))</f>
        <v>-144.18879699707048</v>
      </c>
      <c r="G12">
        <f>IF(ISBLANK(RawCurrent!G12),"",IF(AVERAGE(RawCurrent!G$7:G$10)&gt;0,(RawCurrent!G12+MEDIAN(RawCurrent!G$7:G$10)),(RawCurrent!G12-MEDIAN(RawCurrent!G$7:G$10))))</f>
        <v>-465.15835571289017</v>
      </c>
      <c r="H12">
        <f>IF(ISBLANK(RawCurrent!H12),"",IF(AVERAGE(RawCurrent!H$7:H$10)&gt;0,(RawCurrent!H12+MEDIAN(RawCurrent!H$7:H$10)),(RawCurrent!H12-MEDIAN(RawCurrent!H$7:H$10))))</f>
        <v>-38.874042510986349</v>
      </c>
      <c r="I12">
        <f>IF(ISBLANK(RawCurrent!I12),"",IF(AVERAGE(RawCurrent!I$7:I$10)&gt;0,(RawCurrent!I12+MEDIAN(RawCurrent!I$7:I$10)),(RawCurrent!I12-MEDIAN(RawCurrent!I$7:I$10))))</f>
        <v>-411.26282310485783</v>
      </c>
      <c r="J12">
        <f>IF(ISBLANK(RawCurrent!J12),"",IF(AVERAGE(RawCurrent!J$7:J$10)&gt;0,(RawCurrent!J12+MEDIAN(RawCurrent!J$7:J$10)),(RawCurrent!J12-MEDIAN(RawCurrent!J$7:J$10))))</f>
        <v>-36.974132537841804</v>
      </c>
      <c r="K12">
        <f>IF(ISBLANK(RawCurrent!K12),"",IF(AVERAGE(RawCurrent!K$7:K$10)&gt;0,(RawCurrent!K12+MEDIAN(RawCurrent!K$7:K$10)),(RawCurrent!K12-MEDIAN(RawCurrent!K$7:K$10))))</f>
        <v>-113.30967482493666</v>
      </c>
      <c r="L12">
        <f>IF(ISBLANK(RawCurrent!L12),"",IF(AVERAGE(RawCurrent!L$7:L$10)&gt;0,(RawCurrent!L12+MEDIAN(RawCurrent!L$7:L$10)),(RawCurrent!L12-MEDIAN(RawCurrent!L$7:L$10))))</f>
        <v>-35.013435363769553</v>
      </c>
      <c r="M12">
        <f>IF(ISBLANK(RawCurrent!M12),"",IF(AVERAGE(RawCurrent!M$7:M$10)&gt;0,(RawCurrent!M12+MEDIAN(RawCurrent!M$7:M$10)),(RawCurrent!M12-MEDIAN(RawCurrent!M$7:M$10))))</f>
        <v>-68.4600372314449</v>
      </c>
      <c r="N12">
        <f>IF(ISBLANK(RawCurrent!N12),"",IF(AVERAGE(RawCurrent!N$7:N$10)&gt;0,(RawCurrent!N12+MEDIAN(RawCurrent!N$7:N$10)),(RawCurrent!N12-MEDIAN(RawCurrent!N$7:N$10))))</f>
        <v>-119.92442321777341</v>
      </c>
      <c r="O12">
        <f>IF(ISBLANK(RawCurrent!O12),"",IF(AVERAGE(RawCurrent!O$7:O$10)&gt;0,(RawCurrent!O12+MEDIAN(RawCurrent!O$7:O$10)),(RawCurrent!O12-MEDIAN(RawCurrent!O$7:O$10))))</f>
        <v>-68.68049240112299</v>
      </c>
      <c r="P12">
        <f>IF(ISBLANK(RawCurrent!P12),"",IF(AVERAGE(RawCurrent!P$7:P$10)&gt;0,(RawCurrent!P12+MEDIAN(RawCurrent!P$7:P$10)),(RawCurrent!P12-MEDIAN(RawCurrent!P$7:P$10))))</f>
        <v>-1.2585144042968501</v>
      </c>
      <c r="Q12">
        <f>IF(ISBLANK(RawCurrent!Q12),"",IF(AVERAGE(RawCurrent!Q$7:Q$10)&gt;0,(RawCurrent!Q12+MEDIAN(RawCurrent!Q$7:Q$10)),(RawCurrent!Q12-MEDIAN(RawCurrent!Q$7:Q$10))))</f>
        <v>132.11318778991688</v>
      </c>
      <c r="R12">
        <f>IF(ISBLANK(RawCurrent!R12),"",IF(AVERAGE(RawCurrent!R$7:R$10)&gt;0,(RawCurrent!R12+MEDIAN(RawCurrent!R$7:R$10)),(RawCurrent!R12-MEDIAN(RawCurrent!R$7:R$10))))</f>
        <v>-5.2289972305297994</v>
      </c>
      <c r="S12">
        <f>IF(ISBLANK(RawCurrent!S12),"",IF(AVERAGE(RawCurrent!S$7:S$10)&gt;0,(RawCurrent!S12+MEDIAN(RawCurrent!S$7:S$10)),(RawCurrent!S12-MEDIAN(RawCurrent!S$7:S$10))))</f>
        <v>-431.26401519775385</v>
      </c>
      <c r="T12">
        <f>IF(ISBLANK(RawCurrent!T12),"",IF(AVERAGE(RawCurrent!T$7:T$10)&gt;0,(RawCurrent!T12+MEDIAN(RawCurrent!T$7:T$10)),(RawCurrent!T12-MEDIAN(RawCurrent!T$7:T$10))))</f>
        <v>-271.71147918701126</v>
      </c>
      <c r="U12">
        <f>IF(ISBLANK(RawCurrent!U12),"",IF(AVERAGE(RawCurrent!U$7:U$10)&gt;0,(RawCurrent!U12+MEDIAN(RawCurrent!U$7:U$10)),(RawCurrent!U12-MEDIAN(RawCurrent!U$7:U$10))))</f>
        <v>-44.330802917480447</v>
      </c>
      <c r="V12">
        <f>IF(ISBLANK(RawCurrent!V12),"",IF(AVERAGE(RawCurrent!V$7:V$10)&gt;0,(RawCurrent!V12+MEDIAN(RawCurrent!V$7:V$10)),(RawCurrent!V12-MEDIAN(RawCurrent!V$7:V$10))))</f>
        <v>-19.794235229492251</v>
      </c>
      <c r="W12">
        <f>IF(ISBLANK(RawCurrent!W12),"",IF(AVERAGE(RawCurrent!W$7:W$10)&gt;0,(RawCurrent!W12+MEDIAN(RawCurrent!W$7:W$10)),(RawCurrent!W12-MEDIAN(RawCurrent!W$7:W$10))))</f>
        <v>-36.115882873535099</v>
      </c>
      <c r="X12">
        <f>IF(ISBLANK(RawCurrent!X12),"",IF(AVERAGE(RawCurrent!X$7:X$10)&gt;0,(RawCurrent!X12+MEDIAN(RawCurrent!X$7:X$10)),(RawCurrent!X12-MEDIAN(RawCurrent!X$7:X$10))))</f>
        <v>-44.841941833496151</v>
      </c>
      <c r="Y12">
        <f>IF(ISBLANK(RawCurrent!Y12),"",IF(AVERAGE(RawCurrent!Y$7:Y$10)&gt;0,(RawCurrent!Y12+MEDIAN(RawCurrent!Y$7:Y$10)),(RawCurrent!Y12-MEDIAN(RawCurrent!Y$7:Y$10))))</f>
        <v>-18.10073852539065</v>
      </c>
      <c r="Z12">
        <f>IF(ISBLANK(RawCurrent!Z12),"",IF(AVERAGE(RawCurrent!Z$7:Z$10)&gt;0,(RawCurrent!Z12+MEDIAN(RawCurrent!Z$7:Z$10)),(RawCurrent!Z12-MEDIAN(RawCurrent!Z$7:Z$10))))</f>
        <v>-65.076066493988009</v>
      </c>
      <c r="AA12">
        <f>IF(ISBLANK(RawCurrent!AA12),"",IF(AVERAGE(RawCurrent!AA$7:AA$10)&gt;0,(RawCurrent!AA12+MEDIAN(RawCurrent!AA$7:AA$10)),(RawCurrent!AA12-MEDIAN(RawCurrent!AA$7:AA$10))))</f>
        <v>-65.131989955902043</v>
      </c>
      <c r="AB12">
        <f>IF(ISBLANK(RawCurrent!AB12),"",IF(AVERAGE(RawCurrent!AB$7:AB$10)&gt;0,(RawCurrent!AB12+MEDIAN(RawCurrent!AB$7:AB$10)),(RawCurrent!AB12-MEDIAN(RawCurrent!AB$7:AB$10))))</f>
        <v>-65.722064018249398</v>
      </c>
      <c r="AC12">
        <f>IF(ISBLANK(RawCurrent!AC12),"",IF(AVERAGE(RawCurrent!AC$7:AC$10)&gt;0,(RawCurrent!AC12+MEDIAN(RawCurrent!AC$7:AC$10)),(RawCurrent!AC12-MEDIAN(RawCurrent!AC$7:AC$10))))</f>
        <v>-195.39892005920404</v>
      </c>
      <c r="AD12">
        <f>IF(ISBLANK(RawCurrent!AD12),"",IF(AVERAGE(RawCurrent!AD$7:AD$10)&gt;0,(RawCurrent!AD12+MEDIAN(RawCurrent!AD$7:AD$10)),(RawCurrent!AD12-MEDIAN(RawCurrent!AD$7:AD$10))))</f>
        <v>56.305141448974496</v>
      </c>
      <c r="AE12">
        <f>IF(ISBLANK(RawCurrent!AE12),"",IF(AVERAGE(RawCurrent!AE$7:AE$10)&gt;0,(RawCurrent!AE12+MEDIAN(RawCurrent!AE$7:AE$10)),(RawCurrent!AE12-MEDIAN(RawCurrent!AE$7:AE$10))))</f>
        <v>-40.566552162170396</v>
      </c>
      <c r="AF12">
        <f>IF(ISBLANK(RawCurrent!AF12),"",IF(AVERAGE(RawCurrent!AF$7:AF$10)&gt;0,(RawCurrent!AF12+MEDIAN(RawCurrent!AF$7:AF$10)),(RawCurrent!AF12-MEDIAN(RawCurrent!AF$7:AF$10))))</f>
        <v>-59.414347648620506</v>
      </c>
      <c r="AG12">
        <f>IF(ISBLANK(RawCurrent!AG12),"",IF(AVERAGE(RawCurrent!AG$7:AG$10)&gt;0,(RawCurrent!AG12+MEDIAN(RawCurrent!AG$7:AG$10)),(RawCurrent!AG12-MEDIAN(RawCurrent!AG$7:AG$10))))</f>
        <v>-29.105953216552745</v>
      </c>
      <c r="AH12">
        <f>IF(ISBLANK(RawCurrent!AH12),"",IF(AVERAGE(RawCurrent!AH$7:AH$10)&gt;0,(RawCurrent!AH12+MEDIAN(RawCurrent!AH$7:AH$10)),(RawCurrent!AH12-MEDIAN(RawCurrent!AH$7:AH$10))))</f>
        <v>61.842594146728501</v>
      </c>
      <c r="AI12">
        <f>IF(ISBLANK(RawCurrent!AI12),"",IF(AVERAGE(RawCurrent!AI$7:AI$10)&gt;0,(RawCurrent!AI12+MEDIAN(RawCurrent!AI$7:AI$10)),(RawCurrent!AI12-MEDIAN(RawCurrent!AI$7:AI$10))))</f>
        <v>-38.246829986572301</v>
      </c>
      <c r="AJ12">
        <f>IF(ISBLANK(RawCurrent!AJ12),"",IF(AVERAGE(RawCurrent!AJ$7:AJ$10)&gt;0,(RawCurrent!AJ12+MEDIAN(RawCurrent!AJ$7:AJ$10)),(RawCurrent!AJ12-MEDIAN(RawCurrent!AJ$7:AJ$10))))</f>
        <v>-25.393354415893505</v>
      </c>
      <c r="AK12">
        <f>IF(ISBLANK(RawCurrent!AK12),"",IF(AVERAGE(RawCurrent!AK$7:AK$10)&gt;0,(RawCurrent!AK12+MEDIAN(RawCurrent!AK$7:AK$10)),(RawCurrent!AK12-MEDIAN(RawCurrent!AK$7:AK$10))))</f>
        <v>-36.301544189453097</v>
      </c>
      <c r="AL12">
        <f>IF(ISBLANK(RawCurrent!AL12),"",IF(AVERAGE(RawCurrent!AL$7:AL$10)&gt;0,(RawCurrent!AL12+MEDIAN(RawCurrent!AL$7:AL$10)),(RawCurrent!AL12-MEDIAN(RawCurrent!AL$7:AL$10))))</f>
        <v>30.487064361572198</v>
      </c>
      <c r="AM12">
        <f>IF(ISBLANK(RawCurrent!AM12),"",IF(AVERAGE(RawCurrent!AM$7:AM$10)&gt;0,(RawCurrent!AM12+MEDIAN(RawCurrent!AM$7:AM$10)),(RawCurrent!AM12-MEDIAN(RawCurrent!AM$7:AM$10))))</f>
        <v>15.290218353271399</v>
      </c>
      <c r="AN12">
        <f>IF(ISBLANK(RawCurrent!AN12),"",IF(AVERAGE(RawCurrent!AN$7:AN$10)&gt;0,(RawCurrent!AN12+MEDIAN(RawCurrent!AN$7:AN$10)),(RawCurrent!AN12-MEDIAN(RawCurrent!AN$7:AN$10))))</f>
        <v>-10.407028198242202</v>
      </c>
      <c r="AO12">
        <f>IF(ISBLANK(RawCurrent!AO12),"",IF(AVERAGE(RawCurrent!AO$7:AO$10)&gt;0,(RawCurrent!AO12+MEDIAN(RawCurrent!AO$7:AO$10)),(RawCurrent!AO12-MEDIAN(RawCurrent!AO$7:AO$10))))</f>
        <v>-51.639682769775398</v>
      </c>
      <c r="AP12">
        <f>IF(ISBLANK(RawCurrent!AP12),"",IF(AVERAGE(RawCurrent!AP$7:AP$10)&gt;0,(RawCurrent!AP12+MEDIAN(RawCurrent!AP$7:AP$10)),(RawCurrent!AP12-MEDIAN(RawCurrent!AP$7:AP$10))))</f>
        <v>29.4079780578612</v>
      </c>
      <c r="AQ12">
        <f>IF(ISBLANK(RawCurrent!AQ12),"",IF(AVERAGE(RawCurrent!AQ$7:AQ$10)&gt;0,(RawCurrent!AQ12+MEDIAN(RawCurrent!AQ$7:AQ$10)),(RawCurrent!AQ12-MEDIAN(RawCurrent!AQ$7:AQ$10))))</f>
        <v>23.877019882202148</v>
      </c>
      <c r="AR12">
        <f>IF(ISBLANK(RawCurrent!AR12),"",IF(AVERAGE(RawCurrent!AR$7:AR$10)&gt;0,(RawCurrent!AR12+MEDIAN(RawCurrent!AR$7:AR$10)),(RawCurrent!AR12-MEDIAN(RawCurrent!AR$7:AR$10))))</f>
        <v>-2.7977404594421493</v>
      </c>
      <c r="AS12">
        <f>IF(ISBLANK(RawCurrent!AS12),"",IF(AVERAGE(RawCurrent!AS$7:AS$10)&gt;0,(RawCurrent!AS12+MEDIAN(RawCurrent!AS$7:AS$10)),(RawCurrent!AS12-MEDIAN(RawCurrent!AS$7:AS$10))))</f>
        <v>13.696708679199251</v>
      </c>
      <c r="AT12">
        <f>IF(ISBLANK(RawCurrent!AT12),"",IF(AVERAGE(RawCurrent!AT$7:AT$10)&gt;0,(RawCurrent!AT12+MEDIAN(RawCurrent!AT$7:AT$10)),(RawCurrent!AT12-MEDIAN(RawCurrent!AT$7:AT$10))))</f>
        <v>-9.3838221232096064</v>
      </c>
      <c r="AU12">
        <f>IF(ISBLANK(RawCurrent!AU12),"",IF(AVERAGE(RawCurrent!AU$7:AU$10)&gt;0,(RawCurrent!AU12+MEDIAN(RawCurrent!AU$7:AU$10)),(RawCurrent!AU12-MEDIAN(RawCurrent!AU$7:AU$10))))</f>
        <v>45.37454223632804</v>
      </c>
      <c r="AV12">
        <f>IF(ISBLANK(RawCurrent!AV12),"",IF(AVERAGE(RawCurrent!AV$7:AV$10)&gt;0,(RawCurrent!AV12+MEDIAN(RawCurrent!AV$7:AV$10)),(RawCurrent!AV12-MEDIAN(RawCurrent!AV$7:AV$10))))</f>
        <v>-12.412620735168408</v>
      </c>
      <c r="AW12">
        <f>IF(ISBLANK(RawCurrent!AW12),"",IF(AVERAGE(RawCurrent!AW$7:AW$10)&gt;0,(RawCurrent!AW12+MEDIAN(RawCurrent!AW$7:AW$10)),(RawCurrent!AW12-MEDIAN(RawCurrent!AW$7:AW$10))))</f>
        <v>120.96937561035145</v>
      </c>
      <c r="AX12">
        <f>IF(ISBLANK(RawCurrent!AX12),"",IF(AVERAGE(RawCurrent!AX$7:AX$10)&gt;0,(RawCurrent!AX12+MEDIAN(RawCurrent!AX$7:AX$10)),(RawCurrent!AX12-MEDIAN(RawCurrent!AX$7:AX$10))))</f>
        <v>-173.22258758544834</v>
      </c>
      <c r="AY12">
        <f>IF(ISBLANK(RawCurrent!AY12),"",IF(AVERAGE(RawCurrent!AY$7:AY$10)&gt;0,(RawCurrent!AY12+MEDIAN(RawCurrent!AY$7:AY$10)),(RawCurrent!AY12-MEDIAN(RawCurrent!AY$7:AY$10))))</f>
        <v>-247.19437567392924</v>
      </c>
      <c r="AZ12">
        <f>IF(ISBLANK(RawCurrent!AZ12),"",IF(AVERAGE(RawCurrent!AZ$7:AZ$10)&gt;0,(RawCurrent!AZ12+MEDIAN(RawCurrent!AZ$7:AZ$10)),(RawCurrent!AZ12-MEDIAN(RawCurrent!AZ$7:AZ$10))))</f>
        <v>43.630077362060447</v>
      </c>
      <c r="BA12">
        <f>IF(ISBLANK(RawCurrent!BA12),"",IF(AVERAGE(RawCurrent!BA$7:BA$10)&gt;0,(RawCurrent!BA12+MEDIAN(RawCurrent!BA$7:BA$10)),(RawCurrent!BA12-MEDIAN(RawCurrent!BA$7:BA$10))))</f>
        <v>-11.920387268066399</v>
      </c>
      <c r="BB12">
        <v>28.4212646484375</v>
      </c>
      <c r="BC12">
        <f>IF(ISBLANK(RawCurrent!BC12),"",IF(AVERAGE(RawCurrent!BC$7:BC$10)&gt;0,(RawCurrent!BC12+MEDIAN(RawCurrent!BC$7:BC$10)),(RawCurrent!BC12-MEDIAN(RawCurrent!BC$7:BC$10))))</f>
        <v>-23.167858123779304</v>
      </c>
      <c r="BD12">
        <f>IF(ISBLANK(RawCurrent!BD12),"",IF(AVERAGE(RawCurrent!BD$7:BD$10)&gt;0,(RawCurrent!BD12+MEDIAN(RawCurrent!BD$7:BD$10)),(RawCurrent!BD12-MEDIAN(RawCurrent!BD$7:BD$10))))</f>
        <v>54.189905166625948</v>
      </c>
      <c r="BE12">
        <f>IF(ISBLANK(RawCurrent!BE12),"",IF(AVERAGE(RawCurrent!BE$7:BE$10)&gt;0,(RawCurrent!BE12+MEDIAN(RawCurrent!BE$7:BE$10)),(RawCurrent!BE12-MEDIAN(RawCurrent!BE$7:BE$10))))</f>
        <v>-8.5730667114257031</v>
      </c>
      <c r="BF12">
        <f>IF(ISBLANK(RawCurrent!BF12),"",IF(AVERAGE(RawCurrent!BF$7:BF$10)&gt;0,(RawCurrent!BF12+MEDIAN(RawCurrent!BF$7:BF$10)),(RawCurrent!BF12-MEDIAN(RawCurrent!BF$7:BF$10))))</f>
        <v>38.05817604064935</v>
      </c>
      <c r="BG12">
        <f>IF(ISBLANK(RawCurrent!BG12),"",IF(AVERAGE(RawCurrent!BG$7:BG$10)&gt;0,(RawCurrent!BG12+MEDIAN(RawCurrent!BG$7:BG$10)),(RawCurrent!BG12-MEDIAN(RawCurrent!BG$7:BG$10))))</f>
        <v>-44.553403854370153</v>
      </c>
      <c r="BH12">
        <f>IF(ISBLANK(RawCurrent!BH12),"",IF(AVERAGE(RawCurrent!BH$7:BH$10)&gt;0,(RawCurrent!BH12+MEDIAN(RawCurrent!BH$7:BH$10)),(RawCurrent!BH12-MEDIAN(RawCurrent!BH$7:BH$10))))</f>
        <v>-11.09173583984375</v>
      </c>
      <c r="BI12">
        <f>IF(ISBLANK(RawCurrent!BI12),"",IF(AVERAGE(RawCurrent!BI$7:BI$10)&gt;0,(RawCurrent!BI12+MEDIAN(RawCurrent!BI$7:BI$10)),(RawCurrent!BI12-MEDIAN(RawCurrent!BI$7:BI$10))))</f>
        <v>34.048009872436452</v>
      </c>
      <c r="BJ12">
        <f>IF(ISBLANK(RawCurrent!BJ12),"",IF(AVERAGE(RawCurrent!BJ$7:BJ$10)&gt;0,(RawCurrent!BJ12+MEDIAN(RawCurrent!BJ$7:BJ$10)),(RawCurrent!BJ12-MEDIAN(RawCurrent!BJ$7:BJ$10))))</f>
        <v>-2.9907226562499609</v>
      </c>
      <c r="BK12">
        <f>IF(ISBLANK(RawCurrent!BK12),"",IF(AVERAGE(RawCurrent!BK$7:BK$10)&gt;0,(RawCurrent!BK12+MEDIAN(RawCurrent!BK$7:BK$10)),(RawCurrent!BK12-MEDIAN(RawCurrent!BK$7:BK$10))))</f>
        <v>58.869595249702925</v>
      </c>
      <c r="BL12">
        <f>IF(ISBLANK(RawCurrent!BL12),"",IF(AVERAGE(RawCurrent!BL$7:BL$10)&gt;0,(RawCurrent!BL12+MEDIAN(RawCurrent!BL$7:BL$10)),(RawCurrent!BL12-MEDIAN(RawCurrent!BL$7:BL$10))))</f>
        <v>-39.80358123779294</v>
      </c>
      <c r="BM12">
        <f>IF(ISBLANK(RawCurrent!BM12),"",IF(AVERAGE(RawCurrent!BM$7:BM$10)&gt;0,(RawCurrent!BM12+MEDIAN(RawCurrent!BM$7:BM$10)),(RawCurrent!BM12-MEDIAN(RawCurrent!BM$7:BM$10))))</f>
        <v>-17.734859466552667</v>
      </c>
      <c r="BN12">
        <f>IF(ISBLANK(RawCurrent!BN12),"",IF(AVERAGE(RawCurrent!BN$7:BN$10)&gt;0,(RawCurrent!BN12+MEDIAN(RawCurrent!BN$7:BN$10)),(RawCurrent!BN12-MEDIAN(RawCurrent!BN$7:BN$10))))</f>
        <v>81.630744934081946</v>
      </c>
      <c r="BO12">
        <f>IF(ISBLANK(RawCurrent!BO12),"",IF(AVERAGE(RawCurrent!BO$7:BO$10)&gt;0,(RawCurrent!BO12+MEDIAN(RawCurrent!BO$7:BO$10)),(RawCurrent!BO12-MEDIAN(RawCurrent!BO$7:BO$10))))</f>
        <v>-21.916727066040004</v>
      </c>
      <c r="BP12">
        <f>IF(ISBLANK(RawCurrent!BP12),"",IF(AVERAGE(RawCurrent!BP$7:BP$10)&gt;0,(RawCurrent!BP12+MEDIAN(RawCurrent!BP$7:BP$10)),(RawCurrent!BP12-MEDIAN(RawCurrent!BP$7:BP$10))))</f>
        <v>-32.369613647460952</v>
      </c>
      <c r="BQ12">
        <f>IF(ISBLANK(RawCurrent!BQ12),"",IF(AVERAGE(RawCurrent!BQ$7:BQ$10)&gt;0,(RawCurrent!BQ12+MEDIAN(RawCurrent!BQ$7:BQ$10)),(RawCurrent!BQ12-MEDIAN(RawCurrent!BQ$7:BQ$10))))</f>
        <v>21.470985412597599</v>
      </c>
      <c r="BR12">
        <f>IF(ISBLANK(RawCurrent!BR12),"",IF(AVERAGE(RawCurrent!BR$7:BR$10)&gt;0,(RawCurrent!BR12+MEDIAN(RawCurrent!BR$7:BR$10)),(RawCurrent!BR12-MEDIAN(RawCurrent!BR$7:BR$10))))</f>
        <v>-25.013330459594716</v>
      </c>
      <c r="BS12">
        <f>IF(ISBLANK(RawCurrent!BS12),"",IF(AVERAGE(RawCurrent!BS$7:BS$10)&gt;0,(RawCurrent!BS12+MEDIAN(RawCurrent!BS$7:BS$10)),(RawCurrent!BS12-MEDIAN(RawCurrent!BS$7:BS$10))))</f>
        <v>-103.67296752929659</v>
      </c>
      <c r="BT12">
        <f>IF(ISBLANK(RawCurrent!BT12),"",IF(AVERAGE(RawCurrent!BT$7:BT$10)&gt;0,(RawCurrent!BT12+MEDIAN(RawCurrent!BT$7:BT$10)),(RawCurrent!BT12-MEDIAN(RawCurrent!BT$7:BT$10))))</f>
        <v>7.5226394335428655</v>
      </c>
      <c r="BU12">
        <f>IF(ISBLANK(RawCurrent!BU12),"",IF(AVERAGE(RawCurrent!BU$7:BU$10)&gt;0,(RawCurrent!BU12+MEDIAN(RawCurrent!BU$7:BU$10)),(RawCurrent!BU12-MEDIAN(RawCurrent!BU$7:BU$10))))</f>
        <v>-31.296432495117148</v>
      </c>
      <c r="BV12">
        <f>IF(ISBLANK(RawCurrent!BV12),"",IF(AVERAGE(RawCurrent!BV$7:BV$10)&gt;0,(RawCurrent!BV12+MEDIAN(RawCurrent!BV$7:BV$10)),(RawCurrent!BV12-MEDIAN(RawCurrent!BV$7:BV$10))))</f>
        <v>-24.578358332315997</v>
      </c>
      <c r="BW12">
        <f>IF(ISBLANK(RawCurrent!BW12),"",IF(AVERAGE(RawCurrent!BW$7:BW$10)&gt;0,(RawCurrent!BW12+MEDIAN(RawCurrent!BW$7:BW$10)),(RawCurrent!BW12-MEDIAN(RawCurrent!BW$7:BW$10))))</f>
        <v>2.5714564323424991</v>
      </c>
      <c r="BX12">
        <f>IF(ISBLANK(RawCurrent!BX12),"",IF(AVERAGE(RawCurrent!BX$7:BX$10)&gt;0,(RawCurrent!BX12+MEDIAN(RawCurrent!BX$7:BX$10)),(RawCurrent!BX12-MEDIAN(RawCurrent!BX$7:BX$10))))</f>
        <v>-8.9727236611502299</v>
      </c>
      <c r="BY12">
        <f>IF(ISBLANK(RawCurrent!BY12),"",IF(AVERAGE(RawCurrent!BY$7:BY$10)&gt;0,(RawCurrent!BY12+MEDIAN(RawCurrent!BY$7:BY$10)),(RawCurrent!BY12-MEDIAN(RawCurrent!BY$7:BY$10))))</f>
        <v>8.3532333374023491</v>
      </c>
      <c r="BZ12">
        <f>IF(ISBLANK(RawCurrent!BZ12),"",IF(AVERAGE(RawCurrent!BZ$7:BZ$10)&gt;0,(RawCurrent!BZ12+MEDIAN(RawCurrent!BZ$7:BZ$10)),(RawCurrent!BZ12-MEDIAN(RawCurrent!BZ$7:BZ$10))))</f>
        <v>28.069114685058516</v>
      </c>
      <c r="CA12">
        <f>IF(ISBLANK(RawCurrent!CA12),"",IF(AVERAGE(RawCurrent!CA$7:CA$10)&gt;0,(RawCurrent!CA12+MEDIAN(RawCurrent!CA$7:CA$10)),(RawCurrent!CA12-MEDIAN(RawCurrent!CA$7:CA$10))))</f>
        <v>-15.637943267822244</v>
      </c>
      <c r="CB12">
        <f>IF(ISBLANK(RawCurrent!CB12),"",IF(AVERAGE(RawCurrent!CB$7:CB$10)&gt;0,(RawCurrent!CB12+MEDIAN(RawCurrent!CB$7:CB$10)),(RawCurrent!CB12-MEDIAN(RawCurrent!CB$7:CB$10))))</f>
        <v>-25.033592383066754</v>
      </c>
      <c r="CC12">
        <f>IF(ISBLANK(RawCurrent!CC12),"",IF(AVERAGE(RawCurrent!CC$7:CC$10)&gt;0,(RawCurrent!CC12+MEDIAN(RawCurrent!CC$7:CC$10)),(RawCurrent!CC12-MEDIAN(RawCurrent!CC$7:CC$10))))</f>
        <v>-14.193001985549952</v>
      </c>
      <c r="CD12">
        <f>IF(ISBLANK(RawCurrent!CD12),"",IF(AVERAGE(RawCurrent!CD$7:CD$10)&gt;0,(RawCurrent!CD12+MEDIAN(RawCurrent!CD$7:CD$10)),(RawCurrent!CD12-MEDIAN(RawCurrent!CD$7:CD$10))))</f>
        <v>-11.202483177185036</v>
      </c>
      <c r="CE12">
        <f t="shared" si="28"/>
        <v>-30</v>
      </c>
      <c r="CF12">
        <f t="shared" si="4"/>
        <v>-73.0133840615145</v>
      </c>
      <c r="CG12">
        <f t="shared" si="5"/>
        <v>21.395710717728225</v>
      </c>
      <c r="CH12">
        <f t="shared" si="6"/>
        <v>-14.528380643753692</v>
      </c>
      <c r="CI12">
        <f t="shared" si="7"/>
        <v>25.018080198989892</v>
      </c>
      <c r="CJ12">
        <f t="shared" si="8"/>
        <v>-8.1468922612108265</v>
      </c>
      <c r="CK12">
        <f t="shared" si="9"/>
        <v>8.560404448599261</v>
      </c>
      <c r="CL12">
        <f t="shared" si="10"/>
        <v>-105.69990733799909</v>
      </c>
      <c r="CM12">
        <v>18.773018770484491</v>
      </c>
      <c r="CN12">
        <f t="shared" si="0"/>
        <v>-36.988748748223749</v>
      </c>
      <c r="CO12">
        <v>25.018080198989892</v>
      </c>
      <c r="CP12">
        <f t="shared" si="11"/>
        <v>-20.85147050583172</v>
      </c>
      <c r="CQ12">
        <v>8.560404448599261</v>
      </c>
      <c r="CR12">
        <f>MEDIAN((B12:AQ12,AS12:AU12))</f>
        <v>-38.246829986572301</v>
      </c>
      <c r="CS12">
        <f>_xlfn.QUARTILE.EXC((B12:AQ12,AS12:AU12),3)</f>
        <v>-3.2437558174133247</v>
      </c>
      <c r="CT12">
        <f>_xlfn.QUARTILE.EXC((B12:AQ12,AS12:AU12),1)</f>
        <v>-90.995083613029834</v>
      </c>
      <c r="CU12">
        <f t="shared" si="12"/>
        <v>-5.781894683837832</v>
      </c>
      <c r="CV12">
        <f t="shared" si="13"/>
        <v>39.451151371002126</v>
      </c>
      <c r="CW12">
        <f t="shared" si="14"/>
        <v>-28.514244556427016</v>
      </c>
      <c r="CX12">
        <f t="shared" si="15"/>
        <v>-14.915472626686098</v>
      </c>
      <c r="CY12">
        <f t="shared" si="16"/>
        <v>8.1455848614374773</v>
      </c>
      <c r="CZ12">
        <f t="shared" si="17"/>
        <v>-25.028526902198745</v>
      </c>
      <c r="DA12">
        <f t="shared" si="18"/>
        <v>-53.903744459152222</v>
      </c>
      <c r="DB12">
        <f t="shared" si="19"/>
        <v>-18.900670289993251</v>
      </c>
      <c r="DC12">
        <f t="shared" si="20"/>
        <v>-106.65199808560976</v>
      </c>
      <c r="DD12">
        <f t="shared" si="21"/>
        <v>-20.380121946334754</v>
      </c>
      <c r="DE12">
        <f t="shared" si="22"/>
        <v>24.852924108505203</v>
      </c>
      <c r="DF12">
        <f t="shared" si="23"/>
        <v>-43.112471818923936</v>
      </c>
      <c r="DG12">
        <f t="shared" si="24"/>
        <v>-23.516451716423042</v>
      </c>
      <c r="DH12">
        <f t="shared" si="25"/>
        <v>-0.4553942282994683</v>
      </c>
      <c r="DI12">
        <f t="shared" si="26"/>
        <v>-33.629505991935687</v>
      </c>
    </row>
    <row r="13" spans="1:113" x14ac:dyDescent="0.2">
      <c r="A13" s="3">
        <f t="shared" si="27"/>
        <v>-20</v>
      </c>
      <c r="B13">
        <f>IF(ISBLANK(RawCurrent!B13),"",IF(AVERAGE(RawCurrent!B$7:B$10)&gt;0,(RawCurrent!B13+MEDIAN(RawCurrent!B$7:B$10)),(RawCurrent!B13-MEDIAN(RawCurrent!B$7:B$10))))</f>
        <v>-2230.0323715209915</v>
      </c>
      <c r="C13">
        <f>IF(ISBLANK(RawCurrent!C13),"",IF(AVERAGE(RawCurrent!C$7:C$10)&gt;0,(RawCurrent!C13+MEDIAN(RawCurrent!C$7:C$10)),(RawCurrent!C13-MEDIAN(RawCurrent!C$7:C$10))))</f>
        <v>-741.83815193176224</v>
      </c>
      <c r="D13">
        <f>IF(ISBLANK(RawCurrent!D13),"",IF(AVERAGE(RawCurrent!D$7:D$10)&gt;0,(RawCurrent!D13+MEDIAN(RawCurrent!D$7:D$10)),(RawCurrent!D13-MEDIAN(RawCurrent!D$7:D$10))))</f>
        <v>-1081.127258300774</v>
      </c>
      <c r="E13">
        <f>IF(ISBLANK(RawCurrent!E13),"",IF(AVERAGE(RawCurrent!E$7:E$10)&gt;0,(RawCurrent!E13+MEDIAN(RawCurrent!E$7:E$10)),(RawCurrent!E13-MEDIAN(RawCurrent!E$7:E$10))))</f>
        <v>-1422.5720977783153</v>
      </c>
      <c r="F13">
        <f>IF(ISBLANK(RawCurrent!F13),"",IF(AVERAGE(RawCurrent!F$7:F$10)&gt;0,(RawCurrent!F13+MEDIAN(RawCurrent!F$7:F$10)),(RawCurrent!F13-MEDIAN(RawCurrent!F$7:F$10))))</f>
        <v>-1103.3683624267555</v>
      </c>
      <c r="G13">
        <f>IF(ISBLANK(RawCurrent!G13),"",IF(AVERAGE(RawCurrent!G$7:G$10)&gt;0,(RawCurrent!G13+MEDIAN(RawCurrent!G$7:G$10)),(RawCurrent!G13-MEDIAN(RawCurrent!G$7:G$10))))</f>
        <v>-1879.0748596191331</v>
      </c>
      <c r="H13">
        <f>IF(ISBLANK(RawCurrent!H13),"",IF(AVERAGE(RawCurrent!H$7:H$10)&gt;0,(RawCurrent!H13+MEDIAN(RawCurrent!H$7:H$10)),(RawCurrent!H13-MEDIAN(RawCurrent!H$7:H$10))))</f>
        <v>-268.60182189941338</v>
      </c>
      <c r="I13">
        <f>IF(ISBLANK(RawCurrent!I13),"",IF(AVERAGE(RawCurrent!I$7:I$10)&gt;0,(RawCurrent!I13+MEDIAN(RawCurrent!I$7:I$10)),(RawCurrent!I13-MEDIAN(RawCurrent!I$7:I$10))))</f>
        <v>-1821.3342037200878</v>
      </c>
      <c r="J13">
        <f>IF(ISBLANK(RawCurrent!J13),"",IF(AVERAGE(RawCurrent!J$7:J$10)&gt;0,(RawCurrent!J13+MEDIAN(RawCurrent!J$7:J$10)),(RawCurrent!J13-MEDIAN(RawCurrent!J$7:J$10))))</f>
        <v>-380.46295547485283</v>
      </c>
      <c r="K13">
        <f>IF(ISBLANK(RawCurrent!K13),"",IF(AVERAGE(RawCurrent!K$7:K$10)&gt;0,(RawCurrent!K13+MEDIAN(RawCurrent!K$7:K$10)),(RawCurrent!K13-MEDIAN(RawCurrent!K$7:K$10))))</f>
        <v>-1048.3570980615889</v>
      </c>
      <c r="L13">
        <f>IF(ISBLANK(RawCurrent!L13),"",IF(AVERAGE(RawCurrent!L$7:L$10)&gt;0,(RawCurrent!L13+MEDIAN(RawCurrent!L$7:L$10)),(RawCurrent!L13-MEDIAN(RawCurrent!L$7:L$10))))</f>
        <v>-244.36569976806635</v>
      </c>
      <c r="M13">
        <f>IF(ISBLANK(RawCurrent!M13),"",IF(AVERAGE(RawCurrent!M$7:M$10)&gt;0,(RawCurrent!M13+MEDIAN(RawCurrent!M$7:M$10)),(RawCurrent!M13-MEDIAN(RawCurrent!M$7:M$10))))</f>
        <v>-1134.9757843017528</v>
      </c>
      <c r="N13">
        <f>IF(ISBLANK(RawCurrent!N13),"",IF(AVERAGE(RawCurrent!N$7:N$10)&gt;0,(RawCurrent!N13+MEDIAN(RawCurrent!N$7:N$10)),(RawCurrent!N13-MEDIAN(RawCurrent!N$7:N$10))))</f>
        <v>-1463.9516296386644</v>
      </c>
      <c r="O13">
        <f>IF(ISBLANK(RawCurrent!O13),"",IF(AVERAGE(RawCurrent!O$7:O$10)&gt;0,(RawCurrent!O13+MEDIAN(RawCurrent!O$7:O$10)),(RawCurrent!O13-MEDIAN(RawCurrent!O$7:O$10))))</f>
        <v>-485.62192916870094</v>
      </c>
      <c r="P13">
        <f>IF(ISBLANK(RawCurrent!P13),"",IF(AVERAGE(RawCurrent!P$7:P$10)&gt;0,(RawCurrent!P13+MEDIAN(RawCurrent!P$7:P$10)),(RawCurrent!P13-MEDIAN(RawCurrent!P$7:P$10))))</f>
        <v>-34.56011962890625</v>
      </c>
      <c r="Q13">
        <f>IF(ISBLANK(RawCurrent!Q13),"",IF(AVERAGE(RawCurrent!Q$7:Q$10)&gt;0,(RawCurrent!Q13+MEDIAN(RawCurrent!Q$7:Q$10)),(RawCurrent!Q13-MEDIAN(RawCurrent!Q$7:Q$10))))</f>
        <v>-256.5726642608638</v>
      </c>
      <c r="R13">
        <f>IF(ISBLANK(RawCurrent!R13),"",IF(AVERAGE(RawCurrent!R$7:R$10)&gt;0,(RawCurrent!R13+MEDIAN(RawCurrent!R$7:R$10)),(RawCurrent!R13-MEDIAN(RawCurrent!R$7:R$10))))</f>
        <v>-131.0159692764276</v>
      </c>
      <c r="S13">
        <f>IF(ISBLANK(RawCurrent!S13),"",IF(AVERAGE(RawCurrent!S$7:S$10)&gt;0,(RawCurrent!S13+MEDIAN(RawCurrent!S$7:S$10)),(RawCurrent!S13-MEDIAN(RawCurrent!S$7:S$10))))</f>
        <v>-813.44812774658192</v>
      </c>
      <c r="T13">
        <f>IF(ISBLANK(RawCurrent!T13),"",IF(AVERAGE(RawCurrent!T$7:T$10)&gt;0,(RawCurrent!T13+MEDIAN(RawCurrent!T$7:T$10)),(RawCurrent!T13-MEDIAN(RawCurrent!T$7:T$10))))</f>
        <v>-591.97203826904229</v>
      </c>
      <c r="U13">
        <f>IF(ISBLANK(RawCurrent!U13),"",IF(AVERAGE(RawCurrent!U$7:U$10)&gt;0,(RawCurrent!U13+MEDIAN(RawCurrent!U$7:U$10)),(RawCurrent!U13-MEDIAN(RawCurrent!U$7:U$10))))</f>
        <v>-320.86285400390574</v>
      </c>
      <c r="V13">
        <f>IF(ISBLANK(RawCurrent!V13),"",IF(AVERAGE(RawCurrent!V$7:V$10)&gt;0,(RawCurrent!V13+MEDIAN(RawCurrent!V$7:V$10)),(RawCurrent!V13-MEDIAN(RawCurrent!V$7:V$10))))</f>
        <v>-135.25492095947183</v>
      </c>
      <c r="W13">
        <f>IF(ISBLANK(RawCurrent!W13),"",IF(AVERAGE(RawCurrent!W$7:W$10)&gt;0,(RawCurrent!W13+MEDIAN(RawCurrent!W$7:W$10)),(RawCurrent!W13-MEDIAN(RawCurrent!W$7:W$10))))</f>
        <v>-150.965538024902</v>
      </c>
      <c r="X13">
        <f>IF(ISBLANK(RawCurrent!X13),"",IF(AVERAGE(RawCurrent!X$7:X$10)&gt;0,(RawCurrent!X13+MEDIAN(RawCurrent!X$7:X$10)),(RawCurrent!X13-MEDIAN(RawCurrent!X$7:X$10))))</f>
        <v>-237.44188690185484</v>
      </c>
      <c r="Y13">
        <f>IF(ISBLANK(RawCurrent!Y13),"",IF(AVERAGE(RawCurrent!Y$7:Y$10)&gt;0,(RawCurrent!Y13+MEDIAN(RawCurrent!Y$7:Y$10)),(RawCurrent!Y13-MEDIAN(RawCurrent!Y$7:Y$10))))</f>
        <v>-146.09654235839815</v>
      </c>
      <c r="Z13">
        <f>IF(ISBLANK(RawCurrent!Z13),"",IF(AVERAGE(RawCurrent!Z$7:Z$10)&gt;0,(RawCurrent!Z13+MEDIAN(RawCurrent!Z$7:Z$10)),(RawCurrent!Z13-MEDIAN(RawCurrent!Z$7:Z$10))))</f>
        <v>-193.44875478744461</v>
      </c>
      <c r="AA13">
        <f>IF(ISBLANK(RawCurrent!AA13),"",IF(AVERAGE(RawCurrent!AA$7:AA$10)&gt;0,(RawCurrent!AA13+MEDIAN(RawCurrent!AA$7:AA$10)),(RawCurrent!AA13-MEDIAN(RawCurrent!AA$7:AA$10))))</f>
        <v>-193.06074666976886</v>
      </c>
      <c r="AB13">
        <f>IF(ISBLANK(RawCurrent!AB13),"",IF(AVERAGE(RawCurrent!AB$7:AB$10)&gt;0,(RawCurrent!AB13+MEDIAN(RawCurrent!AB$7:AB$10)),(RawCurrent!AB13-MEDIAN(RawCurrent!AB$7:AB$10))))</f>
        <v>-226.50808238983149</v>
      </c>
      <c r="AC13">
        <f>IF(ISBLANK(RawCurrent!AC13),"",IF(AVERAGE(RawCurrent!AC$7:AC$10)&gt;0,(RawCurrent!AC13+MEDIAN(RawCurrent!AC$7:AC$10)),(RawCurrent!AC13-MEDIAN(RawCurrent!AC$7:AC$10))))</f>
        <v>-1023.3527469635011</v>
      </c>
      <c r="AD13">
        <f>IF(ISBLANK(RawCurrent!AD13),"",IF(AVERAGE(RawCurrent!AD$7:AD$10)&gt;0,(RawCurrent!AD13+MEDIAN(RawCurrent!AD$7:AD$10)),(RawCurrent!AD13-MEDIAN(RawCurrent!AD$7:AD$10))))</f>
        <v>3.8966865539550994</v>
      </c>
      <c r="AE13">
        <f>IF(ISBLANK(RawCurrent!AE13),"",IF(AVERAGE(RawCurrent!AE$7:AE$10)&gt;0,(RawCurrent!AE13+MEDIAN(RawCurrent!AE$7:AE$10)),(RawCurrent!AE13-MEDIAN(RawCurrent!AE$7:AE$10))))</f>
        <v>-177.28098392486481</v>
      </c>
      <c r="AF13">
        <f>IF(ISBLANK(RawCurrent!AF13),"",IF(AVERAGE(RawCurrent!AF$7:AF$10)&gt;0,(RawCurrent!AF13+MEDIAN(RawCurrent!AF$7:AF$10)),(RawCurrent!AF13-MEDIAN(RawCurrent!AF$7:AF$10))))</f>
        <v>-175.32565593719451</v>
      </c>
      <c r="AG13">
        <f>IF(ISBLANK(RawCurrent!AG13),"",IF(AVERAGE(RawCurrent!AG$7:AG$10)&gt;0,(RawCurrent!AG13+MEDIAN(RawCurrent!AG$7:AG$10)),(RawCurrent!AG13-MEDIAN(RawCurrent!AG$7:AG$10))))</f>
        <v>-194.54354476928714</v>
      </c>
      <c r="AH13">
        <f>IF(ISBLANK(RawCurrent!AH13),"",IF(AVERAGE(RawCurrent!AH$7:AH$10)&gt;0,(RawCurrent!AH13+MEDIAN(RawCurrent!AH$7:AH$10)),(RawCurrent!AH13-MEDIAN(RawCurrent!AH$7:AH$10))))</f>
        <v>-120.24135971069279</v>
      </c>
      <c r="AI13">
        <f>IF(ISBLANK(RawCurrent!AI13),"",IF(AVERAGE(RawCurrent!AI$7:AI$10)&gt;0,(RawCurrent!AI13+MEDIAN(RawCurrent!AI$7:AI$10)),(RawCurrent!AI13-MEDIAN(RawCurrent!AI$7:AI$10))))</f>
        <v>-150.93829345703048</v>
      </c>
      <c r="AJ13">
        <f>IF(ISBLANK(RawCurrent!AJ13),"",IF(AVERAGE(RawCurrent!AJ$7:AJ$10)&gt;0,(RawCurrent!AJ13+MEDIAN(RawCurrent!AJ$7:AJ$10)),(RawCurrent!AJ13-MEDIAN(RawCurrent!AJ$7:AJ$10))))</f>
        <v>-99.238637924193796</v>
      </c>
      <c r="AK13">
        <f>IF(ISBLANK(RawCurrent!AK13),"",IF(AVERAGE(RawCurrent!AK$7:AK$10)&gt;0,(RawCurrent!AK13+MEDIAN(RawCurrent!AK$7:AK$10)),(RawCurrent!AK13-MEDIAN(RawCurrent!AK$7:AK$10))))</f>
        <v>-203.6771697998044</v>
      </c>
      <c r="AL13">
        <f>IF(ISBLANK(RawCurrent!AL13),"",IF(AVERAGE(RawCurrent!AL$7:AL$10)&gt;0,(RawCurrent!AL13+MEDIAN(RawCurrent!AL$7:AL$10)),(RawCurrent!AL13-MEDIAN(RawCurrent!AL$7:AL$10))))</f>
        <v>41.6031074523925</v>
      </c>
      <c r="AM13">
        <f>IF(ISBLANK(RawCurrent!AM13),"",IF(AVERAGE(RawCurrent!AM$7:AM$10)&gt;0,(RawCurrent!AM13+MEDIAN(RawCurrent!AM$7:AM$10)),(RawCurrent!AM13-MEDIAN(RawCurrent!AM$7:AM$10))))</f>
        <v>-55.10791015625</v>
      </c>
      <c r="AN13">
        <f>IF(ISBLANK(RawCurrent!AN13),"",IF(AVERAGE(RawCurrent!AN$7:AN$10)&gt;0,(RawCurrent!AN13+MEDIAN(RawCurrent!AN$7:AN$10)),(RawCurrent!AN13-MEDIAN(RawCurrent!AN$7:AN$10))))</f>
        <v>-101.0110931396479</v>
      </c>
      <c r="AO13">
        <f>IF(ISBLANK(RawCurrent!AO13),"",IF(AVERAGE(RawCurrent!AO$7:AO$10)&gt;0,(RawCurrent!AO13+MEDIAN(RawCurrent!AO$7:AO$10)),(RawCurrent!AO13-MEDIAN(RawCurrent!AO$7:AO$10))))</f>
        <v>-126.25091934204031</v>
      </c>
      <c r="AP13">
        <f>IF(ISBLANK(RawCurrent!AP13),"",IF(AVERAGE(RawCurrent!AP$7:AP$10)&gt;0,(RawCurrent!AP13+MEDIAN(RawCurrent!AP$7:AP$10)),(RawCurrent!AP13-MEDIAN(RawCurrent!AP$7:AP$10))))</f>
        <v>-22.403236389160202</v>
      </c>
      <c r="AQ13">
        <f>IF(ISBLANK(RawCurrent!AQ13),"",IF(AVERAGE(RawCurrent!AQ$7:AQ$10)&gt;0,(RawCurrent!AQ13+MEDIAN(RawCurrent!AQ$7:AQ$10)),(RawCurrent!AQ13-MEDIAN(RawCurrent!AQ$7:AQ$10))))</f>
        <v>-64.420160293579045</v>
      </c>
      <c r="AR13">
        <f>IF(ISBLANK(RawCurrent!AR13),"",IF(AVERAGE(RawCurrent!AR$7:AR$10)&gt;0,(RawCurrent!AR13+MEDIAN(RawCurrent!AR$7:AR$10)),(RawCurrent!AR13-MEDIAN(RawCurrent!AR$7:AR$10))))</f>
        <v>-38.112634181976347</v>
      </c>
      <c r="AS13">
        <f>IF(ISBLANK(RawCurrent!AS13),"",IF(AVERAGE(RawCurrent!AS$7:AS$10)&gt;0,(RawCurrent!AS13+MEDIAN(RawCurrent!AS$7:AS$10)),(RawCurrent!AS13-MEDIAN(RawCurrent!AS$7:AS$10))))</f>
        <v>-66.319451332092257</v>
      </c>
      <c r="AT13">
        <f>IF(ISBLANK(RawCurrent!AT13),"",IF(AVERAGE(RawCurrent!AT$7:AT$10)&gt;0,(RawCurrent!AT13+MEDIAN(RawCurrent!AT$7:AT$10)),(RawCurrent!AT13-MEDIAN(RawCurrent!AT$7:AT$10))))</f>
        <v>-30.014231999715136</v>
      </c>
      <c r="AU13">
        <f>IF(ISBLANK(RawCurrent!AU13),"",IF(AVERAGE(RawCurrent!AU$7:AU$10)&gt;0,(RawCurrent!AU13+MEDIAN(RawCurrent!AU$7:AU$10)),(RawCurrent!AU13-MEDIAN(RawCurrent!AU$7:AU$10))))</f>
        <v>-104.99328041076622</v>
      </c>
      <c r="AV13">
        <f>IF(ISBLANK(RawCurrent!AV13),"",IF(AVERAGE(RawCurrent!AV$7:AV$10)&gt;0,(RawCurrent!AV13+MEDIAN(RawCurrent!AV$7:AV$10)),(RawCurrent!AV13-MEDIAN(RawCurrent!AV$7:AV$10))))</f>
        <v>-23.55818004608151</v>
      </c>
      <c r="AW13">
        <f>IF(ISBLANK(RawCurrent!AW13),"",IF(AVERAGE(RawCurrent!AW$7:AW$10)&gt;0,(RawCurrent!AW13+MEDIAN(RawCurrent!AW$7:AW$10)),(RawCurrent!AW13-MEDIAN(RawCurrent!AW$7:AW$10))))</f>
        <v>-136.53157043457006</v>
      </c>
      <c r="AX13">
        <f>IF(ISBLANK(RawCurrent!AX13),"",IF(AVERAGE(RawCurrent!AX$7:AX$10)&gt;0,(RawCurrent!AX13+MEDIAN(RawCurrent!AX$7:AX$10)),(RawCurrent!AX13-MEDIAN(RawCurrent!AX$7:AX$10))))</f>
        <v>-1024.7900009155223</v>
      </c>
      <c r="AY13">
        <f>IF(ISBLANK(RawCurrent!AY13),"",IF(AVERAGE(RawCurrent!AY$7:AY$10)&gt;0,(RawCurrent!AY13+MEDIAN(RawCurrent!AY$7:AY$10)),(RawCurrent!AY13-MEDIAN(RawCurrent!AY$7:AY$10))))</f>
        <v>-696.48395697275714</v>
      </c>
      <c r="AZ13">
        <f>IF(ISBLANK(RawCurrent!AZ13),"",IF(AVERAGE(RawCurrent!AZ$7:AZ$10)&gt;0,(RawCurrent!AZ13+MEDIAN(RawCurrent!AZ$7:AZ$10)),(RawCurrent!AZ13-MEDIAN(RawCurrent!AZ$7:AZ$10))))</f>
        <v>-122.62294387817325</v>
      </c>
      <c r="BA13">
        <f>IF(ISBLANK(RawCurrent!BA13),"",IF(AVERAGE(RawCurrent!BA$7:BA$10)&gt;0,(RawCurrent!BA13+MEDIAN(RawCurrent!BA$7:BA$10)),(RawCurrent!BA13-MEDIAN(RawCurrent!BA$7:BA$10))))</f>
        <v>-123.32594617207806</v>
      </c>
      <c r="BB13">
        <v>-68.906051635742102</v>
      </c>
      <c r="BC13">
        <f>IF(ISBLANK(RawCurrent!BC13),"",IF(AVERAGE(RawCurrent!BC$7:BC$10)&gt;0,(RawCurrent!BC13+MEDIAN(RawCurrent!BC$7:BC$10)),(RawCurrent!BC13-MEDIAN(RawCurrent!BC$7:BC$10))))</f>
        <v>-166.59695053100592</v>
      </c>
      <c r="BD13">
        <f>IF(ISBLANK(RawCurrent!BD13),"",IF(AVERAGE(RawCurrent!BD$7:BD$10)&gt;0,(RawCurrent!BD13+MEDIAN(RawCurrent!BD$7:BD$10)),(RawCurrent!BD13-MEDIAN(RawCurrent!BD$7:BD$10))))</f>
        <v>-79.808992385864244</v>
      </c>
      <c r="BE13">
        <f>IF(ISBLANK(RawCurrent!BE13),"",IF(AVERAGE(RawCurrent!BE$7:BE$10)&gt;0,(RawCurrent!BE13+MEDIAN(RawCurrent!BE$7:BE$10)),(RawCurrent!BE13-MEDIAN(RawCurrent!BE$7:BE$10))))</f>
        <v>-56.0760498046875</v>
      </c>
      <c r="BF13">
        <f>IF(ISBLANK(RawCurrent!BF13),"",IF(AVERAGE(RawCurrent!BF$7:BF$10)&gt;0,(RawCurrent!BF13+MEDIAN(RawCurrent!BF$7:BF$10)),(RawCurrent!BF13-MEDIAN(RawCurrent!BF$7:BF$10))))</f>
        <v>-8.8187351226806499</v>
      </c>
      <c r="BG13">
        <f>IF(ISBLANK(RawCurrent!BG13),"",IF(AVERAGE(RawCurrent!BG$7:BG$10)&gt;0,(RawCurrent!BG13+MEDIAN(RawCurrent!BG$7:BG$10)),(RawCurrent!BG13-MEDIAN(RawCurrent!BG$7:BG$10))))</f>
        <v>-129.79331016540496</v>
      </c>
      <c r="BH13">
        <f>IF(ISBLANK(RawCurrent!BH13),"",IF(AVERAGE(RawCurrent!BH$7:BH$10)&gt;0,(RawCurrent!BH13+MEDIAN(RawCurrent!BH$7:BH$10)),(RawCurrent!BH13-MEDIAN(RawCurrent!BH$7:BH$10))))</f>
        <v>-30.025192260742148</v>
      </c>
      <c r="BI13">
        <f>IF(ISBLANK(RawCurrent!BI13),"",IF(AVERAGE(RawCurrent!BI$7:BI$10)&gt;0,(RawCurrent!BI13+MEDIAN(RawCurrent!BI$7:BI$10)),(RawCurrent!BI13-MEDIAN(RawCurrent!BI$7:BI$10))))</f>
        <v>-17.131489753723152</v>
      </c>
      <c r="BJ13">
        <f>IF(ISBLANK(RawCurrent!BJ13),"",IF(AVERAGE(RawCurrent!BJ$7:BJ$10)&gt;0,(RawCurrent!BJ13+MEDIAN(RawCurrent!BJ$7:BJ$10)),(RawCurrent!BJ13-MEDIAN(RawCurrent!BJ$7:BJ$10))))</f>
        <v>-33.966061592102058</v>
      </c>
      <c r="BK13">
        <f>IF(ISBLANK(RawCurrent!BK13),"",IF(AVERAGE(RawCurrent!BK$7:BK$10)&gt;0,(RawCurrent!BK13+MEDIAN(RawCurrent!BK$7:BK$10)),(RawCurrent!BK13-MEDIAN(RawCurrent!BK$7:BK$10))))</f>
        <v>-149.62065884094778</v>
      </c>
      <c r="BL13">
        <f>IF(ISBLANK(RawCurrent!BL13),"",IF(AVERAGE(RawCurrent!BL$7:BL$10)&gt;0,(RawCurrent!BL13+MEDIAN(RawCurrent!BL$7:BL$10)),(RawCurrent!BL13-MEDIAN(RawCurrent!BL$7:BL$10))))</f>
        <v>-211.72049713134683</v>
      </c>
      <c r="BM13">
        <f>IF(ISBLANK(RawCurrent!BM13),"",IF(AVERAGE(RawCurrent!BM$7:BM$10)&gt;0,(RawCurrent!BM13+MEDIAN(RawCurrent!BM$7:BM$10)),(RawCurrent!BM13-MEDIAN(RawCurrent!BM$7:BM$10))))</f>
        <v>-90.427524566650376</v>
      </c>
      <c r="BN13">
        <f>IF(ISBLANK(RawCurrent!BN13),"",IF(AVERAGE(RawCurrent!BN$7:BN$10)&gt;0,(RawCurrent!BN13+MEDIAN(RawCurrent!BN$7:BN$10)),(RawCurrent!BN13-MEDIAN(RawCurrent!BN$7:BN$10))))</f>
        <v>-99.592128753662152</v>
      </c>
      <c r="BO13">
        <f>IF(ISBLANK(RawCurrent!BO13),"",IF(AVERAGE(RawCurrent!BO$7:BO$10)&gt;0,(RawCurrent!BO13+MEDIAN(RawCurrent!BO$7:BO$10)),(RawCurrent!BO13-MEDIAN(RawCurrent!BO$7:BO$10))))</f>
        <v>-174.3940410614012</v>
      </c>
      <c r="BP13">
        <f>IF(ISBLANK(RawCurrent!BP13),"",IF(AVERAGE(RawCurrent!BP$7:BP$10)&gt;0,(RawCurrent!BP13+MEDIAN(RawCurrent!BP$7:BP$10)),(RawCurrent!BP13-MEDIAN(RawCurrent!BP$7:BP$10))))</f>
        <v>-181.50594329833973</v>
      </c>
      <c r="BQ13">
        <f>IF(ISBLANK(RawCurrent!BQ13),"",IF(AVERAGE(RawCurrent!BQ$7:BQ$10)&gt;0,(RawCurrent!BQ13+MEDIAN(RawCurrent!BQ$7:BQ$10)),(RawCurrent!BQ13-MEDIAN(RawCurrent!BQ$7:BQ$10))))</f>
        <v>-101.29483032226474</v>
      </c>
      <c r="BR13">
        <f>IF(ISBLANK(RawCurrent!BR13),"",IF(AVERAGE(RawCurrent!BR$7:BR$10)&gt;0,(RawCurrent!BR13+MEDIAN(RawCurrent!BR$7:BR$10)),(RawCurrent!BR13-MEDIAN(RawCurrent!BR$7:BR$10))))</f>
        <v>-108.95070966084768</v>
      </c>
      <c r="BS13">
        <f>IF(ISBLANK(RawCurrent!BS13),"",IF(AVERAGE(RawCurrent!BS$7:BS$10)&gt;0,(RawCurrent!BS13+MEDIAN(RawCurrent!BS$7:BS$10)),(RawCurrent!BS13-MEDIAN(RawCurrent!BS$7:BS$10))))</f>
        <v>-390.58600997924776</v>
      </c>
      <c r="BT13">
        <f>IF(ISBLANK(RawCurrent!BT13),"",IF(AVERAGE(RawCurrent!BT$7:BT$10)&gt;0,(RawCurrent!BT13+MEDIAN(RawCurrent!BT$7:BT$10)),(RawCurrent!BT13-MEDIAN(RawCurrent!BT$7:BT$10))))</f>
        <v>-70.227828502655001</v>
      </c>
      <c r="BU13">
        <f>IF(ISBLANK(RawCurrent!BU13),"",IF(AVERAGE(RawCurrent!BU$7:BU$10)&gt;0,(RawCurrent!BU13+MEDIAN(RawCurrent!BU$7:BU$10)),(RawCurrent!BU13-MEDIAN(RawCurrent!BU$7:BU$10))))</f>
        <v>-75.786758422851548</v>
      </c>
      <c r="BV13">
        <f>IF(ISBLANK(RawCurrent!BV13),"",IF(AVERAGE(RawCurrent!BV$7:BV$10)&gt;0,(RawCurrent!BV13+MEDIAN(RawCurrent!BV$7:BV$10)),(RawCurrent!BV13-MEDIAN(RawCurrent!BV$7:BV$10))))</f>
        <v>-91.404771169026475</v>
      </c>
      <c r="BW13">
        <f>IF(ISBLANK(RawCurrent!BW13),"",IF(AVERAGE(RawCurrent!BW$7:BW$10)&gt;0,(RawCurrent!BW13+MEDIAN(RawCurrent!BW$7:BW$10)),(RawCurrent!BW13-MEDIAN(RawCurrent!BW$7:BW$10))))</f>
        <v>-9.0451855659485005</v>
      </c>
      <c r="BX13">
        <f>IF(ISBLANK(RawCurrent!BX13),"",IF(AVERAGE(RawCurrent!BX$7:BX$10)&gt;0,(RawCurrent!BX13+MEDIAN(RawCurrent!BX$7:BX$10)),(RawCurrent!BX13-MEDIAN(RawCurrent!BX$7:BX$10))))</f>
        <v>-107.29262711661192</v>
      </c>
      <c r="BY13">
        <f>IF(ISBLANK(RawCurrent!BY13),"",IF(AVERAGE(RawCurrent!BY$7:BY$10)&gt;0,(RawCurrent!BY13+MEDIAN(RawCurrent!BY$7:BY$10)),(RawCurrent!BY13-MEDIAN(RawCurrent!BY$7:BY$10))))</f>
        <v>-28.220825195312454</v>
      </c>
      <c r="BZ13">
        <f>IF(ISBLANK(RawCurrent!BZ13),"",IF(AVERAGE(RawCurrent!BZ$7:BZ$10)&gt;0,(RawCurrent!BZ13+MEDIAN(RawCurrent!BZ$7:BZ$10)),(RawCurrent!BZ13-MEDIAN(RawCurrent!BZ$7:BZ$10))))</f>
        <v>-23.552902221679688</v>
      </c>
      <c r="CA13">
        <f>IF(ISBLANK(RawCurrent!CA13),"",IF(AVERAGE(RawCurrent!CA$7:CA$10)&gt;0,(RawCurrent!CA13+MEDIAN(RawCurrent!CA$7:CA$10)),(RawCurrent!CA13-MEDIAN(RawCurrent!CA$7:CA$10))))</f>
        <v>-36.188978195190387</v>
      </c>
      <c r="CB13">
        <f>IF(ISBLANK(RawCurrent!CB13),"",IF(AVERAGE(RawCurrent!CB$7:CB$10)&gt;0,(RawCurrent!CB13+MEDIAN(RawCurrent!CB$7:CB$10)),(RawCurrent!CB13-MEDIAN(RawCurrent!CB$7:CB$10))))</f>
        <v>-48.615417480468722</v>
      </c>
      <c r="CC13">
        <f>IF(ISBLANK(RawCurrent!CC13),"",IF(AVERAGE(RawCurrent!CC$7:CC$10)&gt;0,(RawCurrent!CC13+MEDIAN(RawCurrent!CC$7:CC$10)),(RawCurrent!CC13-MEDIAN(RawCurrent!CC$7:CC$10))))</f>
        <v>-31.482399225234996</v>
      </c>
      <c r="CD13">
        <f>IF(ISBLANK(RawCurrent!CD13),"",IF(AVERAGE(RawCurrent!CD$7:CD$10)&gt;0,(RawCurrent!CD13+MEDIAN(RawCurrent!CD$7:CD$10)),(RawCurrent!CD13-MEDIAN(RawCurrent!CD$7:CD$10))))</f>
        <v>-35.972137451171854</v>
      </c>
      <c r="CE13">
        <f t="shared" si="28"/>
        <v>-20</v>
      </c>
      <c r="CF13">
        <f t="shared" si="4"/>
        <v>-475.70025223181648</v>
      </c>
      <c r="CG13">
        <f t="shared" si="5"/>
        <v>85.200512706951685</v>
      </c>
      <c r="CH13">
        <f t="shared" si="6"/>
        <v>-192.49123225893237</v>
      </c>
      <c r="CI13">
        <f t="shared" si="7"/>
        <v>78.681445089333167</v>
      </c>
      <c r="CJ13">
        <f t="shared" si="8"/>
        <v>-103.294108708043</v>
      </c>
      <c r="CK13">
        <f t="shared" si="9"/>
        <v>19.727987680193561</v>
      </c>
      <c r="CL13">
        <f t="shared" si="10"/>
        <v>-508.38677550830107</v>
      </c>
      <c r="CM13">
        <v>77.943265822682562</v>
      </c>
      <c r="CN13">
        <f t="shared" si="0"/>
        <v>-214.95160036340243</v>
      </c>
      <c r="CO13">
        <v>78.681445089333167</v>
      </c>
      <c r="CP13">
        <f t="shared" si="11"/>
        <v>-115.99868695266389</v>
      </c>
      <c r="CQ13">
        <v>19.727987680193561</v>
      </c>
      <c r="CR13">
        <f>MEDIAN((B13:AQ13,AS13:AU13))</f>
        <v>-194.54354476928714</v>
      </c>
      <c r="CS13">
        <f>_xlfn.QUARTILE.EXC((B13:AQ13,AS13:AU13),3)</f>
        <v>-112.6173200607295</v>
      </c>
      <c r="CT13">
        <f>_xlfn.QUARTILE.EXC((B13:AQ13,AS13:AU13),1)</f>
        <v>-777.64313983917214</v>
      </c>
      <c r="CU13">
        <f t="shared" si="12"/>
        <v>-101.21596813201874</v>
      </c>
      <c r="CV13">
        <f t="shared" si="13"/>
        <v>-32.980844259262078</v>
      </c>
      <c r="CW13">
        <f t="shared" si="14"/>
        <v>-144.04791545867903</v>
      </c>
      <c r="CX13">
        <f t="shared" si="15"/>
        <v>-90.916147867838419</v>
      </c>
      <c r="CY13">
        <f t="shared" si="16"/>
        <v>-36.026347637176485</v>
      </c>
      <c r="CZ13">
        <f t="shared" si="17"/>
        <v>-139.45317154592277</v>
      </c>
      <c r="DA13">
        <f t="shared" si="18"/>
        <v>-210.20045924186707</v>
      </c>
      <c r="DB13">
        <f t="shared" si="19"/>
        <v>-128.27423453330942</v>
      </c>
      <c r="DC13">
        <f t="shared" si="20"/>
        <v>-793.30005431175209</v>
      </c>
      <c r="DD13">
        <f t="shared" si="21"/>
        <v>-115.81419539451566</v>
      </c>
      <c r="DE13">
        <f t="shared" si="22"/>
        <v>-47.579071521759005</v>
      </c>
      <c r="DF13">
        <f t="shared" si="23"/>
        <v>-158.64614272117595</v>
      </c>
      <c r="DG13">
        <f t="shared" si="24"/>
        <v>-99.517126957575357</v>
      </c>
      <c r="DH13">
        <f t="shared" si="25"/>
        <v>-44.627326726913431</v>
      </c>
      <c r="DI13">
        <f t="shared" si="26"/>
        <v>-148.05415063565971</v>
      </c>
    </row>
    <row r="14" spans="1:113" x14ac:dyDescent="0.2">
      <c r="A14" s="3">
        <f t="shared" si="27"/>
        <v>-10</v>
      </c>
      <c r="B14">
        <f>IF(ISBLANK(RawCurrent!B14),"",IF(AVERAGE(RawCurrent!B$7:B$10)&gt;0,(RawCurrent!B14+MEDIAN(RawCurrent!B$7:B$10)),(RawCurrent!B14-MEDIAN(RawCurrent!B$7:B$10))))</f>
        <v>-4981.6253890991211</v>
      </c>
      <c r="C14">
        <f>IF(ISBLANK(RawCurrent!C14),"",IF(AVERAGE(RawCurrent!C$7:C$10)&gt;0,(RawCurrent!C14+MEDIAN(RawCurrent!C$7:C$10)),(RawCurrent!C14-MEDIAN(RawCurrent!C$7:C$10))))</f>
        <v>-940.66481208801224</v>
      </c>
      <c r="D14">
        <f>IF(ISBLANK(RawCurrent!D14),"",IF(AVERAGE(RawCurrent!D$7:D$10)&gt;0,(RawCurrent!D14+MEDIAN(RawCurrent!D$7:D$10)),(RawCurrent!D14-MEDIAN(RawCurrent!D$7:D$10))))</f>
        <v>-2689.2540893554642</v>
      </c>
      <c r="E14">
        <f>IF(ISBLANK(RawCurrent!E14),"",IF(AVERAGE(RawCurrent!E$7:E$10)&gt;0,(RawCurrent!E14+MEDIAN(RawCurrent!E$7:E$10)),(RawCurrent!E14-MEDIAN(RawCurrent!E$7:E$10))))</f>
        <v>-3187.8130645751953</v>
      </c>
      <c r="F14">
        <f>IF(ISBLANK(RawCurrent!F14),"",IF(AVERAGE(RawCurrent!F$7:F$10)&gt;0,(RawCurrent!F14+MEDIAN(RawCurrent!F$7:F$10)),(RawCurrent!F14-MEDIAN(RawCurrent!F$7:F$10))))</f>
        <v>-2704.5547637939453</v>
      </c>
      <c r="G14">
        <f>IF(ISBLANK(RawCurrent!G14),"",IF(AVERAGE(RawCurrent!G$7:G$10)&gt;0,(RawCurrent!G14+MEDIAN(RawCurrent!G$7:G$10)),(RawCurrent!G14-MEDIAN(RawCurrent!G$7:G$10))))</f>
        <v>-2015.2071838378831</v>
      </c>
      <c r="H14">
        <f>IF(ISBLANK(RawCurrent!H14),"",IF(AVERAGE(RawCurrent!H$7:H$10)&gt;0,(RawCurrent!H14+MEDIAN(RawCurrent!H$7:H$10)),(RawCurrent!H14-MEDIAN(RawCurrent!H$7:H$10))))</f>
        <v>-1085.1582794189453</v>
      </c>
      <c r="I14">
        <f>IF(ISBLANK(RawCurrent!I14),"",IF(AVERAGE(RawCurrent!I$7:I$10)&gt;0,(RawCurrent!I14+MEDIAN(RawCurrent!I$7:I$10)),(RawCurrent!I14-MEDIAN(RawCurrent!I$7:I$10))))</f>
        <v>-1932.5593013763378</v>
      </c>
      <c r="J14">
        <f>IF(ISBLANK(RawCurrent!J14),"",IF(AVERAGE(RawCurrent!J$7:J$10)&gt;0,(RawCurrent!J14+MEDIAN(RawCurrent!J$7:J$10)),(RawCurrent!J14-MEDIAN(RawCurrent!J$7:J$10))))</f>
        <v>-1413.2121620178148</v>
      </c>
      <c r="K14">
        <f>IF(ISBLANK(RawCurrent!K14),"",IF(AVERAGE(RawCurrent!K$7:K$10)&gt;0,(RawCurrent!K14+MEDIAN(RawCurrent!K$7:K$10)),(RawCurrent!K14-MEDIAN(RawCurrent!K$7:K$10))))</f>
        <v>-2708.1698111817191</v>
      </c>
      <c r="L14">
        <f>IF(ISBLANK(RawCurrent!L14),"",IF(AVERAGE(RawCurrent!L$7:L$10)&gt;0,(RawCurrent!L14+MEDIAN(RawCurrent!L$7:L$10)),(RawCurrent!L14-MEDIAN(RawCurrent!L$7:L$10))))</f>
        <v>-701.92023468017544</v>
      </c>
      <c r="M14">
        <f>IF(ISBLANK(RawCurrent!M14),"",IF(AVERAGE(RawCurrent!M$7:M$10)&gt;0,(RawCurrent!M14+MEDIAN(RawCurrent!M$7:M$10)),(RawCurrent!M14-MEDIAN(RawCurrent!M$7:M$10))))</f>
        <v>-2425.8808135986328</v>
      </c>
      <c r="N14">
        <f>IF(ISBLANK(RawCurrent!N14),"",IF(AVERAGE(RawCurrent!N$7:N$10)&gt;0,(RawCurrent!N14+MEDIAN(RawCurrent!N$7:N$10)),(RawCurrent!N14-MEDIAN(RawCurrent!N$7:N$10))))</f>
        <v>-1553.4396667480444</v>
      </c>
      <c r="O14">
        <f>IF(ISBLANK(RawCurrent!O14),"",IF(AVERAGE(RawCurrent!O$7:O$10)&gt;0,(RawCurrent!O14+MEDIAN(RawCurrent!O$7:O$10)),(RawCurrent!O14-MEDIAN(RawCurrent!O$7:O$10))))</f>
        <v>-1229.2902030944749</v>
      </c>
      <c r="P14">
        <f>IF(ISBLANK(RawCurrent!P14),"",IF(AVERAGE(RawCurrent!P$7:P$10)&gt;0,(RawCurrent!P14+MEDIAN(RawCurrent!P$7:P$10)),(RawCurrent!P14-MEDIAN(RawCurrent!P$7:P$10))))</f>
        <v>-124.02493286132764</v>
      </c>
      <c r="Q14">
        <f>IF(ISBLANK(RawCurrent!Q14),"",IF(AVERAGE(RawCurrent!Q$7:Q$10)&gt;0,(RawCurrent!Q14+MEDIAN(RawCurrent!Q$7:Q$10)),(RawCurrent!Q14-MEDIAN(RawCurrent!Q$7:Q$10))))</f>
        <v>-904.75815010070778</v>
      </c>
      <c r="R14">
        <f>IF(ISBLANK(RawCurrent!R14),"",IF(AVERAGE(RawCurrent!R$7:R$10)&gt;0,(RawCurrent!R14+MEDIAN(RawCurrent!R$7:R$10)),(RawCurrent!R14-MEDIAN(RawCurrent!R$7:R$10))))</f>
        <v>-580.77343082427967</v>
      </c>
      <c r="S14">
        <f>IF(ISBLANK(RawCurrent!S14),"",IF(AVERAGE(RawCurrent!S$7:S$10)&gt;0,(RawCurrent!S14+MEDIAN(RawCurrent!S$7:S$10)),(RawCurrent!S14-MEDIAN(RawCurrent!S$7:S$10))))</f>
        <v>-979.56470489501589</v>
      </c>
      <c r="T14">
        <f>IF(ISBLANK(RawCurrent!T14),"",IF(AVERAGE(RawCurrent!T$7:T$10)&gt;0,(RawCurrent!T14+MEDIAN(RawCurrent!T$7:T$10)),(RawCurrent!T14-MEDIAN(RawCurrent!T$7:T$10))))</f>
        <v>-812.86199188232433</v>
      </c>
      <c r="U14">
        <f>IF(ISBLANK(RawCurrent!U14),"",IF(AVERAGE(RawCurrent!U$7:U$10)&gt;0,(RawCurrent!U14+MEDIAN(RawCurrent!U$7:U$10)),(RawCurrent!U14-MEDIAN(RawCurrent!U$7:U$10))))</f>
        <v>-860.22088623046875</v>
      </c>
      <c r="V14">
        <f>IF(ISBLANK(RawCurrent!V14),"",IF(AVERAGE(RawCurrent!V$7:V$10)&gt;0,(RawCurrent!V14+MEDIAN(RawCurrent!V$7:V$10)),(RawCurrent!V14-MEDIAN(RawCurrent!V$7:V$10))))</f>
        <v>-464.20829010009686</v>
      </c>
      <c r="W14">
        <f>IF(ISBLANK(RawCurrent!W14),"",IF(AVERAGE(RawCurrent!W$7:W$10)&gt;0,(RawCurrent!W14+MEDIAN(RawCurrent!W$7:W$10)),(RawCurrent!W14-MEDIAN(RawCurrent!W$7:W$10))))</f>
        <v>-396.46031951904303</v>
      </c>
      <c r="X14">
        <f>IF(ISBLANK(RawCurrent!X14),"",IF(AVERAGE(RawCurrent!X$7:X$10)&gt;0,(RawCurrent!X14+MEDIAN(RawCurrent!X$7:X$10)),(RawCurrent!X14-MEDIAN(RawCurrent!X$7:X$10))))</f>
        <v>-559.20209503173794</v>
      </c>
      <c r="Y14">
        <f>IF(ISBLANK(RawCurrent!Y14),"",IF(AVERAGE(RawCurrent!Y$7:Y$10)&gt;0,(RawCurrent!Y14+MEDIAN(RawCurrent!Y$7:Y$10)),(RawCurrent!Y14-MEDIAN(RawCurrent!Y$7:Y$10))))</f>
        <v>-410.58380126953114</v>
      </c>
      <c r="Z14">
        <f>IF(ISBLANK(RawCurrent!Z14),"",IF(AVERAGE(RawCurrent!Z$7:Z$10)&gt;0,(RawCurrent!Z14+MEDIAN(RawCurrent!Z$7:Z$10)),(RawCurrent!Z14-MEDIAN(RawCurrent!Z$7:Z$10))))</f>
        <v>-397.46103811263959</v>
      </c>
      <c r="AA14">
        <f>IF(ISBLANK(RawCurrent!AA14),"",IF(AVERAGE(RawCurrent!AA$7:AA$10)&gt;0,(RawCurrent!AA14+MEDIAN(RawCurrent!AA$7:AA$10)),(RawCurrent!AA14-MEDIAN(RawCurrent!AA$7:AA$10))))</f>
        <v>-397.65417623519886</v>
      </c>
      <c r="AB14">
        <f>IF(ISBLANK(RawCurrent!AB14),"",IF(AVERAGE(RawCurrent!AB$7:AB$10)&gt;0,(RawCurrent!AB14+MEDIAN(RawCurrent!AB$7:AB$10)),(RawCurrent!AB14-MEDIAN(RawCurrent!AB$7:AB$10))))</f>
        <v>-583.1462049484245</v>
      </c>
      <c r="AC14">
        <f>IF(ISBLANK(RawCurrent!AC14),"",IF(AVERAGE(RawCurrent!AC$7:AC$10)&gt;0,(RawCurrent!AC14+MEDIAN(RawCurrent!AC$7:AC$10)),(RawCurrent!AC14-MEDIAN(RawCurrent!AC$7:AC$10))))</f>
        <v>-1432.100061416621</v>
      </c>
      <c r="AD14">
        <f>IF(ISBLANK(RawCurrent!AD14),"",IF(AVERAGE(RawCurrent!AD$7:AD$10)&gt;0,(RawCurrent!AD14+MEDIAN(RawCurrent!AD$7:AD$10)),(RawCurrent!AD14-MEDIAN(RawCurrent!AD$7:AD$10))))</f>
        <v>-70.413398742675398</v>
      </c>
      <c r="AE14">
        <f>IF(ISBLANK(RawCurrent!AE14),"",IF(AVERAGE(RawCurrent!AE$7:AE$10)&gt;0,(RawCurrent!AE14+MEDIAN(RawCurrent!AE$7:AE$10)),(RawCurrent!AE14-MEDIAN(RawCurrent!AE$7:AE$10))))</f>
        <v>-283.2413873672478</v>
      </c>
      <c r="AF14">
        <f>IF(ISBLANK(RawCurrent!AF14),"",IF(AVERAGE(RawCurrent!AF$7:AF$10)&gt;0,(RawCurrent!AF14+MEDIAN(RawCurrent!AF$7:AF$10)),(RawCurrent!AF14-MEDIAN(RawCurrent!AF$7:AF$10))))</f>
        <v>-449.36873149871752</v>
      </c>
      <c r="AG14">
        <f>IF(ISBLANK(RawCurrent!AG14),"",IF(AVERAGE(RawCurrent!AG$7:AG$10)&gt;0,(RawCurrent!AG14+MEDIAN(RawCurrent!AG$7:AG$10)),(RawCurrent!AG14-MEDIAN(RawCurrent!AG$7:AG$10))))</f>
        <v>-421.50158309936518</v>
      </c>
      <c r="AH14">
        <f>IF(ISBLANK(RawCurrent!AH14),"",IF(AVERAGE(RawCurrent!AH$7:AH$10)&gt;0,(RawCurrent!AH14+MEDIAN(RawCurrent!AH$7:AH$10)),(RawCurrent!AH14-MEDIAN(RawCurrent!AH$7:AH$10))))</f>
        <v>-354.13315963745077</v>
      </c>
      <c r="AI14">
        <f>IF(ISBLANK(RawCurrent!AI14),"",IF(AVERAGE(RawCurrent!AI$7:AI$10)&gt;0,(RawCurrent!AI14+MEDIAN(RawCurrent!AI$7:AI$10)),(RawCurrent!AI14-MEDIAN(RawCurrent!AI$7:AI$10))))</f>
        <v>-302.63215637206952</v>
      </c>
      <c r="AJ14">
        <f>IF(ISBLANK(RawCurrent!AJ14),"",IF(AVERAGE(RawCurrent!AJ$7:AJ$10)&gt;0,(RawCurrent!AJ14+MEDIAN(RawCurrent!AJ$7:AJ$10)),(RawCurrent!AJ14-MEDIAN(RawCurrent!AJ$7:AJ$10))))</f>
        <v>-307.18643760681084</v>
      </c>
      <c r="AK14">
        <f>IF(ISBLANK(RawCurrent!AK14),"",IF(AVERAGE(RawCurrent!AK$7:AK$10)&gt;0,(RawCurrent!AK14+MEDIAN(RawCurrent!AK$7:AK$10)),(RawCurrent!AK14-MEDIAN(RawCurrent!AK$7:AK$10))))</f>
        <v>-382.23294067382739</v>
      </c>
      <c r="AL14">
        <f>IF(ISBLANK(RawCurrent!AL14),"",IF(AVERAGE(RawCurrent!AL$7:AL$10)&gt;0,(RawCurrent!AL14+MEDIAN(RawCurrent!AL$7:AL$10)),(RawCurrent!AL14-MEDIAN(RawCurrent!AL$7:AL$10))))</f>
        <v>-121.01999282836869</v>
      </c>
      <c r="AM14">
        <f>IF(ISBLANK(RawCurrent!AM14),"",IF(AVERAGE(RawCurrent!AM$7:AM$10)&gt;0,(RawCurrent!AM14+MEDIAN(RawCurrent!AM$7:AM$10)),(RawCurrent!AM14-MEDIAN(RawCurrent!AM$7:AM$10))))</f>
        <v>-213.43127059936481</v>
      </c>
      <c r="AN14">
        <f>IF(ISBLANK(RawCurrent!AN14),"",IF(AVERAGE(RawCurrent!AN$7:AN$10)&gt;0,(RawCurrent!AN14+MEDIAN(RawCurrent!AN$7:AN$10)),(RawCurrent!AN14-MEDIAN(RawCurrent!AN$7:AN$10))))</f>
        <v>-346.30000305175793</v>
      </c>
      <c r="AO14">
        <f>IF(ISBLANK(RawCurrent!AO14),"",IF(AVERAGE(RawCurrent!AO$7:AO$10)&gt;0,(RawCurrent!AO14+MEDIAN(RawCurrent!AO$7:AO$10)),(RawCurrent!AO14-MEDIAN(RawCurrent!AO$7:AO$10))))</f>
        <v>-197.12295913696229</v>
      </c>
      <c r="AP14">
        <f>IF(ISBLANK(RawCurrent!AP14),"",IF(AVERAGE(RawCurrent!AP$7:AP$10)&gt;0,(RawCurrent!AP14+MEDIAN(RawCurrent!AP$7:AP$10)),(RawCurrent!AP14-MEDIAN(RawCurrent!AP$7:AP$10))))</f>
        <v>-89.483722686766995</v>
      </c>
      <c r="AQ14">
        <f>IF(ISBLANK(RawCurrent!AQ14),"",IF(AVERAGE(RawCurrent!AQ$7:AQ$10)&gt;0,(RawCurrent!AQ14+MEDIAN(RawCurrent!AQ$7:AQ$10)),(RawCurrent!AQ14-MEDIAN(RawCurrent!AQ$7:AQ$10))))</f>
        <v>-114.92238807678135</v>
      </c>
      <c r="AR14">
        <f>IF(ISBLANK(RawCurrent!AR14),"",IF(AVERAGE(RawCurrent!AR$7:AR$10)&gt;0,(RawCurrent!AR14+MEDIAN(RawCurrent!AR$7:AR$10)),(RawCurrent!AR14-MEDIAN(RawCurrent!AR$7:AR$10))))</f>
        <v>-76.68926382064825</v>
      </c>
      <c r="AS14">
        <f>IF(ISBLANK(RawCurrent!AS14),"",IF(AVERAGE(RawCurrent!AS$7:AS$10)&gt;0,(RawCurrent!AS14+MEDIAN(RawCurrent!AS$7:AS$10)),(RawCurrent!AS14-MEDIAN(RawCurrent!AS$7:AS$10))))</f>
        <v>-138.73342227935777</v>
      </c>
      <c r="AT14">
        <f>IF(ISBLANK(RawCurrent!AT14),"",IF(AVERAGE(RawCurrent!AT$7:AT$10)&gt;0,(RawCurrent!AT14+MEDIAN(RawCurrent!AT$7:AT$10)),(RawCurrent!AT14-MEDIAN(RawCurrent!AT$7:AT$10))))</f>
        <v>-145.98073832193964</v>
      </c>
      <c r="AU14">
        <f>IF(ISBLANK(RawCurrent!AU14),"",IF(AVERAGE(RawCurrent!AU$7:AU$10)&gt;0,(RawCurrent!AU14+MEDIAN(RawCurrent!AU$7:AU$10)),(RawCurrent!AU14-MEDIAN(RawCurrent!AU$7:AU$10))))</f>
        <v>-389.41547012329073</v>
      </c>
      <c r="AV14">
        <f>IF(ISBLANK(RawCurrent!AV14),"",IF(AVERAGE(RawCurrent!AV$7:AV$10)&gt;0,(RawCurrent!AV14+MEDIAN(RawCurrent!AV$7:AV$10)),(RawCurrent!AV14-MEDIAN(RawCurrent!AV$7:AV$10))))</f>
        <v>-90.985259056091209</v>
      </c>
      <c r="AW14">
        <f>IF(ISBLANK(RawCurrent!AW14),"",IF(AVERAGE(RawCurrent!AW$7:AW$10)&gt;0,(RawCurrent!AW14+MEDIAN(RawCurrent!AW$7:AW$10)),(RawCurrent!AW14-MEDIAN(RawCurrent!AW$7:AW$10))))</f>
        <v>-612.24951171875</v>
      </c>
      <c r="AX14">
        <f>IF(ISBLANK(RawCurrent!AX14),"",IF(AVERAGE(RawCurrent!AX$7:AX$10)&gt;0,(RawCurrent!AX14+MEDIAN(RawCurrent!AX$7:AX$10)),(RawCurrent!AX14-MEDIAN(RawCurrent!AX$7:AX$10))))</f>
        <v>-1620.7834091186523</v>
      </c>
      <c r="AY14">
        <f>IF(ISBLANK(RawCurrent!AY14),"",IF(AVERAGE(RawCurrent!AY$7:AY$10)&gt;0,(RawCurrent!AY14+MEDIAN(RawCurrent!AY$7:AY$10)),(RawCurrent!AY14-MEDIAN(RawCurrent!AY$7:AY$10))))</f>
        <v>-1094.6903168360343</v>
      </c>
      <c r="AZ14">
        <f>IF(ISBLANK(RawCurrent!AZ14),"",IF(AVERAGE(RawCurrent!AZ$7:AZ$10)&gt;0,(RawCurrent!AZ14+MEDIAN(RawCurrent!AZ$7:AZ$10)),(RawCurrent!AZ14-MEDIAN(RawCurrent!AZ$7:AZ$10))))</f>
        <v>-393.90608596801724</v>
      </c>
      <c r="BA14">
        <f>IF(ISBLANK(RawCurrent!BA14),"",IF(AVERAGE(RawCurrent!BA$7:BA$10)&gt;0,(RawCurrent!BA14+MEDIAN(RawCurrent!BA$7:BA$10)),(RawCurrent!BA14-MEDIAN(RawCurrent!BA$7:BA$10))))</f>
        <v>-371.54617627461676</v>
      </c>
      <c r="BB14">
        <v>-135.20973205566401</v>
      </c>
      <c r="BC14">
        <f>IF(ISBLANK(RawCurrent!BC14),"",IF(AVERAGE(RawCurrent!BC$7:BC$10)&gt;0,(RawCurrent!BC14+MEDIAN(RawCurrent!BC$7:BC$10)),(RawCurrent!BC14-MEDIAN(RawCurrent!BC$7:BC$10))))</f>
        <v>-357.14519882202092</v>
      </c>
      <c r="BD14">
        <f>IF(ISBLANK(RawCurrent!BD14),"",IF(AVERAGE(RawCurrent!BD$7:BD$10)&gt;0,(RawCurrent!BD14+MEDIAN(RawCurrent!BD$7:BD$10)),(RawCurrent!BD14-MEDIAN(RawCurrent!BD$7:BD$10))))</f>
        <v>-245.53352546691815</v>
      </c>
      <c r="BE14">
        <f>IF(ISBLANK(RawCurrent!BE14),"",IF(AVERAGE(RawCurrent!BE$7:BE$10)&gt;0,(RawCurrent!BE14+MEDIAN(RawCurrent!BE$7:BE$10)),(RawCurrent!BE14-MEDIAN(RawCurrent!BE$7:BE$10))))</f>
        <v>-256.36485290527321</v>
      </c>
      <c r="BF14">
        <f>IF(ISBLANK(RawCurrent!BF14),"",IF(AVERAGE(RawCurrent!BF$7:BF$10)&gt;0,(RawCurrent!BF14+MEDIAN(RawCurrent!BF$7:BF$10)),(RawCurrent!BF14-MEDIAN(RawCurrent!BF$7:BF$10))))</f>
        <v>-97.844135284423857</v>
      </c>
      <c r="BG14">
        <f>IF(ISBLANK(RawCurrent!BG14),"",IF(AVERAGE(RawCurrent!BG$7:BG$10)&gt;0,(RawCurrent!BG14+MEDIAN(RawCurrent!BG$7:BG$10)),(RawCurrent!BG14-MEDIAN(RawCurrent!BG$7:BG$10))))</f>
        <v>-295.45358848571698</v>
      </c>
      <c r="BH14">
        <f>IF(ISBLANK(RawCurrent!BH14),"",IF(AVERAGE(RawCurrent!BH$7:BH$10)&gt;0,(RawCurrent!BH14+MEDIAN(RawCurrent!BH$7:BH$10)),(RawCurrent!BH14-MEDIAN(RawCurrent!BH$7:BH$10))))</f>
        <v>-96.493766784667656</v>
      </c>
      <c r="BI14">
        <f>IF(ISBLANK(RawCurrent!BI14),"",IF(AVERAGE(RawCurrent!BI$7:BI$10)&gt;0,(RawCurrent!BI14+MEDIAN(RawCurrent!BI$7:BI$10)),(RawCurrent!BI14-MEDIAN(RawCurrent!BI$7:BI$10))))</f>
        <v>-83.827111244201248</v>
      </c>
      <c r="BJ14">
        <f>IF(ISBLANK(RawCurrent!BJ14),"",IF(AVERAGE(RawCurrent!BJ$7:BJ$10)&gt;0,(RawCurrent!BJ14+MEDIAN(RawCurrent!BJ$7:BJ$10)),(RawCurrent!BJ14-MEDIAN(RawCurrent!BJ$7:BJ$10))))</f>
        <v>-83.190911293029771</v>
      </c>
      <c r="BK14">
        <f>IF(ISBLANK(RawCurrent!BK14),"",IF(AVERAGE(RawCurrent!BK$7:BK$10)&gt;0,(RawCurrent!BK14+MEDIAN(RawCurrent!BK$7:BK$10)),(RawCurrent!BK14-MEDIAN(RawCurrent!BK$7:BK$10))))</f>
        <v>-666.72846675459209</v>
      </c>
      <c r="BL14">
        <f>IF(ISBLANK(RawCurrent!BL14),"",IF(AVERAGE(RawCurrent!BL$7:BL$10)&gt;0,(RawCurrent!BL14+MEDIAN(RawCurrent!BL$7:BL$10)),(RawCurrent!BL14-MEDIAN(RawCurrent!BL$7:BL$10))))</f>
        <v>-391.59697723388587</v>
      </c>
      <c r="BM14">
        <f>IF(ISBLANK(RawCurrent!BM14),"",IF(AVERAGE(RawCurrent!BM$7:BM$10)&gt;0,(RawCurrent!BM14+MEDIAN(RawCurrent!BM$7:BM$10)),(RawCurrent!BM14-MEDIAN(RawCurrent!BM$7:BM$10))))</f>
        <v>-286.29722213745066</v>
      </c>
      <c r="BN14">
        <f>IF(ISBLANK(RawCurrent!BN14),"",IF(AVERAGE(RawCurrent!BN$7:BN$10)&gt;0,(RawCurrent!BN14+MEDIAN(RawCurrent!BN$7:BN$10)),(RawCurrent!BN14-MEDIAN(RawCurrent!BN$7:BN$10))))</f>
        <v>-356.86062240600518</v>
      </c>
      <c r="BO14">
        <f>IF(ISBLANK(RawCurrent!BO14),"",IF(AVERAGE(RawCurrent!BO$7:BO$10)&gt;0,(RawCurrent!BO14+MEDIAN(RawCurrent!BO$7:BO$10)),(RawCurrent!BO14-MEDIAN(RawCurrent!BO$7:BO$10))))</f>
        <v>-380.52985954284617</v>
      </c>
      <c r="BP14">
        <f>IF(ISBLANK(RawCurrent!BP14),"",IF(AVERAGE(RawCurrent!BP$7:BP$10)&gt;0,(RawCurrent!BP14+MEDIAN(RawCurrent!BP$7:BP$10)),(RawCurrent!BP14-MEDIAN(RawCurrent!BP$7:BP$10))))</f>
        <v>-405.63861846923777</v>
      </c>
      <c r="BQ14">
        <f>IF(ISBLANK(RawCurrent!BQ14),"",IF(AVERAGE(RawCurrent!BQ$7:BQ$10)&gt;0,(RawCurrent!BQ14+MEDIAN(RawCurrent!BQ$7:BQ$10)),(RawCurrent!BQ14-MEDIAN(RawCurrent!BQ$7:BQ$10))))</f>
        <v>-257.80864715576178</v>
      </c>
      <c r="BR14">
        <f>IF(ISBLANK(RawCurrent!BR14),"",IF(AVERAGE(RawCurrent!BR$7:BR$10)&gt;0,(RawCurrent!BR14+MEDIAN(RawCurrent!BR$7:BR$10)),(RawCurrent!BR14-MEDIAN(RawCurrent!BR$7:BR$10))))</f>
        <v>-295.96319897969533</v>
      </c>
      <c r="BS14">
        <f>IF(ISBLANK(RawCurrent!BS14),"",IF(AVERAGE(RawCurrent!BS$7:BS$10)&gt;0,(RawCurrent!BS14+MEDIAN(RawCurrent!BS$7:BS$10)),(RawCurrent!BS14-MEDIAN(RawCurrent!BS$7:BS$10))))</f>
        <v>-701.62182235717682</v>
      </c>
      <c r="BT14">
        <f>IF(ISBLANK(RawCurrent!BT14),"",IF(AVERAGE(RawCurrent!BT$7:BT$10)&gt;0,(RawCurrent!BT14+MEDIAN(RawCurrent!BT$7:BT$10)),(RawCurrent!BT14-MEDIAN(RawCurrent!BT$7:BT$10))))</f>
        <v>-194.11566114425608</v>
      </c>
      <c r="BV14">
        <f>IF(ISBLANK(RawCurrent!BV14),"",IF(AVERAGE(RawCurrent!BV$7:BV$10)&gt;0,(RawCurrent!BV14+MEDIAN(RawCurrent!BV$7:BV$10)),(RawCurrent!BV14-MEDIAN(RawCurrent!BV$7:BV$10))))</f>
        <v>-185.44889195760038</v>
      </c>
      <c r="BW14">
        <f>IF(ISBLANK(RawCurrent!BW14),"",IF(AVERAGE(RawCurrent!BW$7:BW$10)&gt;0,(RawCurrent!BW14+MEDIAN(RawCurrent!BW$7:BW$10)),(RawCurrent!BW14-MEDIAN(RawCurrent!BW$7:BW$10))))</f>
        <v>-52.870474338531501</v>
      </c>
      <c r="BX14">
        <f>IF(ISBLANK(RawCurrent!BX14),"",IF(AVERAGE(RawCurrent!BX$7:BX$10)&gt;0,(RawCurrent!BX14+MEDIAN(RawCurrent!BX$7:BX$10)),(RawCurrent!BX14-MEDIAN(RawCurrent!BX$7:BX$10))))</f>
        <v>-199.01450538635183</v>
      </c>
      <c r="BY14">
        <f>IF(ISBLANK(RawCurrent!BY14),"",IF(AVERAGE(RawCurrent!BY$7:BY$10)&gt;0,(RawCurrent!BY14+MEDIAN(RawCurrent!BY$7:BY$10)),(RawCurrent!BY14-MEDIAN(RawCurrent!BY$7:BY$10))))</f>
        <v>-139.90744018554685</v>
      </c>
      <c r="BZ14">
        <f>IF(ISBLANK(RawCurrent!BZ14),"",IF(AVERAGE(RawCurrent!BZ$7:BZ$10)&gt;0,(RawCurrent!BZ14+MEDIAN(RawCurrent!BZ$7:BZ$10)),(RawCurrent!BZ14-MEDIAN(RawCurrent!BZ$7:BZ$10))))</f>
        <v>-59.358093261718786</v>
      </c>
      <c r="CA14">
        <f>IF(ISBLANK(RawCurrent!CA14),"",IF(AVERAGE(RawCurrent!CA$7:CA$10)&gt;0,(RawCurrent!CA14+MEDIAN(RawCurrent!CA$7:CA$10)),(RawCurrent!CA14-MEDIAN(RawCurrent!CA$7:CA$10))))</f>
        <v>-86.66941452026343</v>
      </c>
      <c r="CB14">
        <f>IF(ISBLANK(RawCurrent!CB14),"",IF(AVERAGE(RawCurrent!CB$7:CB$10)&gt;0,(RawCurrent!CB14+MEDIAN(RawCurrent!CB$7:CB$10)),(RawCurrent!CB14-MEDIAN(RawCurrent!CB$7:CB$10))))</f>
        <v>-84.191794713338069</v>
      </c>
      <c r="CC14">
        <f>IF(ISBLANK(RawCurrent!CC14),"",IF(AVERAGE(RawCurrent!CC$7:CC$10)&gt;0,(RawCurrent!CC14+MEDIAN(RawCurrent!CC$7:CC$10)),(RawCurrent!CC14-MEDIAN(RawCurrent!CC$7:CC$10))))</f>
        <v>-86.599109888076455</v>
      </c>
      <c r="CD14">
        <f>IF(ISBLANK(RawCurrent!CD14),"",IF(AVERAGE(RawCurrent!CD$7:CD$10)&gt;0,(RawCurrent!CD14+MEDIAN(RawCurrent!CD$7:CD$10)),(RawCurrent!CD14-MEDIAN(RawCurrent!CD$7:CD$10))))</f>
        <v>-77.148671150207349</v>
      </c>
      <c r="CE14">
        <f t="shared" si="28"/>
        <v>-10</v>
      </c>
      <c r="CF14">
        <f t="shared" si="4"/>
        <v>-951.08643600879896</v>
      </c>
      <c r="CG14">
        <f t="shared" si="5"/>
        <v>153.67344819561166</v>
      </c>
      <c r="CH14">
        <f t="shared" si="6"/>
        <v>-410.30273730414189</v>
      </c>
      <c r="CI14">
        <f t="shared" si="7"/>
        <v>117.86647650587517</v>
      </c>
      <c r="CJ14">
        <f t="shared" si="8"/>
        <v>-258.33523639908117</v>
      </c>
      <c r="CK14">
        <f t="shared" si="9"/>
        <v>43.945976112909882</v>
      </c>
      <c r="CL14">
        <f t="shared" si="10"/>
        <v>-983.7729592852836</v>
      </c>
      <c r="CM14">
        <v>152.35151575005392</v>
      </c>
      <c r="CN14">
        <f t="shared" si="0"/>
        <v>-432.76310540861192</v>
      </c>
      <c r="CO14">
        <v>117.86647650587517</v>
      </c>
      <c r="CP14">
        <f t="shared" si="11"/>
        <v>-271.03981464370207</v>
      </c>
      <c r="CQ14">
        <v>43.945976112909882</v>
      </c>
      <c r="CR14">
        <f>MEDIAN((B14:AQ14,AS14:AU14))</f>
        <v>-464.20829010009686</v>
      </c>
      <c r="CS14">
        <f>_xlfn.QUARTILE.EXC((B14:AQ14,AS14:AU14),3)</f>
        <v>-304.90929698944018</v>
      </c>
      <c r="CT14">
        <f>_xlfn.QUARTILE.EXC((B14:AQ14,AS14:AU14),1)</f>
        <v>-1321.2511825561448</v>
      </c>
      <c r="CU14">
        <f t="shared" si="12"/>
        <v>-275.90922069549509</v>
      </c>
      <c r="CV14">
        <f t="shared" si="13"/>
        <v>-97.506543159484806</v>
      </c>
      <c r="CW14">
        <f t="shared" si="14"/>
        <v>-448.49194240570046</v>
      </c>
      <c r="CX14">
        <f t="shared" si="15"/>
        <v>-199.01450538635183</v>
      </c>
      <c r="CY14">
        <f t="shared" si="16"/>
        <v>-86.599109888076455</v>
      </c>
      <c r="CZ14">
        <f t="shared" si="17"/>
        <v>-380.52985954284617</v>
      </c>
      <c r="DA14">
        <f t="shared" si="18"/>
        <v>-479.86520457267676</v>
      </c>
      <c r="DB14">
        <f t="shared" si="19"/>
        <v>-320.56621146202008</v>
      </c>
      <c r="DC14">
        <f t="shared" si="20"/>
        <v>-1336.9080970287248</v>
      </c>
      <c r="DD14">
        <f t="shared" si="21"/>
        <v>-290.50744795799204</v>
      </c>
      <c r="DE14">
        <f t="shared" si="22"/>
        <v>-112.10477042198173</v>
      </c>
      <c r="DF14">
        <f t="shared" si="23"/>
        <v>-463.0901696681974</v>
      </c>
      <c r="DG14">
        <f t="shared" si="24"/>
        <v>-207.61548447608877</v>
      </c>
      <c r="DH14">
        <f t="shared" si="25"/>
        <v>-95.200088977813408</v>
      </c>
      <c r="DI14">
        <f t="shared" si="26"/>
        <v>-389.13083863258311</v>
      </c>
    </row>
    <row r="15" spans="1:113" x14ac:dyDescent="0.2">
      <c r="A15" s="3">
        <f t="shared" si="27"/>
        <v>0</v>
      </c>
      <c r="B15">
        <f>IF(ISBLANK(RawCurrent!B15),"",IF(AVERAGE(RawCurrent!B$7:B$10)&gt;0,(RawCurrent!B15+MEDIAN(RawCurrent!B$7:B$10)),(RawCurrent!B15-MEDIAN(RawCurrent!B$7:B$10))))</f>
        <v>-6672.5946273803711</v>
      </c>
      <c r="C15">
        <f>IF(ISBLANK(RawCurrent!C15),"",IF(AVERAGE(RawCurrent!C$7:C$10)&gt;0,(RawCurrent!C15+MEDIAN(RawCurrent!C$7:C$10)),(RawCurrent!C15-MEDIAN(RawCurrent!C$7:C$10))))</f>
        <v>-1006.2478199005052</v>
      </c>
      <c r="D15">
        <f>IF(ISBLANK(RawCurrent!D15),"",IF(AVERAGE(RawCurrent!D$7:D$10)&gt;0,(RawCurrent!D15+MEDIAN(RawCurrent!D$7:D$10)),(RawCurrent!D15-MEDIAN(RawCurrent!D$7:D$10))))</f>
        <v>-2730.4457397460942</v>
      </c>
      <c r="E15">
        <f>IF(ISBLANK(RawCurrent!E15),"",IF(AVERAGE(RawCurrent!E$7:E$10)&gt;0,(RawCurrent!E15+MEDIAN(RawCurrent!E$7:E$10)),(RawCurrent!E15-MEDIAN(RawCurrent!E$7:E$10))))</f>
        <v>-3836.1209259033153</v>
      </c>
      <c r="F15">
        <f>IF(ISBLANK(RawCurrent!F15),"",IF(AVERAGE(RawCurrent!F$7:F$10)&gt;0,(RawCurrent!F15+MEDIAN(RawCurrent!F$7:F$10)),(RawCurrent!F15-MEDIAN(RawCurrent!F$7:F$10))))</f>
        <v>-3034.9075469970653</v>
      </c>
      <c r="G15">
        <f>IF(ISBLANK(RawCurrent!G15),"",IF(AVERAGE(RawCurrent!G$7:G$10)&gt;0,(RawCurrent!G15+MEDIAN(RawCurrent!G$7:G$10)),(RawCurrent!G15-MEDIAN(RawCurrent!G$7:G$10))))</f>
        <v>-1806.7752990722631</v>
      </c>
      <c r="H15">
        <f>IF(ISBLANK(RawCurrent!H15),"",IF(AVERAGE(RawCurrent!H$7:H$10)&gt;0,(RawCurrent!H15+MEDIAN(RawCurrent!H$7:H$10)),(RawCurrent!H15-MEDIAN(RawCurrent!H$7:H$10))))</f>
        <v>-1802.5537872314453</v>
      </c>
      <c r="I15">
        <f>IF(ISBLANK(RawCurrent!I15),"",IF(AVERAGE(RawCurrent!I$7:I$10)&gt;0,(RawCurrent!I15+MEDIAN(RawCurrent!I$7:I$10)),(RawCurrent!I15-MEDIAN(RawCurrent!I$7:I$10))))</f>
        <v>-1778.1154537200878</v>
      </c>
      <c r="J15">
        <f>IF(ISBLANK(RawCurrent!J15),"",IF(AVERAGE(RawCurrent!J$7:J$10)&gt;0,(RawCurrent!J15+MEDIAN(RawCurrent!J$7:J$10)),(RawCurrent!J15-MEDIAN(RawCurrent!J$7:J$10))))</f>
        <v>-1883.0751991271948</v>
      </c>
      <c r="K15">
        <f>IF(ISBLANK(RawCurrent!K15),"",IF(AVERAGE(RawCurrent!K$7:K$10)&gt;0,(RawCurrent!K15+MEDIAN(RawCurrent!K$7:K$10)),(RawCurrent!K15-MEDIAN(RawCurrent!K$7:K$10))))</f>
        <v>-3599.0689734518478</v>
      </c>
      <c r="L15">
        <f>IF(ISBLANK(RawCurrent!L15),"",IF(AVERAGE(RawCurrent!L$7:L$10)&gt;0,(RawCurrent!L15+MEDIAN(RawCurrent!L$7:L$10)),(RawCurrent!L15-MEDIAN(RawCurrent!L$7:L$10))))</f>
        <v>-992.83051300048339</v>
      </c>
      <c r="M15">
        <f>IF(ISBLANK(RawCurrent!M15),"",IF(AVERAGE(RawCurrent!M$7:M$10)&gt;0,(RawCurrent!M15+MEDIAN(RawCurrent!M$7:M$10)),(RawCurrent!M15-MEDIAN(RawCurrent!M$7:M$10))))</f>
        <v>-2584.8878936767528</v>
      </c>
      <c r="N15">
        <f>IF(ISBLANK(RawCurrent!N15),"",IF(AVERAGE(RawCurrent!N$7:N$10)&gt;0,(RawCurrent!N15+MEDIAN(RawCurrent!N$7:N$10)),(RawCurrent!N15-MEDIAN(RawCurrent!N$7:N$10))))</f>
        <v>-1459.5425720214844</v>
      </c>
      <c r="O15">
        <f>IF(ISBLANK(RawCurrent!O15),"",IF(AVERAGE(RawCurrent!O$7:O$10)&gt;0,(RawCurrent!O15+MEDIAN(RawCurrent!O$7:O$10)),(RawCurrent!O15-MEDIAN(RawCurrent!O$7:O$10))))</f>
        <v>-1439.1617851257249</v>
      </c>
      <c r="P15">
        <f>IF(ISBLANK(RawCurrent!P15),"",IF(AVERAGE(RawCurrent!P$7:P$10)&gt;0,(RawCurrent!P15+MEDIAN(RawCurrent!P$7:P$10)),(RawCurrent!P15-MEDIAN(RawCurrent!P$7:P$10))))</f>
        <v>-797.44607543945267</v>
      </c>
      <c r="Q15">
        <f>IF(ISBLANK(RawCurrent!Q15),"",IF(AVERAGE(RawCurrent!Q$7:Q$10)&gt;0,(RawCurrent!Q15+MEDIAN(RawCurrent!Q$7:Q$10)),(RawCurrent!Q15-MEDIAN(RawCurrent!Q$7:Q$10))))</f>
        <v>-1336.6058673858568</v>
      </c>
      <c r="R15">
        <f>IF(ISBLANK(RawCurrent!R15),"",IF(AVERAGE(RawCurrent!R$7:R$10)&gt;0,(RawCurrent!R15+MEDIAN(RawCurrent!R$7:R$10)),(RawCurrent!R15-MEDIAN(RawCurrent!R$7:R$10))))</f>
        <v>-1096.6569147109985</v>
      </c>
      <c r="S15">
        <f>IF(ISBLANK(RawCurrent!S15),"",IF(AVERAGE(RawCurrent!S$7:S$10)&gt;0,(RawCurrent!S15+MEDIAN(RawCurrent!S$7:S$10)),(RawCurrent!S15-MEDIAN(RawCurrent!S$7:S$10))))</f>
        <v>-1009.8838577270459</v>
      </c>
      <c r="T15">
        <f>IF(ISBLANK(RawCurrent!T15),"",IF(AVERAGE(RawCurrent!T$7:T$10)&gt;0,(RawCurrent!T15+MEDIAN(RawCurrent!T$7:T$10)),(RawCurrent!T15-MEDIAN(RawCurrent!T$7:T$10))))</f>
        <v>-860.89824676513638</v>
      </c>
      <c r="U15">
        <f>IF(ISBLANK(RawCurrent!U15),"",IF(AVERAGE(RawCurrent!U$7:U$10)&gt;0,(RawCurrent!U15+MEDIAN(RawCurrent!U$7:U$10)),(RawCurrent!U15-MEDIAN(RawCurrent!U$7:U$10))))</f>
        <v>-1003.8140869140537</v>
      </c>
      <c r="V15">
        <f>IF(ISBLANK(RawCurrent!V15),"",IF(AVERAGE(RawCurrent!V$7:V$10)&gt;0,(RawCurrent!V15+MEDIAN(RawCurrent!V$7:V$10)),(RawCurrent!V15-MEDIAN(RawCurrent!V$7:V$10))))</f>
        <v>-659.17206573486294</v>
      </c>
      <c r="W15">
        <f>IF(ISBLANK(RawCurrent!W15),"",IF(AVERAGE(RawCurrent!W$7:W$10)&gt;0,(RawCurrent!W15+MEDIAN(RawCurrent!W$7:W$10)),(RawCurrent!W15-MEDIAN(RawCurrent!W$7:W$10))))</f>
        <v>-722.78533172607399</v>
      </c>
      <c r="X15">
        <f>IF(ISBLANK(RawCurrent!X15),"",IF(AVERAGE(RawCurrent!X$7:X$10)&gt;0,(RawCurrent!X15+MEDIAN(RawCurrent!X$7:X$10)),(RawCurrent!X15-MEDIAN(RawCurrent!X$7:X$10))))</f>
        <v>-790.06787872314385</v>
      </c>
      <c r="Y15">
        <f>IF(ISBLANK(RawCurrent!Y15),"",IF(AVERAGE(RawCurrent!Y$7:Y$10)&gt;0,(RawCurrent!Y15+MEDIAN(RawCurrent!Y$7:Y$10)),(RawCurrent!Y15-MEDIAN(RawCurrent!Y$7:Y$10))))</f>
        <v>-664.52822875976517</v>
      </c>
      <c r="Z15">
        <f>IF(ISBLANK(RawCurrent!Z15),"",IF(AVERAGE(RawCurrent!Z$7:Z$10)&gt;0,(RawCurrent!Z15+MEDIAN(RawCurrent!Z$7:Z$10)),(RawCurrent!Z15-MEDIAN(RawCurrent!Z$7:Z$10))))</f>
        <v>-580.65476369857765</v>
      </c>
      <c r="AA15">
        <f>IF(ISBLANK(RawCurrent!AA15),"",IF(AVERAGE(RawCurrent!AA$7:AA$10)&gt;0,(RawCurrent!AA15+MEDIAN(RawCurrent!AA$7:AA$10)),(RawCurrent!AA15-MEDIAN(RawCurrent!AA$7:AA$10))))</f>
        <v>-581.08444356918289</v>
      </c>
      <c r="AB15">
        <f>IF(ISBLANK(RawCurrent!AB15),"",IF(AVERAGE(RawCurrent!AB$7:AB$10)&gt;0,(RawCurrent!AB15+MEDIAN(RawCurrent!AB$7:AB$10)),(RawCurrent!AB15-MEDIAN(RawCurrent!AB$7:AB$10))))</f>
        <v>-726.7558240890495</v>
      </c>
      <c r="AC15">
        <f>IF(ISBLANK(RawCurrent!AC15),"",IF(AVERAGE(RawCurrent!AC$7:AC$10)&gt;0,(RawCurrent!AC15+MEDIAN(RawCurrent!AC$7:AC$10)),(RawCurrent!AC15-MEDIAN(RawCurrent!AC$7:AC$10))))</f>
        <v>-1542.825159072871</v>
      </c>
      <c r="AD15">
        <f>IF(ISBLANK(RawCurrent!AD15),"",IF(AVERAGE(RawCurrent!AD$7:AD$10)&gt;0,(RawCurrent!AD15+MEDIAN(RawCurrent!AD$7:AD$10)),(RawCurrent!AD15-MEDIAN(RawCurrent!AD$7:AD$10))))</f>
        <v>-226.40908050537041</v>
      </c>
      <c r="AE15">
        <f>IF(ISBLANK(RawCurrent!AE15),"",IF(AVERAGE(RawCurrent!AE$7:AE$10)&gt;0,(RawCurrent!AE15+MEDIAN(RawCurrent!AE$7:AE$10)),(RawCurrent!AE15-MEDIAN(RawCurrent!AE$7:AE$10))))</f>
        <v>-288.19463443756081</v>
      </c>
      <c r="AF15">
        <f>IF(ISBLANK(RawCurrent!AF15),"",IF(AVERAGE(RawCurrent!AF$7:AF$10)&gt;0,(RawCurrent!AF15+MEDIAN(RawCurrent!AF$7:AF$10)),(RawCurrent!AF15-MEDIAN(RawCurrent!AF$7:AF$10))))</f>
        <v>-602.04060649871747</v>
      </c>
      <c r="AG15">
        <f>IF(ISBLANK(RawCurrent!AG15),"",IF(AVERAGE(RawCurrent!AG$7:AG$10)&gt;0,(RawCurrent!AG15+MEDIAN(RawCurrent!AG$7:AG$10)),(RawCurrent!AG15-MEDIAN(RawCurrent!AG$7:AG$10))))</f>
        <v>-540.80965805053711</v>
      </c>
      <c r="AH15">
        <f>IF(ISBLANK(RawCurrent!AH15),"",IF(AVERAGE(RawCurrent!AH$7:AH$10)&gt;0,(RawCurrent!AH15+MEDIAN(RawCurrent!AH$7:AH$10)),(RawCurrent!AH15-MEDIAN(RawCurrent!AH$7:AH$10))))</f>
        <v>-541.22285079955975</v>
      </c>
      <c r="AI15">
        <f>IF(ISBLANK(RawCurrent!AI15),"",IF(AVERAGE(RawCurrent!AI$7:AI$10)&gt;0,(RawCurrent!AI15+MEDIAN(RawCurrent!AI$7:AI$10)),(RawCurrent!AI15-MEDIAN(RawCurrent!AI$7:AI$10))))</f>
        <v>-462.19129943847651</v>
      </c>
      <c r="AJ15">
        <f>IF(ISBLANK(RawCurrent!AJ15),"",IF(AVERAGE(RawCurrent!AJ$7:AJ$10)&gt;0,(RawCurrent!AJ15+MEDIAN(RawCurrent!AJ$7:AJ$10)),(RawCurrent!AJ15-MEDIAN(RawCurrent!AJ$7:AJ$10))))</f>
        <v>-423.47852134704578</v>
      </c>
      <c r="AK15">
        <f>IF(ISBLANK(RawCurrent!AK15),"",IF(AVERAGE(RawCurrent!AK$7:AK$10)&gt;0,(RawCurrent!AK15+MEDIAN(RawCurrent!AK$7:AK$10)),(RawCurrent!AK15-MEDIAN(RawCurrent!AK$7:AK$10))))</f>
        <v>-452.5173950195304</v>
      </c>
      <c r="AL15">
        <f>IF(ISBLANK(RawCurrent!AL15),"",IF(AVERAGE(RawCurrent!AL$7:AL$10)&gt;0,(RawCurrent!AL15+MEDIAN(RawCurrent!AL$7:AL$10)),(RawCurrent!AL15-MEDIAN(RawCurrent!AL$7:AL$10))))</f>
        <v>-283.4294471740717</v>
      </c>
      <c r="AM15">
        <f>IF(ISBLANK(RawCurrent!AM15),"",IF(AVERAGE(RawCurrent!AM$7:AM$10)&gt;0,(RawCurrent!AM15+MEDIAN(RawCurrent!AM$7:AM$10)),(RawCurrent!AM15-MEDIAN(RawCurrent!AM$7:AM$10))))</f>
        <v>-337.13312911987282</v>
      </c>
      <c r="AN15">
        <f>IF(ISBLANK(RawCurrent!AN15),"",IF(AVERAGE(RawCurrent!AN$7:AN$10)&gt;0,(RawCurrent!AN15+MEDIAN(RawCurrent!AN$7:AN$10)),(RawCurrent!AN15-MEDIAN(RawCurrent!AN$7:AN$10))))</f>
        <v>-487.44337463378895</v>
      </c>
      <c r="AO15">
        <f>IF(ISBLANK(RawCurrent!AO15),"",IF(AVERAGE(RawCurrent!AO$7:AO$10)&gt;0,(RawCurrent!AO15+MEDIAN(RawCurrent!AO$7:AO$10)),(RawCurrent!AO15-MEDIAN(RawCurrent!AO$7:AO$10))))</f>
        <v>-254.09967422485332</v>
      </c>
      <c r="AP15">
        <f>IF(ISBLANK(RawCurrent!AP15),"",IF(AVERAGE(RawCurrent!AP$7:AP$10)&gt;0,(RawCurrent!AP15+MEDIAN(RawCurrent!AP$7:AP$10)),(RawCurrent!AP15-MEDIAN(RawCurrent!AP$7:AP$10))))</f>
        <v>-174.689746856689</v>
      </c>
      <c r="AQ15">
        <f>IF(ISBLANK(RawCurrent!AQ15),"",IF(AVERAGE(RawCurrent!AQ$7:AQ$10)&gt;0,(RawCurrent!AQ15+MEDIAN(RawCurrent!AQ$7:AQ$10)),(RawCurrent!AQ15-MEDIAN(RawCurrent!AQ$7:AQ$10))))</f>
        <v>-170.41359901428135</v>
      </c>
      <c r="AR15">
        <f>IF(ISBLANK(RawCurrent!AR15),"",IF(AVERAGE(RawCurrent!AR$7:AR$10)&gt;0,(RawCurrent!AR15+MEDIAN(RawCurrent!AR$7:AR$10)),(RawCurrent!AR15-MEDIAN(RawCurrent!AR$7:AR$10))))</f>
        <v>-108.20324087142916</v>
      </c>
      <c r="AS15">
        <f>IF(ISBLANK(RawCurrent!AS15),"",IF(AVERAGE(RawCurrent!AS$7:AS$10)&gt;0,(RawCurrent!AS15+MEDIAN(RawCurrent!AS$7:AS$10)),(RawCurrent!AS15-MEDIAN(RawCurrent!AS$7:AS$10))))</f>
        <v>-190.97538089752175</v>
      </c>
      <c r="AT15">
        <f>IF(ISBLANK(RawCurrent!AT15),"",IF(AVERAGE(RawCurrent!AT$7:AT$10)&gt;0,(RawCurrent!AT15+MEDIAN(RawCurrent!AT$7:AT$10)),(RawCurrent!AT15-MEDIAN(RawCurrent!AT$7:AT$10))))</f>
        <v>-195.27508290608691</v>
      </c>
      <c r="AU15">
        <f>IF(ISBLANK(RawCurrent!AU15),"",IF(AVERAGE(RawCurrent!AU$7:AU$10)&gt;0,(RawCurrent!AU15+MEDIAN(RawCurrent!AU$7:AU$10)),(RawCurrent!AU15-MEDIAN(RawCurrent!AU$7:AU$10))))</f>
        <v>-584.28113937377918</v>
      </c>
      <c r="AV15">
        <f>IF(ISBLANK(RawCurrent!AV15),"",IF(AVERAGE(RawCurrent!AV$7:AV$10)&gt;0,(RawCurrent!AV15+MEDIAN(RawCurrent!AV$7:AV$10)),(RawCurrent!AV15-MEDIAN(RawCurrent!AV$7:AV$10))))</f>
        <v>-157.8260091781614</v>
      </c>
      <c r="AW15">
        <f>IF(ISBLANK(RawCurrent!AW15),"",IF(AVERAGE(RawCurrent!AW$7:AW$10)&gt;0,(RawCurrent!AW15+MEDIAN(RawCurrent!AW$7:AW$10)),(RawCurrent!AW15-MEDIAN(RawCurrent!AW$7:AW$10))))</f>
        <v>-1015.29602050781</v>
      </c>
      <c r="AX15">
        <f>IF(ISBLANK(RawCurrent!AX15),"",IF(AVERAGE(RawCurrent!AX$7:AX$10)&gt;0,(RawCurrent!AX15+MEDIAN(RawCurrent!AX$7:AX$10)),(RawCurrent!AX15-MEDIAN(RawCurrent!AX$7:AX$10))))</f>
        <v>-1875.0113143920823</v>
      </c>
      <c r="AY15">
        <f>IF(ISBLANK(RawCurrent!AY15),"",IF(AVERAGE(RawCurrent!AY$7:AY$10)&gt;0,(RawCurrent!AY15+MEDIAN(RawCurrent!AY$7:AY$10)),(RawCurrent!AY15-MEDIAN(RawCurrent!AY$7:AY$10))))</f>
        <v>-1213.9245697657243</v>
      </c>
      <c r="AZ15">
        <f>IF(ISBLANK(RawCurrent!AZ15),"",IF(AVERAGE(RawCurrent!AZ$7:AZ$10)&gt;0,(RawCurrent!AZ15+MEDIAN(RawCurrent!AZ$7:AZ$10)),(RawCurrent!AZ15-MEDIAN(RawCurrent!AZ$7:AZ$10))))</f>
        <v>-645.25181961059525</v>
      </c>
      <c r="BA15">
        <f>IF(ISBLANK(RawCurrent!BA15),"",IF(AVERAGE(RawCurrent!BA$7:BA$10)&gt;0,(RawCurrent!BA15+MEDIAN(RawCurrent!BA$7:BA$10)),(RawCurrent!BA15-MEDIAN(RawCurrent!BA$7:BA$10))))</f>
        <v>-592.74249585469499</v>
      </c>
      <c r="BB15">
        <v>-223.53677368164</v>
      </c>
      <c r="BC15">
        <f>IF(ISBLANK(RawCurrent!BC15),"",IF(AVERAGE(RawCurrent!BC$7:BC$10)&gt;0,(RawCurrent!BC15+MEDIAN(RawCurrent!BC$7:BC$10)),(RawCurrent!BC15-MEDIAN(RawCurrent!BC$7:BC$10))))</f>
        <v>-422.82152938842694</v>
      </c>
      <c r="BD15">
        <f>IF(ISBLANK(RawCurrent!BD15),"",IF(AVERAGE(RawCurrent!BD$7:BD$10)&gt;0,(RawCurrent!BD15+MEDIAN(RawCurrent!BD$7:BD$10)),(RawCurrent!BD15-MEDIAN(RawCurrent!BD$7:BD$10))))</f>
        <v>-412.57196235656716</v>
      </c>
      <c r="BE15">
        <f>IF(ISBLANK(RawCurrent!BE15),"",IF(AVERAGE(RawCurrent!BE$7:BE$10)&gt;0,(RawCurrent!BE15+MEDIAN(RawCurrent!BE$7:BE$10)),(RawCurrent!BE15-MEDIAN(RawCurrent!BE$7:BE$10))))</f>
        <v>-319.67506408691321</v>
      </c>
      <c r="BF15">
        <f>IF(ISBLANK(RawCurrent!BF15),"",IF(AVERAGE(RawCurrent!BF$7:BF$10)&gt;0,(RawCurrent!BF15+MEDIAN(RawCurrent!BF$7:BF$10)),(RawCurrent!BF15-MEDIAN(RawCurrent!BF$7:BF$10))))</f>
        <v>-173.15131759643486</v>
      </c>
      <c r="BG15">
        <f>IF(ISBLANK(RawCurrent!BG15),"",IF(AVERAGE(RawCurrent!BG$7:BG$10)&gt;0,(RawCurrent!BG15+MEDIAN(RawCurrent!BG$7:BG$10)),(RawCurrent!BG15-MEDIAN(RawCurrent!BG$7:BG$10))))</f>
        <v>-516.20001792907692</v>
      </c>
      <c r="BH15">
        <f>IF(ISBLANK(RawCurrent!BH15),"",IF(AVERAGE(RawCurrent!BH$7:BH$10)&gt;0,(RawCurrent!BH15+MEDIAN(RawCurrent!BH$7:BH$10)),(RawCurrent!BH15-MEDIAN(RawCurrent!BH$7:BH$10))))</f>
        <v>-122.28898620605466</v>
      </c>
      <c r="BI15">
        <f>IF(ISBLANK(RawCurrent!BI15),"",IF(AVERAGE(RawCurrent!BI$7:BI$10)&gt;0,(RawCurrent!BI15+MEDIAN(RawCurrent!BI$7:BI$10)),(RawCurrent!BI15-MEDIAN(RawCurrent!BI$7:BI$10))))</f>
        <v>-141.79703617095925</v>
      </c>
      <c r="BJ15">
        <f>IF(ISBLANK(RawCurrent!BJ15),"",IF(AVERAGE(RawCurrent!BJ$7:BJ$10)&gt;0,(RawCurrent!BJ15+MEDIAN(RawCurrent!BJ$7:BJ$10)),(RawCurrent!BJ15-MEDIAN(RawCurrent!BJ$7:BJ$10))))</f>
        <v>-139.03807163238434</v>
      </c>
      <c r="BK15">
        <f>IF(ISBLANK(RawCurrent!BK15),"",IF(AVERAGE(RawCurrent!BK$7:BK$10)&gt;0,(RawCurrent!BK15+MEDIAN(RawCurrent!BK$7:BK$10)),(RawCurrent!BK15-MEDIAN(RawCurrent!BK$7:BK$10))))</f>
        <v>-1037.7060625581782</v>
      </c>
      <c r="BL15">
        <f>IF(ISBLANK(RawCurrent!BL15),"",IF(AVERAGE(RawCurrent!BL$7:BL$10)&gt;0,(RawCurrent!BL15+MEDIAN(RawCurrent!BL$7:BL$10)),(RawCurrent!BL15-MEDIAN(RawCurrent!BL$7:BL$10))))</f>
        <v>-534.86849212646484</v>
      </c>
      <c r="BM15">
        <f>IF(ISBLANK(RawCurrent!BM15),"",IF(AVERAGE(RawCurrent!BM$7:BM$10)&gt;0,(RawCurrent!BM15+MEDIAN(RawCurrent!BM$7:BM$10)),(RawCurrent!BM15-MEDIAN(RawCurrent!BM$7:BM$10))))</f>
        <v>-393.01978683471668</v>
      </c>
      <c r="BN15">
        <f>IF(ISBLANK(RawCurrent!BN15),"",IF(AVERAGE(RawCurrent!BN$7:BN$10)&gt;0,(RawCurrent!BN15+MEDIAN(RawCurrent!BN$7:BN$10)),(RawCurrent!BN15-MEDIAN(RawCurrent!BN$7:BN$10))))</f>
        <v>-445.42589950561518</v>
      </c>
      <c r="BO15">
        <f>IF(ISBLANK(RawCurrent!BO15),"",IF(AVERAGE(RawCurrent!BO$7:BO$10)&gt;0,(RawCurrent!BO15+MEDIAN(RawCurrent!BO$7:BO$10)),(RawCurrent!BO15-MEDIAN(RawCurrent!BO$7:BO$10))))</f>
        <v>-500.4731578826902</v>
      </c>
      <c r="BP15">
        <f>IF(ISBLANK(RawCurrent!BP15),"",IF(AVERAGE(RawCurrent!BP$7:BP$10)&gt;0,(RawCurrent!BP15+MEDIAN(RawCurrent!BP$7:BP$10)),(RawCurrent!BP15-MEDIAN(RawCurrent!BP$7:BP$10))))</f>
        <v>-482.82196807861277</v>
      </c>
      <c r="BQ15">
        <f>IF(ISBLANK(RawCurrent!BQ15),"",IF(AVERAGE(RawCurrent!BQ$7:BQ$10)&gt;0,(RawCurrent!BQ15+MEDIAN(RawCurrent!BQ$7:BQ$10)),(RawCurrent!BQ15-MEDIAN(RawCurrent!BQ$7:BQ$10))))</f>
        <v>-372.38915252685479</v>
      </c>
      <c r="BR15">
        <f>IF(ISBLANK(RawCurrent!BR15),"",IF(AVERAGE(RawCurrent!BR$7:BR$10)&gt;0,(RawCurrent!BR15+MEDIAN(RawCurrent!BR$7:BR$10)),(RawCurrent!BR15-MEDIAN(RawCurrent!BR$7:BR$10))))</f>
        <v>-429.289482752482</v>
      </c>
      <c r="BS15">
        <f>IF(ISBLANK(RawCurrent!BS15),"",IF(AVERAGE(RawCurrent!BS$7:BS$10)&gt;0,(RawCurrent!BS15+MEDIAN(RawCurrent!BS$7:BS$10)),(RawCurrent!BS15-MEDIAN(RawCurrent!BS$7:BS$10))))</f>
        <v>-764.47317733764521</v>
      </c>
      <c r="BT15">
        <f>IF(ISBLANK(RawCurrent!BT15),"",IF(AVERAGE(RawCurrent!BT$7:BT$10)&gt;0,(RawCurrent!BT15+MEDIAN(RawCurrent!BT$7:BT$10)),(RawCurrent!BT15-MEDIAN(RawCurrent!BT$7:BT$10))))</f>
        <v>-296.86779228846171</v>
      </c>
      <c r="BU15">
        <f>IF(ISBLANK(RawCurrent!BU15),"",IF(AVERAGE(RawCurrent!BU$7:BU$10)&gt;0,(RawCurrent!BU15+MEDIAN(RawCurrent!BU$7:BU$10)),(RawCurrent!BU15-MEDIAN(RawCurrent!BU$7:BU$10))))</f>
        <v>-282.24746704101477</v>
      </c>
      <c r="BV15">
        <f>IF(ISBLANK(RawCurrent!BV15),"",IF(AVERAGE(RawCurrent!BV$7:BV$10)&gt;0,(RawCurrent!BV15+MEDIAN(RawCurrent!BV$7:BV$10)),(RawCurrent!BV15-MEDIAN(RawCurrent!BV$7:BV$10))))</f>
        <v>-241.16549555460574</v>
      </c>
      <c r="BW15">
        <f>IF(ISBLANK(RawCurrent!BW15),"",IF(AVERAGE(RawCurrent!BW$7:BW$10)&gt;0,(RawCurrent!BW15+MEDIAN(RawCurrent!BW$7:BW$10)),(RawCurrent!BW15-MEDIAN(RawCurrent!BW$7:BW$10))))</f>
        <v>-172.4927811622612</v>
      </c>
      <c r="BX15">
        <f>IF(ISBLANK(RawCurrent!BX15),"",IF(AVERAGE(RawCurrent!BX$7:BX$10)&gt;0,(RawCurrent!BX15+MEDIAN(RawCurrent!BX$7:BX$10)),(RawCurrent!BX15-MEDIAN(RawCurrent!BX$7:BX$10))))</f>
        <v>-287.75592253548729</v>
      </c>
      <c r="BY15">
        <f>IF(ISBLANK(RawCurrent!BY15),"",IF(AVERAGE(RawCurrent!BY$7:BY$10)&gt;0,(RawCurrent!BY15+MEDIAN(RawCurrent!BY$7:BY$10)),(RawCurrent!BY15-MEDIAN(RawCurrent!BY$7:BY$10))))</f>
        <v>-211.62132263183585</v>
      </c>
      <c r="BZ15">
        <f>IF(ISBLANK(RawCurrent!BZ15),"",IF(AVERAGE(RawCurrent!BZ$7:BZ$10)&gt;0,(RawCurrent!BZ15+MEDIAN(RawCurrent!BZ$7:BZ$10)),(RawCurrent!BZ15-MEDIAN(RawCurrent!BZ$7:BZ$10))))</f>
        <v>-91.441368103026775</v>
      </c>
      <c r="CA15">
        <f>IF(ISBLANK(RawCurrent!CA15),"",IF(AVERAGE(RawCurrent!CA$7:CA$10)&gt;0,(RawCurrent!CA15+MEDIAN(RawCurrent!CA$7:CA$10)),(RawCurrent!CA15-MEDIAN(RawCurrent!CA$7:CA$10))))</f>
        <v>-140.525917053222</v>
      </c>
      <c r="CB15">
        <f>IF(ISBLANK(RawCurrent!CB15),"",IF(AVERAGE(RawCurrent!CB$7:CB$10)&gt;0,(RawCurrent!CB15+MEDIAN(RawCurrent!CB$7:CB$10)),(RawCurrent!CB15-MEDIAN(RawCurrent!CB$7:CB$10))))</f>
        <v>-103.302207946777</v>
      </c>
      <c r="CC15">
        <f>IF(ISBLANK(RawCurrent!CC15),"",IF(AVERAGE(RawCurrent!CC$7:CC$10)&gt;0,(RawCurrent!CC15+MEDIAN(RawCurrent!CC$7:CC$10)),(RawCurrent!CC15-MEDIAN(RawCurrent!CC$7:CC$10))))</f>
        <v>-125.75424218177761</v>
      </c>
      <c r="CD15">
        <f>IF(ISBLANK(RawCurrent!CD15),"",IF(AVERAGE(RawCurrent!CD$7:CD$10)&gt;0,(RawCurrent!CD15+MEDIAN(RawCurrent!CD$7:CD$10)),(RawCurrent!CD15-MEDIAN(RawCurrent!CD$7:CD$10))))</f>
        <v>-118.97219848632761</v>
      </c>
      <c r="CE15">
        <f t="shared" si="28"/>
        <v>0</v>
      </c>
      <c r="CF15">
        <f t="shared" si="4"/>
        <v>-1182.5358111326325</v>
      </c>
      <c r="CG15">
        <f t="shared" si="5"/>
        <v>183.51928806485537</v>
      </c>
      <c r="CH15">
        <f t="shared" si="6"/>
        <v>-558.09335565566892</v>
      </c>
      <c r="CI15">
        <f t="shared" si="7"/>
        <v>134.23032709643829</v>
      </c>
      <c r="CJ15">
        <f t="shared" si="8"/>
        <v>-351.63069472940288</v>
      </c>
      <c r="CK15">
        <f t="shared" si="9"/>
        <v>53.457349263149112</v>
      </c>
      <c r="CL15">
        <f t="shared" si="10"/>
        <v>-1215.2223344091171</v>
      </c>
      <c r="CM15">
        <v>182.38166413504848</v>
      </c>
      <c r="CN15">
        <f t="shared" si="0"/>
        <v>-580.55372376013895</v>
      </c>
      <c r="CO15">
        <v>134.23032709643829</v>
      </c>
      <c r="CP15">
        <f t="shared" si="11"/>
        <v>-364.33527297402378</v>
      </c>
      <c r="CQ15">
        <v>53.457349263149112</v>
      </c>
      <c r="CR15">
        <f>MEDIAN((B15:AQ15,AS15:AU15))</f>
        <v>-726.7558240890495</v>
      </c>
      <c r="CS15">
        <f>_xlfn.QUARTILE.EXC((B15:AQ15,AS15:AU15),3)</f>
        <v>-457.35434722900345</v>
      </c>
      <c r="CT15">
        <f>_xlfn.QUARTILE.EXC((B15:AQ15,AS15:AU15),1)</f>
        <v>-1501.1838655471777</v>
      </c>
      <c r="CU15">
        <f t="shared" si="12"/>
        <v>-417.69674587249705</v>
      </c>
      <c r="CV15">
        <f t="shared" si="13"/>
        <v>-165.31274724006596</v>
      </c>
      <c r="CW15">
        <f t="shared" si="14"/>
        <v>-737.76286983489899</v>
      </c>
      <c r="CX15">
        <f t="shared" si="15"/>
        <v>-292.31185741197453</v>
      </c>
      <c r="CY15">
        <f t="shared" si="16"/>
        <v>-148.5176330804818</v>
      </c>
      <c r="CZ15">
        <f t="shared" si="17"/>
        <v>-473.47295093536337</v>
      </c>
      <c r="DA15">
        <f t="shared" si="18"/>
        <v>-742.41273856162945</v>
      </c>
      <c r="DB15">
        <f t="shared" si="19"/>
        <v>-473.01126170158335</v>
      </c>
      <c r="DC15">
        <f t="shared" si="20"/>
        <v>-1516.8407800197576</v>
      </c>
      <c r="DD15">
        <f t="shared" si="21"/>
        <v>-432.294973134994</v>
      </c>
      <c r="DE15">
        <f t="shared" si="22"/>
        <v>-179.91097450256288</v>
      </c>
      <c r="DF15">
        <f t="shared" si="23"/>
        <v>-752.36109709739594</v>
      </c>
      <c r="DG15">
        <f t="shared" si="24"/>
        <v>-300.91283650171147</v>
      </c>
      <c r="DH15">
        <f t="shared" si="25"/>
        <v>-157.11861217021874</v>
      </c>
      <c r="DI15">
        <f t="shared" si="26"/>
        <v>-482.07393002510031</v>
      </c>
    </row>
    <row r="16" spans="1:113" x14ac:dyDescent="0.2">
      <c r="A16" s="3">
        <f t="shared" si="27"/>
        <v>10</v>
      </c>
      <c r="B16">
        <f>IF(ISBLANK(RawCurrent!B16),"",IF(AVERAGE(RawCurrent!B$7:B$10)&gt;0,(RawCurrent!B16+MEDIAN(RawCurrent!B$7:B$10)),(RawCurrent!B16-MEDIAN(RawCurrent!B$7:B$10))))</f>
        <v>-6924.9510726928711</v>
      </c>
      <c r="C16">
        <f>IF(ISBLANK(RawCurrent!C16),"",IF(AVERAGE(RawCurrent!C$7:C$10)&gt;0,(RawCurrent!C16+MEDIAN(RawCurrent!C$7:C$10)),(RawCurrent!C16-MEDIAN(RawCurrent!C$7:C$10))))</f>
        <v>-920.23994636535622</v>
      </c>
      <c r="D16">
        <f>IF(ISBLANK(RawCurrent!D16),"",IF(AVERAGE(RawCurrent!D$7:D$10)&gt;0,(RawCurrent!D16+MEDIAN(RawCurrent!D$7:D$10)),(RawCurrent!D16-MEDIAN(RawCurrent!D$7:D$10))))</f>
        <v>-2923.7853393554642</v>
      </c>
      <c r="E16">
        <f>IF(ISBLANK(RawCurrent!E16),"",IF(AVERAGE(RawCurrent!E$7:E$10)&gt;0,(RawCurrent!E16+MEDIAN(RawCurrent!E$7:E$10)),(RawCurrent!E16-MEDIAN(RawCurrent!E$7:E$10))))</f>
        <v>-3570.2747344970653</v>
      </c>
      <c r="F16">
        <f>IF(ISBLANK(RawCurrent!F16),"",IF(AVERAGE(RawCurrent!F$7:F$10)&gt;0,(RawCurrent!F16+MEDIAN(RawCurrent!F$7:F$10)),(RawCurrent!F16-MEDIAN(RawCurrent!F$7:F$10))))</f>
        <v>-3405.8863067626953</v>
      </c>
      <c r="G16">
        <f>IF(ISBLANK(RawCurrent!G16),"",IF(AVERAGE(RawCurrent!G$7:G$10)&gt;0,(RawCurrent!G16+MEDIAN(RawCurrent!G$7:G$10)),(RawCurrent!G16-MEDIAN(RawCurrent!G$7:G$10))))</f>
        <v>-1632.6513977050731</v>
      </c>
      <c r="H16">
        <f>IF(ISBLANK(RawCurrent!H16),"",IF(AVERAGE(RawCurrent!H$7:H$10)&gt;0,(RawCurrent!H16+MEDIAN(RawCurrent!H$7:H$10)),(RawCurrent!H16-MEDIAN(RawCurrent!H$7:H$10))))</f>
        <v>-1998.5293731689453</v>
      </c>
      <c r="I16">
        <f>IF(ISBLANK(RawCurrent!I16),"",IF(AVERAGE(RawCurrent!I$7:I$10)&gt;0,(RawCurrent!I16+MEDIAN(RawCurrent!I$7:I$10)),(RawCurrent!I16-MEDIAN(RawCurrent!I$7:I$10))))</f>
        <v>-1604.2708492278978</v>
      </c>
      <c r="J16">
        <f>IF(ISBLANK(RawCurrent!J16),"",IF(AVERAGE(RawCurrent!J$7:J$10)&gt;0,(RawCurrent!J16+MEDIAN(RawCurrent!J$7:J$10)),(RawCurrent!J16-MEDIAN(RawCurrent!J$7:J$10))))</f>
        <v>-1808.4117469787548</v>
      </c>
      <c r="K16">
        <f>IF(ISBLANK(RawCurrent!K16),"",IF(AVERAGE(RawCurrent!K$7:K$10)&gt;0,(RawCurrent!K16+MEDIAN(RawCurrent!K$7:K$10)),(RawCurrent!K16-MEDIAN(RawCurrent!K$7:K$10))))</f>
        <v>-3697.1543950438499</v>
      </c>
      <c r="L16">
        <f>IF(ISBLANK(RawCurrent!L16),"",IF(AVERAGE(RawCurrent!L$7:L$10)&gt;0,(RawCurrent!L16+MEDIAN(RawCurrent!L$7:L$10)),(RawCurrent!L16-MEDIAN(RawCurrent!L$7:L$10))))</f>
        <v>-1039.5664749145433</v>
      </c>
      <c r="M16">
        <f>IF(ISBLANK(RawCurrent!M16),"",IF(AVERAGE(RawCurrent!M$7:M$10)&gt;0,(RawCurrent!M16+MEDIAN(RawCurrent!M$7:M$10)),(RawCurrent!M16-MEDIAN(RawCurrent!M$7:M$10))))</f>
        <v>-2282.5414581298828</v>
      </c>
      <c r="N16">
        <f>IF(ISBLANK(RawCurrent!N16),"",IF(AVERAGE(RawCurrent!N$7:N$10)&gt;0,(RawCurrent!N16+MEDIAN(RawCurrent!N$7:N$10)),(RawCurrent!N16-MEDIAN(RawCurrent!N$7:N$10))))</f>
        <v>-1364.6189880371044</v>
      </c>
      <c r="O16">
        <f>IF(ISBLANK(RawCurrent!O16),"",IF(AVERAGE(RawCurrent!O$7:O$10)&gt;0,(RawCurrent!O16+MEDIAN(RawCurrent!O$7:O$10)),(RawCurrent!O16-MEDIAN(RawCurrent!O$7:O$10))))</f>
        <v>-1307.2784843444749</v>
      </c>
      <c r="P16">
        <f>IF(ISBLANK(RawCurrent!P16),"",IF(AVERAGE(RawCurrent!P$7:P$10)&gt;0,(RawCurrent!P16+MEDIAN(RawCurrent!P$7:P$10)),(RawCurrent!P16-MEDIAN(RawCurrent!P$7:P$10))))</f>
        <v>-1595.6144104003906</v>
      </c>
      <c r="Q16">
        <f>IF(ISBLANK(RawCurrent!Q16),"",IF(AVERAGE(RawCurrent!Q$7:Q$10)&gt;0,(RawCurrent!Q16+MEDIAN(RawCurrent!Q$7:Q$10)),(RawCurrent!Q16-MEDIAN(RawCurrent!Q$7:Q$10))))</f>
        <v>-1453.2215900421068</v>
      </c>
      <c r="R16">
        <f>IF(ISBLANK(RawCurrent!R16),"",IF(AVERAGE(RawCurrent!R$7:R$10)&gt;0,(RawCurrent!R16+MEDIAN(RawCurrent!R$7:R$10)),(RawCurrent!R16-MEDIAN(RawCurrent!R$7:R$10))))</f>
        <v>-1199.5048151016185</v>
      </c>
      <c r="S16">
        <f>IF(ISBLANK(RawCurrent!S16),"",IF(AVERAGE(RawCurrent!S$7:S$10)&gt;0,(RawCurrent!S16+MEDIAN(RawCurrent!S$7:S$10)),(RawCurrent!S16-MEDIAN(RawCurrent!S$7:S$10))))</f>
        <v>-959.67005157470692</v>
      </c>
      <c r="T16">
        <f>IF(ISBLANK(RawCurrent!T16),"",IF(AVERAGE(RawCurrent!T$7:T$10)&gt;0,(RawCurrent!T16+MEDIAN(RawCurrent!T$7:T$10)),(RawCurrent!T16-MEDIAN(RawCurrent!T$7:T$10))))</f>
        <v>-771.46245574951138</v>
      </c>
      <c r="U16">
        <f>IF(ISBLANK(RawCurrent!U16),"",IF(AVERAGE(RawCurrent!U$7:U$10)&gt;0,(RawCurrent!U16+MEDIAN(RawCurrent!U$7:U$10)),(RawCurrent!U16-MEDIAN(RawCurrent!U$7:U$10))))</f>
        <v>-897.5620727539058</v>
      </c>
      <c r="V16">
        <f>IF(ISBLANK(RawCurrent!V16),"",IF(AVERAGE(RawCurrent!V$7:V$10)&gt;0,(RawCurrent!V16+MEDIAN(RawCurrent!V$7:V$10)),(RawCurrent!V16-MEDIAN(RawCurrent!V$7:V$10))))</f>
        <v>-818.68323516845692</v>
      </c>
      <c r="W16">
        <f>IF(ISBLANK(RawCurrent!W16),"",IF(AVERAGE(RawCurrent!W$7:W$10)&gt;0,(RawCurrent!W16+MEDIAN(RawCurrent!W$7:W$10)),(RawCurrent!W16-MEDIAN(RawCurrent!W$7:W$10))))</f>
        <v>-833.06780242919899</v>
      </c>
      <c r="X16">
        <f>IF(ISBLANK(RawCurrent!X16),"",IF(AVERAGE(RawCurrent!X$7:X$10)&gt;0,(RawCurrent!X16+MEDIAN(RawCurrent!X$7:X$10)),(RawCurrent!X16-MEDIAN(RawCurrent!X$7:X$10))))</f>
        <v>-782.64453887939385</v>
      </c>
      <c r="Y16">
        <f>IF(ISBLANK(RawCurrent!Y16),"",IF(AVERAGE(RawCurrent!Y$7:Y$10)&gt;0,(RawCurrent!Y16+MEDIAN(RawCurrent!Y$7:Y$10)),(RawCurrent!Y16-MEDIAN(RawCurrent!Y$7:Y$10))))</f>
        <v>-830.86013793945312</v>
      </c>
      <c r="Z16">
        <f>IF(ISBLANK(RawCurrent!Z16),"",IF(AVERAGE(RawCurrent!Z$7:Z$10)&gt;0,(RawCurrent!Z16+MEDIAN(RawCurrent!Z$7:Z$10)),(RawCurrent!Z16-MEDIAN(RawCurrent!Z$7:Z$10))))</f>
        <v>-668.10959768295265</v>
      </c>
      <c r="AA16">
        <f>IF(ISBLANK(RawCurrent!AA16),"",IF(AVERAGE(RawCurrent!AA$7:AA$10)&gt;0,(RawCurrent!AA16+MEDIAN(RawCurrent!AA$7:AA$10)),(RawCurrent!AA16-MEDIAN(RawCurrent!AA$7:AA$10))))</f>
        <v>-667.42544698715187</v>
      </c>
      <c r="AB16">
        <f>IF(ISBLANK(RawCurrent!AB16),"",IF(AVERAGE(RawCurrent!AB$7:AB$10)&gt;0,(RawCurrent!AB16+MEDIAN(RawCurrent!AB$7:AB$10)),(RawCurrent!AB16-MEDIAN(RawCurrent!AB$7:AB$10))))</f>
        <v>-695.39315319061257</v>
      </c>
      <c r="AC16">
        <f>IF(ISBLANK(RawCurrent!AC16),"",IF(AVERAGE(RawCurrent!AC$7:AC$10)&gt;0,(RawCurrent!AC16+MEDIAN(RawCurrent!AC$7:AC$10)),(RawCurrent!AC16-MEDIAN(RawCurrent!AC$7:AC$10))))</f>
        <v>-1426.679773330681</v>
      </c>
      <c r="AD16">
        <f>IF(ISBLANK(RawCurrent!AD16),"",IF(AVERAGE(RawCurrent!AD$7:AD$10)&gt;0,(RawCurrent!AD16+MEDIAN(RawCurrent!AD$7:AD$10)),(RawCurrent!AD16-MEDIAN(RawCurrent!AD$7:AD$10))))</f>
        <v>-537.03328704833939</v>
      </c>
      <c r="AE16">
        <f>IF(ISBLANK(RawCurrent!AE16),"",IF(AVERAGE(RawCurrent!AE$7:AE$10)&gt;0,(RawCurrent!AE16+MEDIAN(RawCurrent!AE$7:AE$10)),(RawCurrent!AE16-MEDIAN(RawCurrent!AE$7:AE$10))))</f>
        <v>-539.23186588287274</v>
      </c>
      <c r="AF16">
        <f>IF(ISBLANK(RawCurrent!AF16),"",IF(AVERAGE(RawCurrent!AF$7:AF$10)&gt;0,(RawCurrent!AF16+MEDIAN(RawCurrent!AF$7:AF$10)),(RawCurrent!AF16-MEDIAN(RawCurrent!AF$7:AF$10))))</f>
        <v>-620.73915386199951</v>
      </c>
      <c r="AG16">
        <f>IF(ISBLANK(RawCurrent!AG16),"",IF(AVERAGE(RawCurrent!AG$7:AG$10)&gt;0,(RawCurrent!AG16+MEDIAN(RawCurrent!AG$7:AG$10)),(RawCurrent!AG16-MEDIAN(RawCurrent!AG$7:AG$10))))</f>
        <v>-565.63851547241211</v>
      </c>
      <c r="AH16">
        <f>IF(ISBLANK(RawCurrent!AH16),"",IF(AVERAGE(RawCurrent!AH$7:AH$10)&gt;0,(RawCurrent!AH16+MEDIAN(RawCurrent!AH$7:AH$10)),(RawCurrent!AH16-MEDIAN(RawCurrent!AH$7:AH$10))))</f>
        <v>-636.00532150268475</v>
      </c>
      <c r="AI16">
        <f>IF(ISBLANK(RawCurrent!AI16),"",IF(AVERAGE(RawCurrent!AI$7:AI$10)&gt;0,(RawCurrent!AI16+MEDIAN(RawCurrent!AI$7:AI$10)),(RawCurrent!AI16-MEDIAN(RawCurrent!AI$7:AI$10))))</f>
        <v>-474.47880554199151</v>
      </c>
      <c r="AJ16">
        <f>IF(ISBLANK(RawCurrent!AJ16),"",IF(AVERAGE(RawCurrent!AJ$7:AJ$10)&gt;0,(RawCurrent!AJ16+MEDIAN(RawCurrent!AJ$7:AJ$10)),(RawCurrent!AJ16-MEDIAN(RawCurrent!AJ$7:AJ$10))))</f>
        <v>-487.52438926696777</v>
      </c>
      <c r="AK16">
        <f>IF(ISBLANK(RawCurrent!AK16),"",IF(AVERAGE(RawCurrent!AK$7:AK$10)&gt;0,(RawCurrent!AK16+MEDIAN(RawCurrent!AK$7:AK$10)),(RawCurrent!AK16-MEDIAN(RawCurrent!AK$7:AK$10))))</f>
        <v>-437.93792724609335</v>
      </c>
      <c r="AL16">
        <f>IF(ISBLANK(RawCurrent!AL16),"",IF(AVERAGE(RawCurrent!AL$7:AL$10)&gt;0,(RawCurrent!AL16+MEDIAN(RawCurrent!AL$7:AL$10)),(RawCurrent!AL16-MEDIAN(RawCurrent!AL$7:AL$10))))</f>
        <v>-368.4895973205567</v>
      </c>
      <c r="AM16">
        <f>IF(ISBLANK(RawCurrent!AM16),"",IF(AVERAGE(RawCurrent!AM$7:AM$10)&gt;0,(RawCurrent!AM16+MEDIAN(RawCurrent!AM$7:AM$10)),(RawCurrent!AM16-MEDIAN(RawCurrent!AM$7:AM$10))))</f>
        <v>-351.52558517455981</v>
      </c>
      <c r="AN16">
        <f>IF(ISBLANK(RawCurrent!AN16),"",IF(AVERAGE(RawCurrent!AN$7:AN$10)&gt;0,(RawCurrent!AN16+MEDIAN(RawCurrent!AN$7:AN$10)),(RawCurrent!AN16-MEDIAN(RawCurrent!AN$7:AN$10))))</f>
        <v>-485.06825256347594</v>
      </c>
      <c r="AO16">
        <f>IF(ISBLANK(RawCurrent!AO16),"",IF(AVERAGE(RawCurrent!AO$7:AO$10)&gt;0,(RawCurrent!AO16+MEDIAN(RawCurrent!AO$7:AO$10)),(RawCurrent!AO16-MEDIAN(RawCurrent!AO$7:AO$10))))</f>
        <v>-269.77435684204033</v>
      </c>
      <c r="AP16">
        <f>IF(ISBLANK(RawCurrent!AP16),"",IF(AVERAGE(RawCurrent!AP$7:AP$10)&gt;0,(RawCurrent!AP16+MEDIAN(RawCurrent!AP$7:AP$10)),(RawCurrent!AP16-MEDIAN(RawCurrent!AP$7:AP$10))))</f>
        <v>-188.592426300048</v>
      </c>
      <c r="AQ16">
        <f>IF(ISBLANK(RawCurrent!AQ16),"",IF(AVERAGE(RawCurrent!AQ$7:AQ$10)&gt;0,(RawCurrent!AQ16+MEDIAN(RawCurrent!AQ$7:AQ$10)),(RawCurrent!AQ16-MEDIAN(RawCurrent!AQ$7:AQ$10))))</f>
        <v>-181.95412635803135</v>
      </c>
      <c r="AR16">
        <f>IF(ISBLANK(RawCurrent!AR16),"",IF(AVERAGE(RawCurrent!AR$7:AR$10)&gt;0,(RawCurrent!AR16+MEDIAN(RawCurrent!AR$7:AR$10)),(RawCurrent!AR16-MEDIAN(RawCurrent!AR$7:AR$10))))</f>
        <v>-123.49112844467115</v>
      </c>
      <c r="AS16">
        <f>IF(ISBLANK(RawCurrent!AS16),"",IF(AVERAGE(RawCurrent!AS$7:AS$10)&gt;0,(RawCurrent!AS16+MEDIAN(RawCurrent!AS$7:AS$10)),(RawCurrent!AS16-MEDIAN(RawCurrent!AS$7:AS$10))))</f>
        <v>-206.43413639068575</v>
      </c>
      <c r="AT16">
        <f>IF(ISBLANK(RawCurrent!AT16),"",IF(AVERAGE(RawCurrent!AT$7:AT$10)&gt;0,(RawCurrent!AT16+MEDIAN(RawCurrent!AT$7:AT$10)),(RawCurrent!AT16-MEDIAN(RawCurrent!AT$7:AT$10))))</f>
        <v>-262.35058339436773</v>
      </c>
      <c r="AU16">
        <f>IF(ISBLANK(RawCurrent!AU16),"",IF(AVERAGE(RawCurrent!AU$7:AU$10)&gt;0,(RawCurrent!AU16+MEDIAN(RawCurrent!AU$7:AU$10)),(RawCurrent!AU16-MEDIAN(RawCurrent!AU$7:AU$10))))</f>
        <v>-692.47257614135719</v>
      </c>
      <c r="AV16">
        <f>IF(ISBLANK(RawCurrent!AV16),"",IF(AVERAGE(RawCurrent!AV$7:AV$10)&gt;0,(RawCurrent!AV16+MEDIAN(RawCurrent!AV$7:AV$10)),(RawCurrent!AV16-MEDIAN(RawCurrent!AV$7:AV$10))))</f>
        <v>-185.67026576995821</v>
      </c>
      <c r="AW16">
        <f>IF(ISBLANK(RawCurrent!AW16),"",IF(AVERAGE(RawCurrent!AW$7:AW$10)&gt;0,(RawCurrent!AW16+MEDIAN(RawCurrent!AW$7:AW$10)),(RawCurrent!AW16-MEDIAN(RawCurrent!AW$7:AW$10))))</f>
        <v>-1201.96765136718</v>
      </c>
      <c r="AX16">
        <f>IF(ISBLANK(RawCurrent!AX16),"",IF(AVERAGE(RawCurrent!AX$7:AX$10)&gt;0,(RawCurrent!AX16+MEDIAN(RawCurrent!AX$7:AX$10)),(RawCurrent!AX16-MEDIAN(RawCurrent!AX$7:AX$10))))</f>
        <v>-1868.5976181030223</v>
      </c>
      <c r="AY16">
        <f>IF(ISBLANK(RawCurrent!AY16),"",IF(AVERAGE(RawCurrent!AY$7:AY$10)&gt;0,(RawCurrent!AY16+MEDIAN(RawCurrent!AY$7:AY$10)),(RawCurrent!AY16-MEDIAN(RawCurrent!AY$7:AY$10))))</f>
        <v>-1159.9344574610343</v>
      </c>
      <c r="AZ16">
        <f>IF(ISBLANK(RawCurrent!AZ16),"",IF(AVERAGE(RawCurrent!AZ$7:AZ$10)&gt;0,(RawCurrent!AZ16+MEDIAN(RawCurrent!AZ$7:AZ$10)),(RawCurrent!AZ16-MEDIAN(RawCurrent!AZ$7:AZ$10))))</f>
        <v>-705.2651252746582</v>
      </c>
      <c r="BA16">
        <f>IF(ISBLANK(RawCurrent!BA16),"",IF(AVERAGE(RawCurrent!BA$7:BA$10)&gt;0,(RawCurrent!BA16+MEDIAN(RawCurrent!BA$7:BA$10)),(RawCurrent!BA16-MEDIAN(RawCurrent!BA$7:BA$10))))</f>
        <v>-701.50569979349712</v>
      </c>
      <c r="BB16">
        <v>-238.648834228515</v>
      </c>
      <c r="BC16">
        <f>IF(ISBLANK(RawCurrent!BC16),"",IF(AVERAGE(RawCurrent!BC$7:BC$10)&gt;0,(RawCurrent!BC16+MEDIAN(RawCurrent!BC$7:BC$10)),(RawCurrent!BC16-MEDIAN(RawCurrent!BC$7:BC$10))))</f>
        <v>-424.83968734741194</v>
      </c>
      <c r="BD16">
        <f>IF(ISBLANK(RawCurrent!BD16),"",IF(AVERAGE(RawCurrent!BD$7:BD$10)&gt;0,(RawCurrent!BD16+MEDIAN(RawCurrent!BD$7:BD$10)),(RawCurrent!BD16-MEDIAN(RawCurrent!BD$7:BD$10))))</f>
        <v>-439.74939155578613</v>
      </c>
      <c r="BE16">
        <f>IF(ISBLANK(RawCurrent!BE16),"",IF(AVERAGE(RawCurrent!BE$7:BE$10)&gt;0,(RawCurrent!BE16+MEDIAN(RawCurrent!BE$7:BE$10)),(RawCurrent!BE16-MEDIAN(RawCurrent!BE$7:BE$10))))</f>
        <v>-372.33784484863219</v>
      </c>
      <c r="BF16">
        <f>IF(ISBLANK(RawCurrent!BF16),"",IF(AVERAGE(RawCurrent!BF$7:BF$10)&gt;0,(RawCurrent!BF16+MEDIAN(RawCurrent!BF$7:BF$10)),(RawCurrent!BF16-MEDIAN(RawCurrent!BF$7:BF$10))))</f>
        <v>-224.88782882690384</v>
      </c>
      <c r="BG16">
        <f>IF(ISBLANK(RawCurrent!BG16),"",IF(AVERAGE(RawCurrent!BG$7:BG$10)&gt;0,(RawCurrent!BG16+MEDIAN(RawCurrent!BG$7:BG$10)),(RawCurrent!BG16-MEDIAN(RawCurrent!BG$7:BG$10))))</f>
        <v>-575.92572593688885</v>
      </c>
      <c r="BH16">
        <f>IF(ISBLANK(RawCurrent!BH16),"",IF(AVERAGE(RawCurrent!BH$7:BH$10)&gt;0,(RawCurrent!BH16+MEDIAN(RawCurrent!BH$7:BH$10)),(RawCurrent!BH16-MEDIAN(RawCurrent!BH$7:BH$10))))</f>
        <v>-123.71102905273366</v>
      </c>
      <c r="BI16">
        <f>IF(ISBLANK(RawCurrent!BI16),"",IF(AVERAGE(RawCurrent!BI$7:BI$10)&gt;0,(RawCurrent!BI16+MEDIAN(RawCurrent!BI$7:BI$10)),(RawCurrent!BI16-MEDIAN(RawCurrent!BI$7:BI$10))))</f>
        <v>-145.06162357330325</v>
      </c>
      <c r="BJ16">
        <f>IF(ISBLANK(RawCurrent!BJ16),"",IF(AVERAGE(RawCurrent!BJ$7:BJ$10)&gt;0,(RawCurrent!BJ16+MEDIAN(RawCurrent!BJ$7:BJ$10)),(RawCurrent!BJ16-MEDIAN(RawCurrent!BJ$7:BJ$10))))</f>
        <v>-165.64939975738434</v>
      </c>
      <c r="BK16">
        <f>IF(ISBLANK(RawCurrent!BK16),"",IF(AVERAGE(RawCurrent!BK$7:BK$10)&gt;0,(RawCurrent!BK16+MEDIAN(RawCurrent!BK$7:BK$10)),(RawCurrent!BK16-MEDIAN(RawCurrent!BK$7:BK$10))))</f>
        <v>-1235.0189636012237</v>
      </c>
      <c r="BL16">
        <f>IF(ISBLANK(RawCurrent!BL16),"",IF(AVERAGE(RawCurrent!BL$7:BL$10)&gt;0,(RawCurrent!BL16+MEDIAN(RawCurrent!BL$7:BL$10)),(RawCurrent!BL16-MEDIAN(RawCurrent!BL$7:BL$10))))</f>
        <v>-558.38997650146484</v>
      </c>
      <c r="BM16">
        <f>IF(ISBLANK(RawCurrent!BM16),"",IF(AVERAGE(RawCurrent!BM$7:BM$10)&gt;0,(RawCurrent!BM16+MEDIAN(RawCurrent!BM$7:BM$10)),(RawCurrent!BM16-MEDIAN(RawCurrent!BM$7:BM$10))))</f>
        <v>-415.95182418823168</v>
      </c>
      <c r="BN16">
        <f>IF(ISBLANK(RawCurrent!BN16),"",IF(AVERAGE(RawCurrent!BN$7:BN$10)&gt;0,(RawCurrent!BN16+MEDIAN(RawCurrent!BN$7:BN$10)),(RawCurrent!BN16-MEDIAN(RawCurrent!BN$7:BN$10))))</f>
        <v>-448.61376571655217</v>
      </c>
      <c r="BO16">
        <f>IF(ISBLANK(RawCurrent!BO16),"",IF(AVERAGE(RawCurrent!BO$7:BO$10)&gt;0,(RawCurrent!BO16+MEDIAN(RawCurrent!BO$7:BO$10)),(RawCurrent!BO16-MEDIAN(RawCurrent!BO$7:BO$10))))</f>
        <v>-488.78870964050213</v>
      </c>
      <c r="BP16">
        <f>IF(ISBLANK(RawCurrent!BP16),"",IF(AVERAGE(RawCurrent!BP$7:BP$10)&gt;0,(RawCurrent!BP16+MEDIAN(RawCurrent!BP$7:BP$10)),(RawCurrent!BP16-MEDIAN(RawCurrent!BP$7:BP$10))))</f>
        <v>-503.04911041259777</v>
      </c>
      <c r="BQ16">
        <f>IF(ISBLANK(RawCurrent!BQ16),"",IF(AVERAGE(RawCurrent!BQ$7:BQ$10)&gt;0,(RawCurrent!BQ16+MEDIAN(RawCurrent!BQ$7:BQ$10)),(RawCurrent!BQ16-MEDIAN(RawCurrent!BQ$7:BQ$10))))</f>
        <v>-430.03081512451178</v>
      </c>
      <c r="BR16">
        <f>IF(ISBLANK(RawCurrent!BR16),"",IF(AVERAGE(RawCurrent!BR$7:BR$10)&gt;0,(RawCurrent!BR16+MEDIAN(RawCurrent!BR$7:BR$10)),(RawCurrent!BR16-MEDIAN(RawCurrent!BR$7:BR$10))))</f>
        <v>-459.6348501841224</v>
      </c>
      <c r="BS16">
        <f>IF(ISBLANK(RawCurrent!BS16),"",IF(AVERAGE(RawCurrent!BS$7:BS$10)&gt;0,(RawCurrent!BS16+MEDIAN(RawCurrent!BS$7:BS$10)),(RawCurrent!BS16-MEDIAN(RawCurrent!BS$7:BS$10))))</f>
        <v>-725.20332870483332</v>
      </c>
      <c r="BT16">
        <f>IF(ISBLANK(RawCurrent!BT16),"",IF(AVERAGE(RawCurrent!BT$7:BT$10)&gt;0,(RawCurrent!BT16+MEDIAN(RawCurrent!BT$7:BT$10)),(RawCurrent!BT16-MEDIAN(RawCurrent!BT$7:BT$10))))</f>
        <v>-333.56880140304509</v>
      </c>
      <c r="BU16">
        <f>IF(ISBLANK(RawCurrent!BU16),"",IF(AVERAGE(RawCurrent!BU$7:BU$10)&gt;0,(RawCurrent!BU16+MEDIAN(RawCurrent!BU$7:BU$10)),(RawCurrent!BU16-MEDIAN(RawCurrent!BU$7:BU$10))))</f>
        <v>-304.53442382812477</v>
      </c>
      <c r="BV16">
        <f>IF(ISBLANK(RawCurrent!BV16),"",IF(AVERAGE(RawCurrent!BV$7:BV$10)&gt;0,(RawCurrent!BV16+MEDIAN(RawCurrent!BV$7:BV$10)),(RawCurrent!BV16-MEDIAN(RawCurrent!BV$7:BV$10))))</f>
        <v>-280.74974950154569</v>
      </c>
      <c r="BW16">
        <f>IF(ISBLANK(RawCurrent!BW16),"",IF(AVERAGE(RawCurrent!BW$7:BW$10)&gt;0,(RawCurrent!BW16+MEDIAN(RawCurrent!BW$7:BW$10)),(RawCurrent!BW16-MEDIAN(RawCurrent!BW$7:BW$10))))</f>
        <v>-280.02749490737921</v>
      </c>
      <c r="BX16">
        <f>IF(ISBLANK(RawCurrent!BX16),"",IF(AVERAGE(RawCurrent!BX$7:BX$10)&gt;0,(RawCurrent!BX16+MEDIAN(RawCurrent!BX$7:BX$10)),(RawCurrent!BX16-MEDIAN(RawCurrent!BX$7:BX$10))))</f>
        <v>-325.02050252641868</v>
      </c>
      <c r="BY16">
        <f>IF(ISBLANK(RawCurrent!BY16),"",IF(AVERAGE(RawCurrent!BY$7:BY$10)&gt;0,(RawCurrent!BY16+MEDIAN(RawCurrent!BY$7:BY$10)),(RawCurrent!BY16-MEDIAN(RawCurrent!BY$7:BY$10))))</f>
        <v>-234.47230529785085</v>
      </c>
      <c r="BZ16">
        <f>IF(ISBLANK(RawCurrent!BZ16),"",IF(AVERAGE(RawCurrent!BZ$7:BZ$10)&gt;0,(RawCurrent!BZ16+MEDIAN(RawCurrent!BZ$7:BZ$10)),(RawCurrent!BZ16-MEDIAN(RawCurrent!BZ$7:BZ$10))))</f>
        <v>-114.11628723144477</v>
      </c>
      <c r="CA16">
        <f>IF(ISBLANK(RawCurrent!CA16),"",IF(AVERAGE(RawCurrent!CA$7:CA$10)&gt;0,(RawCurrent!CA16+MEDIAN(RawCurrent!CA$7:CA$10)),(RawCurrent!CA16-MEDIAN(RawCurrent!CA$7:CA$10))))</f>
        <v>-154.13859558105449</v>
      </c>
      <c r="CB16">
        <f>IF(ISBLANK(RawCurrent!CB16),"",IF(AVERAGE(RawCurrent!CB$7:CB$10)&gt;0,(RawCurrent!CB16+MEDIAN(RawCurrent!CB$7:CB$10)),(RawCurrent!CB16-MEDIAN(RawCurrent!CB$7:CB$10))))</f>
        <v>-105.56464131673151</v>
      </c>
      <c r="CC16">
        <f>IF(ISBLANK(RawCurrent!CC16),"",IF(AVERAGE(RawCurrent!CC$7:CC$10)&gt;0,(RawCurrent!CC16+MEDIAN(RawCurrent!CC$7:CC$10)),(RawCurrent!CC16-MEDIAN(RawCurrent!CC$7:CC$10))))</f>
        <v>-181.18253350257862</v>
      </c>
      <c r="CD16">
        <f>IF(ISBLANK(RawCurrent!CD16),"",IF(AVERAGE(RawCurrent!CD$7:CD$10)&gt;0,(RawCurrent!CD16+MEDIAN(RawCurrent!CD$7:CD$10)),(RawCurrent!CD16-MEDIAN(RawCurrent!CD$7:CD$10))))</f>
        <v>-141.82820415496761</v>
      </c>
      <c r="CE16">
        <f t="shared" si="28"/>
        <v>10</v>
      </c>
      <c r="CF16">
        <f t="shared" si="4"/>
        <v>-1230.7846789947248</v>
      </c>
      <c r="CG16">
        <f t="shared" si="5"/>
        <v>184.81667974362909</v>
      </c>
      <c r="CH16">
        <f t="shared" si="6"/>
        <v>-596.29156550906794</v>
      </c>
      <c r="CI16">
        <f t="shared" si="7"/>
        <v>134.83727608007567</v>
      </c>
      <c r="CJ16">
        <f t="shared" si="8"/>
        <v>-385.99424416625902</v>
      </c>
      <c r="CK16">
        <f t="shared" si="9"/>
        <v>57.772738256924924</v>
      </c>
      <c r="CL16">
        <f t="shared" si="10"/>
        <v>-1263.4712022712094</v>
      </c>
      <c r="CM16">
        <v>185.65101658683582</v>
      </c>
      <c r="CN16">
        <f t="shared" si="0"/>
        <v>-618.75193361353797</v>
      </c>
      <c r="CO16">
        <v>134.83727608007567</v>
      </c>
      <c r="CP16">
        <f t="shared" si="11"/>
        <v>-398.69882241087993</v>
      </c>
      <c r="CQ16">
        <v>57.772738256924924</v>
      </c>
      <c r="CR16">
        <f>MEDIAN((B16:AQ16,AS16:AU16))</f>
        <v>-818.68323516845692</v>
      </c>
      <c r="CS16">
        <f>_xlfn.QUARTILE.EXC((B16:AQ16,AS16:AU16),3)</f>
        <v>-512.27883815765358</v>
      </c>
      <c r="CT16">
        <f>_xlfn.QUARTILE.EXC((B16:AQ16,AS16:AU16),1)</f>
        <v>-1524.4180002212488</v>
      </c>
      <c r="CU16">
        <f t="shared" si="12"/>
        <v>-432.29453945159901</v>
      </c>
      <c r="CV16">
        <f t="shared" si="13"/>
        <v>-210.07822155952397</v>
      </c>
      <c r="CW16">
        <f t="shared" si="14"/>
        <v>-818.93245832125217</v>
      </c>
      <c r="CX16">
        <f t="shared" si="15"/>
        <v>-329.29465196473188</v>
      </c>
      <c r="CY16">
        <f t="shared" si="16"/>
        <v>-194.50497645139669</v>
      </c>
      <c r="CZ16">
        <f t="shared" si="17"/>
        <v>-481.50024477640721</v>
      </c>
      <c r="DA16">
        <f t="shared" si="18"/>
        <v>-834.34014964103687</v>
      </c>
      <c r="DB16">
        <f t="shared" si="19"/>
        <v>-527.93575263023354</v>
      </c>
      <c r="DC16">
        <f t="shared" si="20"/>
        <v>-1540.0749146938288</v>
      </c>
      <c r="DD16">
        <f t="shared" si="21"/>
        <v>-446.89276671409596</v>
      </c>
      <c r="DE16">
        <f t="shared" si="22"/>
        <v>-224.67644882202089</v>
      </c>
      <c r="DF16">
        <f t="shared" si="23"/>
        <v>-833.53068558374912</v>
      </c>
      <c r="DG16">
        <f t="shared" si="24"/>
        <v>-337.89563105446882</v>
      </c>
      <c r="DH16">
        <f t="shared" si="25"/>
        <v>-203.10595554113362</v>
      </c>
      <c r="DI16">
        <f t="shared" si="26"/>
        <v>-490.10122386614415</v>
      </c>
    </row>
    <row r="17" spans="1:113" x14ac:dyDescent="0.2">
      <c r="A17" s="3">
        <f t="shared" si="27"/>
        <v>20</v>
      </c>
      <c r="B17">
        <f>IF(ISBLANK(RawCurrent!B17),"",IF(AVERAGE(RawCurrent!B$7:B$10)&gt;0,(RawCurrent!B17+MEDIAN(RawCurrent!B$7:B$10)),(RawCurrent!B17-MEDIAN(RawCurrent!B$7:B$10))))</f>
        <v>-6427.7308578491211</v>
      </c>
      <c r="C17">
        <f>IF(ISBLANK(RawCurrent!C17),"",IF(AVERAGE(RawCurrent!C$7:C$10)&gt;0,(RawCurrent!C17+MEDIAN(RawCurrent!C$7:C$10)),(RawCurrent!C17-MEDIAN(RawCurrent!C$7:C$10))))</f>
        <v>-792.11653327941815</v>
      </c>
      <c r="D17">
        <f>IF(ISBLANK(RawCurrent!D17),"",IF(AVERAGE(RawCurrent!D$7:D$10)&gt;0,(RawCurrent!D17+MEDIAN(RawCurrent!D$7:D$10)),(RawCurrent!D17-MEDIAN(RawCurrent!D$7:D$10))))</f>
        <v>-2598.7072143554642</v>
      </c>
      <c r="E17">
        <f>IF(ISBLANK(RawCurrent!E17),"",IF(AVERAGE(RawCurrent!E$7:E$10)&gt;0,(RawCurrent!E17+MEDIAN(RawCurrent!E$7:E$10)),(RawCurrent!E17-MEDIAN(RawCurrent!E$7:E$10))))</f>
        <v>-3049.9395294189453</v>
      </c>
      <c r="F17">
        <f>IF(ISBLANK(RawCurrent!F17),"",IF(AVERAGE(RawCurrent!F$7:F$10)&gt;0,(RawCurrent!F17+MEDIAN(RawCurrent!F$7:F$10)),(RawCurrent!F17-MEDIAN(RawCurrent!F$7:F$10))))</f>
        <v>-3139.3697052001953</v>
      </c>
      <c r="G17">
        <f>IF(ISBLANK(RawCurrent!G17),"",IF(AVERAGE(RawCurrent!G$7:G$10)&gt;0,(RawCurrent!G17+MEDIAN(RawCurrent!G$7:G$10)),(RawCurrent!G17-MEDIAN(RawCurrent!G$7:G$10))))</f>
        <v>-1370.2547912597631</v>
      </c>
      <c r="H17">
        <f>IF(ISBLANK(RawCurrent!H17),"",IF(AVERAGE(RawCurrent!H$7:H$10)&gt;0,(RawCurrent!H17+MEDIAN(RawCurrent!H$7:H$10)),(RawCurrent!H17-MEDIAN(RawCurrent!H$7:H$10))))</f>
        <v>-1933.7641143798753</v>
      </c>
      <c r="I17">
        <f>IF(ISBLANK(RawCurrent!I17),"",IF(AVERAGE(RawCurrent!I$7:I$10)&gt;0,(RawCurrent!I17+MEDIAN(RawCurrent!I$7:I$10)),(RawCurrent!I17-MEDIAN(RawCurrent!I$7:I$10))))</f>
        <v>-1342.2646236419678</v>
      </c>
      <c r="J17">
        <f>IF(ISBLANK(RawCurrent!J17),"",IF(AVERAGE(RawCurrent!J$7:J$10)&gt;0,(RawCurrent!J17+MEDIAN(RawCurrent!J$7:J$10)),(RawCurrent!J17-MEDIAN(RawCurrent!J$7:J$10))))</f>
        <v>-1484.6921424865648</v>
      </c>
      <c r="K17">
        <f>IF(ISBLANK(RawCurrent!K17),"",IF(AVERAGE(RawCurrent!K$7:K$10)&gt;0,(RawCurrent!K17+MEDIAN(RawCurrent!K$7:K$10)),(RawCurrent!K17-MEDIAN(RawCurrent!K$7:K$10))))</f>
        <v>-3347.1212040530518</v>
      </c>
      <c r="L17">
        <f>IF(ISBLANK(RawCurrent!L17),"",IF(AVERAGE(RawCurrent!L$7:L$10)&gt;0,(RawCurrent!L17+MEDIAN(RawCurrent!L$7:L$10)),(RawCurrent!L17-MEDIAN(RawCurrent!L$7:L$10))))</f>
        <v>-878.81012725830044</v>
      </c>
      <c r="M17">
        <f>IF(ISBLANK(RawCurrent!M17),"",IF(AVERAGE(RawCurrent!M$7:M$10)&gt;0,(RawCurrent!M17+MEDIAN(RawCurrent!M$7:M$10)),(RawCurrent!M17-MEDIAN(RawCurrent!M$7:M$10))))</f>
        <v>-2032.5722198486328</v>
      </c>
      <c r="N17">
        <f>IF(ISBLANK(RawCurrent!N17),"",IF(AVERAGE(RawCurrent!N$7:N$10)&gt;0,(RawCurrent!N17+MEDIAN(RawCurrent!N$7:N$10)),(RawCurrent!N17-MEDIAN(RawCurrent!N$7:N$10))))</f>
        <v>-1203.3975524902344</v>
      </c>
      <c r="O17">
        <f>IF(ISBLANK(RawCurrent!O17),"",IF(AVERAGE(RawCurrent!O$7:O$10)&gt;0,(RawCurrent!O17+MEDIAN(RawCurrent!O$7:O$10)),(RawCurrent!O17-MEDIAN(RawCurrent!O$7:O$10))))</f>
        <v>-1122.1859550476049</v>
      </c>
      <c r="P17">
        <f>IF(ISBLANK(RawCurrent!P17),"",IF(AVERAGE(RawCurrent!P$7:P$10)&gt;0,(RawCurrent!P17+MEDIAN(RawCurrent!P$7:P$10)),(RawCurrent!P17-MEDIAN(RawCurrent!P$7:P$10))))</f>
        <v>-1502.2412414550706</v>
      </c>
      <c r="Q17">
        <f>IF(ISBLANK(RawCurrent!Q17),"",IF(AVERAGE(RawCurrent!Q$7:Q$10)&gt;0,(RawCurrent!Q17+MEDIAN(RawCurrent!Q$7:Q$10)),(RawCurrent!Q17-MEDIAN(RawCurrent!Q$7:Q$10))))</f>
        <v>-1327.3358478546068</v>
      </c>
      <c r="R17">
        <f>IF(ISBLANK(RawCurrent!R17),"",IF(AVERAGE(RawCurrent!R$7:R$10)&gt;0,(RawCurrent!R17+MEDIAN(RawCurrent!R$7:R$10)),(RawCurrent!R17-MEDIAN(RawCurrent!R$7:R$10))))</f>
        <v>-1225.9755182266185</v>
      </c>
      <c r="S17">
        <f>IF(ISBLANK(RawCurrent!S17),"",IF(AVERAGE(RawCurrent!S$7:S$10)&gt;0,(RawCurrent!S17+MEDIAN(RawCurrent!S$7:S$10)),(RawCurrent!S17-MEDIAN(RawCurrent!S$7:S$10))))</f>
        <v>-784.68610382080089</v>
      </c>
      <c r="T17">
        <f>IF(ISBLANK(RawCurrent!T17),"",IF(AVERAGE(RawCurrent!T$7:T$10)&gt;0,(RawCurrent!T17+MEDIAN(RawCurrent!T$7:T$10)),(RawCurrent!T17-MEDIAN(RawCurrent!T$7:T$10))))</f>
        <v>-638.64623260498036</v>
      </c>
      <c r="U17">
        <f>IF(ISBLANK(RawCurrent!U17),"",IF(AVERAGE(RawCurrent!U$7:U$10)&gt;0,(RawCurrent!U17+MEDIAN(RawCurrent!U$7:U$10)),(RawCurrent!U17-MEDIAN(RawCurrent!U$7:U$10))))</f>
        <v>-768.64941406249977</v>
      </c>
      <c r="V17">
        <f>IF(ISBLANK(RawCurrent!V17),"",IF(AVERAGE(RawCurrent!V$7:V$10)&gt;0,(RawCurrent!V17+MEDIAN(RawCurrent!V$7:V$10)),(RawCurrent!V17-MEDIAN(RawCurrent!V$7:V$10))))</f>
        <v>-739.84180450439385</v>
      </c>
      <c r="W17">
        <f>IF(ISBLANK(RawCurrent!W17),"",IF(AVERAGE(RawCurrent!W$7:W$10)&gt;0,(RawCurrent!W17+MEDIAN(RawCurrent!W$7:W$10)),(RawCurrent!W17-MEDIAN(RawCurrent!W$7:W$10))))</f>
        <v>-632.91771697998001</v>
      </c>
      <c r="X17">
        <f>IF(ISBLANK(RawCurrent!X17),"",IF(AVERAGE(RawCurrent!X$7:X$10)&gt;0,(RawCurrent!X17+MEDIAN(RawCurrent!X$7:X$10)),(RawCurrent!X17-MEDIAN(RawCurrent!X$7:X$10))))</f>
        <v>-670.36994171142589</v>
      </c>
      <c r="Y17">
        <f>IF(ISBLANK(RawCurrent!Y17),"",IF(AVERAGE(RawCurrent!Y$7:Y$10)&gt;0,(RawCurrent!Y17+MEDIAN(RawCurrent!Y$7:Y$10)),(RawCurrent!Y17-MEDIAN(RawCurrent!Y$7:Y$10))))</f>
        <v>-678.55361938476517</v>
      </c>
      <c r="Z17">
        <f>IF(ISBLANK(RawCurrent!Z17),"",IF(AVERAGE(RawCurrent!Z$7:Z$10)&gt;0,(RawCurrent!Z17+MEDIAN(RawCurrent!Z$7:Z$10)),(RawCurrent!Z17-MEDIAN(RawCurrent!Z$7:Z$10))))</f>
        <v>-624.67124319076459</v>
      </c>
      <c r="AA17">
        <f>IF(ISBLANK(RawCurrent!AA17),"",IF(AVERAGE(RawCurrent!AA$7:AA$10)&gt;0,(RawCurrent!AA17+MEDIAN(RawCurrent!AA$7:AA$10)),(RawCurrent!AA17-MEDIAN(RawCurrent!AA$7:AA$10))))</f>
        <v>-600.31759786605789</v>
      </c>
      <c r="AB17">
        <f>IF(ISBLANK(RawCurrent!AB17),"",IF(AVERAGE(RawCurrent!AB$7:AB$10)&gt;0,(RawCurrent!AB17+MEDIAN(RawCurrent!AB$7:AB$10)),(RawCurrent!AB17-MEDIAN(RawCurrent!AB$7:AB$10))))</f>
        <v>-616.9281873702995</v>
      </c>
      <c r="AC17">
        <f>IF(ISBLANK(RawCurrent!AC17),"",IF(AVERAGE(RawCurrent!AC$7:AC$10)&gt;0,(RawCurrent!AC17+MEDIAN(RawCurrent!AC$7:AC$10)),(RawCurrent!AC17-MEDIAN(RawCurrent!AC$7:AC$10))))</f>
        <v>-1208.529260635371</v>
      </c>
      <c r="AD17">
        <f>IF(ISBLANK(RawCurrent!AD17),"",IF(AVERAGE(RawCurrent!AD$7:AD$10)&gt;0,(RawCurrent!AD17+MEDIAN(RawCurrent!AD$7:AD$10)),(RawCurrent!AD17-MEDIAN(RawCurrent!AD$7:AD$10))))</f>
        <v>-628.20796966552734</v>
      </c>
      <c r="AE17">
        <f>IF(ISBLANK(RawCurrent!AE17),"",IF(AVERAGE(RawCurrent!AE$7:AE$10)&gt;0,(RawCurrent!AE17+MEDIAN(RawCurrent!AE$7:AE$10)),(RawCurrent!AE17-MEDIAN(RawCurrent!AE$7:AE$10))))</f>
        <v>-626.95696353912274</v>
      </c>
      <c r="AF17">
        <f>IF(ISBLANK(RawCurrent!AF17),"",IF(AVERAGE(RawCurrent!AF$7:AF$10)&gt;0,(RawCurrent!AF17+MEDIAN(RawCurrent!AF$7:AF$10)),(RawCurrent!AF17-MEDIAN(RawCurrent!AF$7:AF$10))))</f>
        <v>-584.26393413543656</v>
      </c>
      <c r="AG17">
        <f>IF(ISBLANK(RawCurrent!AG17),"",IF(AVERAGE(RawCurrent!AG$7:AG$10)&gt;0,(RawCurrent!AG17+MEDIAN(RawCurrent!AG$7:AG$10)),(RawCurrent!AG17-MEDIAN(RawCurrent!AG$7:AG$10))))</f>
        <v>-505.76290512084921</v>
      </c>
      <c r="AH17">
        <f>IF(ISBLANK(RawCurrent!AH17),"",IF(AVERAGE(RawCurrent!AH$7:AH$10)&gt;0,(RawCurrent!AH17+MEDIAN(RawCurrent!AH$7:AH$10)),(RawCurrent!AH17-MEDIAN(RawCurrent!AH$7:AH$10))))</f>
        <v>-623.47278976440384</v>
      </c>
      <c r="AI17">
        <f>IF(ISBLANK(RawCurrent!AI17),"",IF(AVERAGE(RawCurrent!AI$7:AI$10)&gt;0,(RawCurrent!AI17+MEDIAN(RawCurrent!AI$7:AI$10)),(RawCurrent!AI17-MEDIAN(RawCurrent!AI$7:AI$10))))</f>
        <v>-409.01698303222651</v>
      </c>
      <c r="AJ17">
        <f>IF(ISBLANK(RawCurrent!AJ17),"",IF(AVERAGE(RawCurrent!AJ$7:AJ$10)&gt;0,(RawCurrent!AJ17+MEDIAN(RawCurrent!AJ$7:AJ$10)),(RawCurrent!AJ17-MEDIAN(RawCurrent!AJ$7:AJ$10))))</f>
        <v>-431.7683467864988</v>
      </c>
      <c r="AK17">
        <f>IF(ISBLANK(RawCurrent!AK17),"",IF(AVERAGE(RawCurrent!AK$7:AK$10)&gt;0,(RawCurrent!AK17+MEDIAN(RawCurrent!AK$7:AK$10)),(RawCurrent!AK17-MEDIAN(RawCurrent!AK$7:AK$10))))</f>
        <v>-379.59594726562437</v>
      </c>
      <c r="AL17">
        <f>IF(ISBLANK(RawCurrent!AL17),"",IF(AVERAGE(RawCurrent!AL$7:AL$10)&gt;0,(RawCurrent!AL17+MEDIAN(RawCurrent!AL$7:AL$10)),(RawCurrent!AL17-MEDIAN(RawCurrent!AL$7:AL$10))))</f>
        <v>-341.32638931274369</v>
      </c>
      <c r="AM17">
        <f>IF(ISBLANK(RawCurrent!AM17),"",IF(AVERAGE(RawCurrent!AM$7:AM$10)&gt;0,(RawCurrent!AM17+MEDIAN(RawCurrent!AM$7:AM$10)),(RawCurrent!AM17-MEDIAN(RawCurrent!AM$7:AM$10))))</f>
        <v>-342.13434982299782</v>
      </c>
      <c r="AN17">
        <f>IF(ISBLANK(RawCurrent!AN17),"",IF(AVERAGE(RawCurrent!AN$7:AN$10)&gt;0,(RawCurrent!AN17+MEDIAN(RawCurrent!AN$7:AN$10)),(RawCurrent!AN17-MEDIAN(RawCurrent!AN$7:AN$10))))</f>
        <v>-524.45112609863293</v>
      </c>
      <c r="AO17">
        <f>IF(ISBLANK(RawCurrent!AO17),"",IF(AVERAGE(RawCurrent!AO$7:AO$10)&gt;0,(RawCurrent!AO17+MEDIAN(RawCurrent!AO$7:AO$10)),(RawCurrent!AO17-MEDIAN(RawCurrent!AO$7:AO$10))))</f>
        <v>-226.85202407836829</v>
      </c>
      <c r="AP17">
        <f>IF(ISBLANK(RawCurrent!AP17),"",IF(AVERAGE(RawCurrent!AP$7:AP$10)&gt;0,(RawCurrent!AP17+MEDIAN(RawCurrent!AP$7:AP$10)),(RawCurrent!AP17-MEDIAN(RawCurrent!AP$7:AP$10))))</f>
        <v>-168.359272003173</v>
      </c>
      <c r="AQ17">
        <f>IF(ISBLANK(RawCurrent!AQ17),"",IF(AVERAGE(RawCurrent!AQ$7:AQ$10)&gt;0,(RawCurrent!AQ17+MEDIAN(RawCurrent!AQ$7:AQ$10)),(RawCurrent!AQ17-MEDIAN(RawCurrent!AQ$7:AQ$10))))</f>
        <v>-168.84238624572734</v>
      </c>
      <c r="AR17">
        <f>IF(ISBLANK(RawCurrent!AR17),"",IF(AVERAGE(RawCurrent!AR$7:AR$10)&gt;0,(RawCurrent!AR17+MEDIAN(RawCurrent!AR$7:AR$10)),(RawCurrent!AR17-MEDIAN(RawCurrent!AR$7:AR$10))))</f>
        <v>-104.25804281234716</v>
      </c>
      <c r="AS17">
        <f>IF(ISBLANK(RawCurrent!AS17),"",IF(AVERAGE(RawCurrent!AS$7:AS$10)&gt;0,(RawCurrent!AS17+MEDIAN(RawCurrent!AS$7:AS$10)),(RawCurrent!AS17-MEDIAN(RawCurrent!AS$7:AS$10))))</f>
        <v>-186.73954105377175</v>
      </c>
      <c r="AT17">
        <f>IF(ISBLANK(RawCurrent!AT17),"",IF(AVERAGE(RawCurrent!AT$7:AT$10)&gt;0,(RawCurrent!AT17+MEDIAN(RawCurrent!AT$7:AT$10)),(RawCurrent!AT17-MEDIAN(RawCurrent!AT$7:AT$10))))</f>
        <v>-238.70859018961505</v>
      </c>
      <c r="AU17">
        <f>IF(ISBLANK(RawCurrent!AU17),"",IF(AVERAGE(RawCurrent!AU$7:AU$10)&gt;0,(RawCurrent!AU17+MEDIAN(RawCurrent!AU$7:AU$10)),(RawCurrent!AU17-MEDIAN(RawCurrent!AU$7:AU$10))))</f>
        <v>-578.49116134643486</v>
      </c>
      <c r="AV17">
        <f>IF(ISBLANK(RawCurrent!AV17),"",IF(AVERAGE(RawCurrent!AV$7:AV$10)&gt;0,(RawCurrent!AV17+MEDIAN(RawCurrent!AV$7:AV$10)),(RawCurrent!AV17-MEDIAN(RawCurrent!AV$7:AV$10))))</f>
        <v>-191.56170406341505</v>
      </c>
      <c r="AW17">
        <f>IF(ISBLANK(RawCurrent!AW17),"",IF(AVERAGE(RawCurrent!AW$7:AW$10)&gt;0,(RawCurrent!AW17+MEDIAN(RawCurrent!AW$7:AW$10)),(RawCurrent!AW17-MEDIAN(RawCurrent!AW$7:AW$10))))</f>
        <v>-1144.55395507812</v>
      </c>
      <c r="AX17">
        <f>IF(ISBLANK(RawCurrent!AX17),"",IF(AVERAGE(RawCurrent!AX$7:AX$10)&gt;0,(RawCurrent!AX17+MEDIAN(RawCurrent!AX$7:AX$10)),(RawCurrent!AX17-MEDIAN(RawCurrent!AX$7:AX$10))))</f>
        <v>-1695.3345565795823</v>
      </c>
      <c r="AY17">
        <f>IF(ISBLANK(RawCurrent!AY17),"",IF(AVERAGE(RawCurrent!AY$7:AY$10)&gt;0,(RawCurrent!AY17+MEDIAN(RawCurrent!AY$7:AY$10)),(RawCurrent!AY17-MEDIAN(RawCurrent!AY$7:AY$10))))</f>
        <v>-1025.7440277735343</v>
      </c>
      <c r="AZ17">
        <f>IF(ISBLANK(RawCurrent!AZ17),"",IF(AVERAGE(RawCurrent!AZ$7:AZ$10)&gt;0,(RawCurrent!AZ17+MEDIAN(RawCurrent!AZ$7:AZ$10)),(RawCurrent!AZ17-MEDIAN(RawCurrent!AZ$7:AZ$10))))</f>
        <v>-689.06847000122025</v>
      </c>
      <c r="BA17">
        <f>IF(ISBLANK(RawCurrent!BA17),"",IF(AVERAGE(RawCurrent!BA$7:BA$10)&gt;0,(RawCurrent!BA17+MEDIAN(RawCurrent!BA$7:BA$10)),(RawCurrent!BA17-MEDIAN(RawCurrent!BA$7:BA$10))))</f>
        <v>-675.69787915547647</v>
      </c>
      <c r="BB17">
        <v>-222.11111450195301</v>
      </c>
      <c r="BC17">
        <f>IF(ISBLANK(RawCurrent!BC17),"",IF(AVERAGE(RawCurrent!BC$7:BC$10)&gt;0,(RawCurrent!BC17+MEDIAN(RawCurrent!BC$7:BC$10)),(RawCurrent!BC17-MEDIAN(RawCurrent!BC$7:BC$10))))</f>
        <v>-364.11568832397393</v>
      </c>
      <c r="BD17">
        <f>IF(ISBLANK(RawCurrent!BD17),"",IF(AVERAGE(RawCurrent!BD$7:BD$10)&gt;0,(RawCurrent!BD17+MEDIAN(RawCurrent!BD$7:BD$10)),(RawCurrent!BD17-MEDIAN(RawCurrent!BD$7:BD$10))))</f>
        <v>-400.21823310852011</v>
      </c>
      <c r="BE17">
        <f>IF(ISBLANK(RawCurrent!BE17),"",IF(AVERAGE(RawCurrent!BE$7:BE$10)&gt;0,(RawCurrent!BE17+MEDIAN(RawCurrent!BE$7:BE$10)),(RawCurrent!BE17-MEDIAN(RawCurrent!BE$7:BE$10))))</f>
        <v>-338.03407287597616</v>
      </c>
      <c r="BF17">
        <f>IF(ISBLANK(RawCurrent!BF17),"",IF(AVERAGE(RawCurrent!BF$7:BF$10)&gt;0,(RawCurrent!BF17+MEDIAN(RawCurrent!BF$7:BF$10)),(RawCurrent!BF17-MEDIAN(RawCurrent!BF$7:BF$10))))</f>
        <v>-227.98655319213785</v>
      </c>
      <c r="BG17">
        <f>IF(ISBLANK(RawCurrent!BG17),"",IF(AVERAGE(RawCurrent!BG$7:BG$10)&gt;0,(RawCurrent!BG17+MEDIAN(RawCurrent!BG$7:BG$10)),(RawCurrent!BG17-MEDIAN(RawCurrent!BG$7:BG$10))))</f>
        <v>-614.04620933532692</v>
      </c>
      <c r="BH17">
        <f>IF(ISBLANK(RawCurrent!BH17),"",IF(AVERAGE(RawCurrent!BH$7:BH$10)&gt;0,(RawCurrent!BH17+MEDIAN(RawCurrent!BH$7:BH$10)),(RawCurrent!BH17-MEDIAN(RawCurrent!BH$7:BH$10))))</f>
        <v>-101.52124786376865</v>
      </c>
      <c r="BI17">
        <f>IF(ISBLANK(RawCurrent!BI17),"",IF(AVERAGE(RawCurrent!BI$7:BI$10)&gt;0,(RawCurrent!BI17+MEDIAN(RawCurrent!BI$7:BI$10)),(RawCurrent!BI17-MEDIAN(RawCurrent!BI$7:BI$10))))</f>
        <v>-131.26934146881024</v>
      </c>
      <c r="BJ17">
        <f>IF(ISBLANK(RawCurrent!BJ17),"",IF(AVERAGE(RawCurrent!BJ$7:BJ$10)&gt;0,(RawCurrent!BJ17+MEDIAN(RawCurrent!BJ$7:BJ$10)),(RawCurrent!BJ17-MEDIAN(RawCurrent!BJ$7:BJ$10))))</f>
        <v>-158.84397983550934</v>
      </c>
      <c r="BK17">
        <f>IF(ISBLANK(RawCurrent!BK17),"",IF(AVERAGE(RawCurrent!BK$7:BK$10)&gt;0,(RawCurrent!BK17+MEDIAN(RawCurrent!BK$7:BK$10)),(RawCurrent!BK17-MEDIAN(RawCurrent!BK$7:BK$10))))</f>
        <v>-1184.9603325180228</v>
      </c>
      <c r="BL17">
        <f>IF(ISBLANK(RawCurrent!BL17),"",IF(AVERAGE(RawCurrent!BL$7:BL$10)&gt;0,(RawCurrent!BL17+MEDIAN(RawCurrent!BL$7:BL$10)),(RawCurrent!BL17-MEDIAN(RawCurrent!BL$7:BL$10))))</f>
        <v>-471.29134368896484</v>
      </c>
      <c r="BM17">
        <f>IF(ISBLANK(RawCurrent!BM17),"",IF(AVERAGE(RawCurrent!BM$7:BM$10)&gt;0,(RawCurrent!BM17+MEDIAN(RawCurrent!BM$7:BM$10)),(RawCurrent!BM17-MEDIAN(RawCurrent!BM$7:BM$10))))</f>
        <v>-430.09211349487265</v>
      </c>
      <c r="BN17">
        <f>IF(ISBLANK(RawCurrent!BN17),"",IF(AVERAGE(RawCurrent!BN$7:BN$10)&gt;0,(RawCurrent!BN17+MEDIAN(RawCurrent!BN$7:BN$10)),(RawCurrent!BN17-MEDIAN(RawCurrent!BN$7:BN$10))))</f>
        <v>-370.37881088256819</v>
      </c>
      <c r="BO17">
        <f>IF(ISBLANK(RawCurrent!BO17),"",IF(AVERAGE(RawCurrent!BO$7:BO$10)&gt;0,(RawCurrent!BO17+MEDIAN(RawCurrent!BO$7:BO$10)),(RawCurrent!BO17-MEDIAN(RawCurrent!BO$7:BO$10))))</f>
        <v>-355.37193107604918</v>
      </c>
      <c r="BP17">
        <f>IF(ISBLANK(RawCurrent!BP17),"",IF(AVERAGE(RawCurrent!BP$7:BP$10)&gt;0,(RawCurrent!BP17+MEDIAN(RawCurrent!BP$7:BP$10)),(RawCurrent!BP17-MEDIAN(RawCurrent!BP$7:BP$10))))</f>
        <v>-435.59226226806578</v>
      </c>
      <c r="BQ17">
        <f>IF(ISBLANK(RawCurrent!BQ17),"",IF(AVERAGE(RawCurrent!BQ$7:BQ$10)&gt;0,(RawCurrent!BQ17+MEDIAN(RawCurrent!BQ$7:BQ$10)),(RawCurrent!BQ17-MEDIAN(RawCurrent!BQ$7:BQ$10))))</f>
        <v>-383.61797332763678</v>
      </c>
      <c r="BR17">
        <f>IF(ISBLANK(RawCurrent!BR17),"",IF(AVERAGE(RawCurrent!BR$7:BR$10)&gt;0,(RawCurrent!BR17+MEDIAN(RawCurrent!BR$7:BR$10)),(RawCurrent!BR17-MEDIAN(RawCurrent!BR$7:BR$10))))</f>
        <v>-394.10686556498166</v>
      </c>
      <c r="BS17">
        <f>IF(ISBLANK(RawCurrent!BS17),"",IF(AVERAGE(RawCurrent!BS$7:BS$10)&gt;0,(RawCurrent!BS17+MEDIAN(RawCurrent!BS$7:BS$10)),(RawCurrent!BS17-MEDIAN(RawCurrent!BS$7:BS$10))))</f>
        <v>-621.24792709350538</v>
      </c>
      <c r="BT17">
        <f>IF(ISBLANK(RawCurrent!BT17),"",IF(AVERAGE(RawCurrent!BT$7:BT$10)&gt;0,(RawCurrent!BT17+MEDIAN(RawCurrent!BT$7:BT$10)),(RawCurrent!BT17-MEDIAN(RawCurrent!BT$7:BT$10))))</f>
        <v>-319.85597181320179</v>
      </c>
      <c r="BU17">
        <f>IF(ISBLANK(RawCurrent!BU17),"",IF(AVERAGE(RawCurrent!BU$7:BU$10)&gt;0,(RawCurrent!BU17+MEDIAN(RawCurrent!BU$7:BU$10)),(RawCurrent!BU17-MEDIAN(RawCurrent!BU$7:BU$10))))</f>
        <v>-289.95401000976477</v>
      </c>
      <c r="BV17">
        <f>IF(ISBLANK(RawCurrent!BV17),"",IF(AVERAGE(RawCurrent!BV$7:BV$10)&gt;0,(RawCurrent!BV17+MEDIAN(RawCurrent!BV$7:BV$10)),(RawCurrent!BV17-MEDIAN(RawCurrent!BV$7:BV$10))))</f>
        <v>-232.95633824666274</v>
      </c>
      <c r="BW17">
        <f>IF(ISBLANK(RawCurrent!BW17),"",IF(AVERAGE(RawCurrent!BW$7:BW$10)&gt;0,(RawCurrent!BW17+MEDIAN(RawCurrent!BW$7:BW$10)),(RawCurrent!BW17-MEDIAN(RawCurrent!BW$7:BW$10))))</f>
        <v>-295.62075662612921</v>
      </c>
      <c r="BX17">
        <f>IF(ISBLANK(RawCurrent!BX17),"",IF(AVERAGE(RawCurrent!BX$7:BX$10)&gt;0,(RawCurrent!BX17+MEDIAN(RawCurrent!BX$7:BX$10)),(RawCurrent!BX17-MEDIAN(RawCurrent!BX$7:BX$10))))</f>
        <v>-283.28798168727309</v>
      </c>
      <c r="BY17">
        <f>IF(ISBLANK(RawCurrent!BY17),"",IF(AVERAGE(RawCurrent!BY$7:BY$10)&gt;0,(RawCurrent!BY17+MEDIAN(RawCurrent!BY$7:BY$10)),(RawCurrent!BY17-MEDIAN(RawCurrent!BY$7:BY$10))))</f>
        <v>-183.72285461425784</v>
      </c>
      <c r="BZ17">
        <f>IF(ISBLANK(RawCurrent!BZ17),"",IF(AVERAGE(RawCurrent!BZ$7:BZ$10)&gt;0,(RawCurrent!BZ17+MEDIAN(RawCurrent!BZ$7:BZ$10)),(RawCurrent!BZ17-MEDIAN(RawCurrent!BZ$7:BZ$10))))</f>
        <v>-94.510276794432798</v>
      </c>
      <c r="CA17">
        <f>IF(ISBLANK(RawCurrent!CA17),"",IF(AVERAGE(RawCurrent!CA$7:CA$10)&gt;0,(RawCurrent!CA17+MEDIAN(RawCurrent!CA$7:CA$10)),(RawCurrent!CA17-MEDIAN(RawCurrent!CA$7:CA$10))))</f>
        <v>-146.71300888061472</v>
      </c>
      <c r="CB17">
        <f>IF(ISBLANK(RawCurrent!CB17),"",IF(AVERAGE(RawCurrent!CB$7:CB$10)&gt;0,(RawCurrent!CB17+MEDIAN(RawCurrent!CB$7:CB$10)),(RawCurrent!CB17-MEDIAN(RawCurrent!CB$7:CB$10))))</f>
        <v>-88.312672297159779</v>
      </c>
      <c r="CC17">
        <f>IF(ISBLANK(RawCurrent!CC17),"",IF(AVERAGE(RawCurrent!CC$7:CC$10)&gt;0,(RawCurrent!CC17+MEDIAN(RawCurrent!CC$7:CC$10)),(RawCurrent!CC17-MEDIAN(RawCurrent!CC$7:CC$10))))</f>
        <v>-180.80009484291008</v>
      </c>
      <c r="CD17">
        <f>IF(ISBLANK(RawCurrent!CD17),"",IF(AVERAGE(RawCurrent!CD$7:CD$10)&gt;0,(RawCurrent!CD17+MEDIAN(RawCurrent!CD$7:CD$10)),(RawCurrent!CD17-MEDIAN(RawCurrent!CD$7:CD$10))))</f>
        <v>-140.11895084381035</v>
      </c>
      <c r="CE17">
        <f t="shared" si="28"/>
        <v>20</v>
      </c>
      <c r="CF17">
        <f t="shared" si="4"/>
        <v>-1104.6120217710652</v>
      </c>
      <c r="CG17">
        <f t="shared" si="5"/>
        <v>168.60149242559717</v>
      </c>
      <c r="CH17">
        <f t="shared" si="6"/>
        <v>-556.32466636385072</v>
      </c>
      <c r="CI17">
        <f t="shared" si="7"/>
        <v>123.43286655696832</v>
      </c>
      <c r="CJ17">
        <f t="shared" si="8"/>
        <v>-345.12562382854424</v>
      </c>
      <c r="CK17">
        <f t="shared" si="9"/>
        <v>53.88241876160216</v>
      </c>
      <c r="CL17">
        <f t="shared" si="10"/>
        <v>-1137.2985450475499</v>
      </c>
      <c r="CM17">
        <v>169.59983917636865</v>
      </c>
      <c r="CN17">
        <f t="shared" si="0"/>
        <v>-578.78503446832076</v>
      </c>
      <c r="CO17">
        <v>123.43286655696832</v>
      </c>
      <c r="CP17">
        <f t="shared" si="11"/>
        <v>-357.83020207316514</v>
      </c>
      <c r="CQ17">
        <v>53.88241876160216</v>
      </c>
      <c r="CR17">
        <f>MEDIAN((B17:AQ17,AS17:AU17))</f>
        <v>-670.36994171142589</v>
      </c>
      <c r="CS17">
        <f>_xlfn.QUARTILE.EXC((B17:AQ17,AS17:AU17),3)</f>
        <v>-515.1070156097411</v>
      </c>
      <c r="CT17">
        <f>_xlfn.QUARTILE.EXC((B17:AQ17,AS17:AU17),1)</f>
        <v>-1334.8002357482874</v>
      </c>
      <c r="CU17">
        <f t="shared" si="12"/>
        <v>-382.16696071624699</v>
      </c>
      <c r="CV17">
        <f t="shared" si="13"/>
        <v>-206.29433083534209</v>
      </c>
      <c r="CW17">
        <f t="shared" si="14"/>
        <v>-773.23735944429882</v>
      </c>
      <c r="CX17">
        <f t="shared" si="15"/>
        <v>-307.73836421966553</v>
      </c>
      <c r="CY17">
        <f t="shared" si="16"/>
        <v>-181.53078478574702</v>
      </c>
      <c r="CZ17">
        <f t="shared" si="17"/>
        <v>-421.09580151239993</v>
      </c>
      <c r="DA17">
        <f t="shared" si="18"/>
        <v>-686.02685618400585</v>
      </c>
      <c r="DB17">
        <f t="shared" si="19"/>
        <v>-530.76393008232105</v>
      </c>
      <c r="DC17">
        <f t="shared" si="20"/>
        <v>-1350.4571502208673</v>
      </c>
      <c r="DD17">
        <f t="shared" si="21"/>
        <v>-396.76518797874394</v>
      </c>
      <c r="DE17">
        <f t="shared" si="22"/>
        <v>-220.89255809783901</v>
      </c>
      <c r="DF17">
        <f t="shared" si="23"/>
        <v>-787.83558670679577</v>
      </c>
      <c r="DG17">
        <f t="shared" si="24"/>
        <v>-316.33934330940247</v>
      </c>
      <c r="DH17">
        <f t="shared" si="25"/>
        <v>-190.13176387548395</v>
      </c>
      <c r="DI17">
        <f t="shared" si="26"/>
        <v>-429.69678060213687</v>
      </c>
    </row>
    <row r="18" spans="1:113" x14ac:dyDescent="0.2">
      <c r="A18" s="3">
        <f t="shared" si="27"/>
        <v>30</v>
      </c>
      <c r="B18">
        <f>IF(ISBLANK(RawCurrent!B18),"",IF(AVERAGE(RawCurrent!B$7:B$10)&gt;0,(RawCurrent!B18+MEDIAN(RawCurrent!B$7:B$10)),(RawCurrent!B18-MEDIAN(RawCurrent!B$7:B$10))))</f>
        <v>-5520.1341781616211</v>
      </c>
      <c r="C18">
        <f>IF(ISBLANK(RawCurrent!C18),"",IF(AVERAGE(RawCurrent!C$7:C$10)&gt;0,(RawCurrent!C18+MEDIAN(RawCurrent!C$7:C$10)),(RawCurrent!C18-MEDIAN(RawCurrent!C$7:C$10))))</f>
        <v>-646.30085945129315</v>
      </c>
      <c r="D18">
        <f>IF(ISBLANK(RawCurrent!D18),"",IF(AVERAGE(RawCurrent!D$7:D$10)&gt;0,(RawCurrent!D18+MEDIAN(RawCurrent!D$7:D$10)),(RawCurrent!D18-MEDIAN(RawCurrent!D$7:D$10))))</f>
        <v>-2062.7521362304642</v>
      </c>
      <c r="E18">
        <f>IF(ISBLANK(RawCurrent!E18),"",IF(AVERAGE(RawCurrent!E$7:E$10)&gt;0,(RawCurrent!E18+MEDIAN(RawCurrent!E$7:E$10)),(RawCurrent!E18-MEDIAN(RawCurrent!E$7:E$10))))</f>
        <v>-2344.2749786376953</v>
      </c>
      <c r="F18">
        <f>IF(ISBLANK(RawCurrent!F18),"",IF(AVERAGE(RawCurrent!F$7:F$10)&gt;0,(RawCurrent!F18+MEDIAN(RawCurrent!F$7:F$10)),(RawCurrent!F18-MEDIAN(RawCurrent!F$7:F$10))))</f>
        <v>-2537.4375762939453</v>
      </c>
      <c r="G18">
        <f>IF(ISBLANK(RawCurrent!G18),"",IF(AVERAGE(RawCurrent!G$7:G$10)&gt;0,(RawCurrent!G18+MEDIAN(RawCurrent!G$7:G$10)),(RawCurrent!G18-MEDIAN(RawCurrent!G$7:G$10))))</f>
        <v>-1102.7834777832031</v>
      </c>
      <c r="H18">
        <f>IF(ISBLANK(RawCurrent!H18),"",IF(AVERAGE(RawCurrent!H$7:H$10)&gt;0,(RawCurrent!H18+MEDIAN(RawCurrent!H$7:H$10)),(RawCurrent!H18-MEDIAN(RawCurrent!H$7:H$10))))</f>
        <v>-1704.0692901611253</v>
      </c>
      <c r="I18">
        <f>IF(ISBLANK(RawCurrent!I18),"",IF(AVERAGE(RawCurrent!I$7:I$10)&gt;0,(RawCurrent!I18+MEDIAN(RawCurrent!I$7:I$10)),(RawCurrent!I18-MEDIAN(RawCurrent!I$7:I$10))))</f>
        <v>-1061.6482906341478</v>
      </c>
      <c r="J18">
        <f>IF(ISBLANK(RawCurrent!J18),"",IF(AVERAGE(RawCurrent!J$7:J$10)&gt;0,(RawCurrent!J18+MEDIAN(RawCurrent!J$7:J$10)),(RawCurrent!J18-MEDIAN(RawCurrent!J$7:J$10))))</f>
        <v>-964.56183242797476</v>
      </c>
      <c r="K18">
        <f>IF(ISBLANK(RawCurrent!K18),"",IF(AVERAGE(RawCurrent!K$7:K$10)&gt;0,(RawCurrent!K18+MEDIAN(RawCurrent!K$7:K$10)),(RawCurrent!K18-MEDIAN(RawCurrent!K$7:K$10))))</f>
        <v>-2828.7544646263123</v>
      </c>
      <c r="L18">
        <f>IF(ISBLANK(RawCurrent!L18),"",IF(AVERAGE(RawCurrent!L$7:L$10)&gt;0,(RawCurrent!L18+MEDIAN(RawCurrent!L$7:L$10)),(RawCurrent!L18-MEDIAN(RawCurrent!L$7:L$10))))</f>
        <v>-696.08496856689442</v>
      </c>
      <c r="M18">
        <f>IF(ISBLANK(RawCurrent!M18),"",IF(AVERAGE(RawCurrent!M$7:M$10)&gt;0,(RawCurrent!M18+MEDIAN(RawCurrent!M$7:M$10)),(RawCurrent!M18-MEDIAN(RawCurrent!M$7:M$10))))</f>
        <v>-1681.5497589111328</v>
      </c>
      <c r="N18">
        <f>IF(ISBLANK(RawCurrent!N18),"",IF(AVERAGE(RawCurrent!N$7:N$10)&gt;0,(RawCurrent!N18+MEDIAN(RawCurrent!N$7:N$10)),(RawCurrent!N18-MEDIAN(RawCurrent!N$7:N$10))))</f>
        <v>-965.9427795410154</v>
      </c>
      <c r="O18">
        <f>IF(ISBLANK(RawCurrent!O18),"",IF(AVERAGE(RawCurrent!O$7:O$10)&gt;0,(RawCurrent!O18+MEDIAN(RawCurrent!O$7:O$10)),(RawCurrent!O18-MEDIAN(RawCurrent!O$7:O$10))))</f>
        <v>-861.16428756713788</v>
      </c>
      <c r="P18">
        <f>IF(ISBLANK(RawCurrent!P18),"",IF(AVERAGE(RawCurrent!P$7:P$10)&gt;0,(RawCurrent!P18+MEDIAN(RawCurrent!P$7:P$10)),(RawCurrent!P18-MEDIAN(RawCurrent!P$7:P$10))))</f>
        <v>-1253.4426574707006</v>
      </c>
      <c r="Q18">
        <f>IF(ISBLANK(RawCurrent!Q18),"",IF(AVERAGE(RawCurrent!Q$7:Q$10)&gt;0,(RawCurrent!Q18+MEDIAN(RawCurrent!Q$7:Q$10)),(RawCurrent!Q18-MEDIAN(RawCurrent!Q$7:Q$10))))</f>
        <v>-1104.0895099639868</v>
      </c>
      <c r="R18">
        <f>IF(ISBLANK(RawCurrent!R18),"",IF(AVERAGE(RawCurrent!R$7:R$10)&gt;0,(RawCurrent!R18+MEDIAN(RawCurrent!R$7:R$10)),(RawCurrent!R18-MEDIAN(RawCurrent!R$7:R$10))))</f>
        <v>-916.80150699615467</v>
      </c>
      <c r="S18">
        <f>IF(ISBLANK(RawCurrent!S18),"",IF(AVERAGE(RawCurrent!S$7:S$10)&gt;0,(RawCurrent!S18+MEDIAN(RawCurrent!S$7:S$10)),(RawCurrent!S18-MEDIAN(RawCurrent!S$7:S$10))))</f>
        <v>-592.89826202392589</v>
      </c>
      <c r="T18">
        <f>IF(ISBLANK(RawCurrent!T18),"",IF(AVERAGE(RawCurrent!T$7:T$10)&gt;0,(RawCurrent!T18+MEDIAN(RawCurrent!T$7:T$10)),(RawCurrent!T18-MEDIAN(RawCurrent!T$7:T$10))))</f>
        <v>-473.18477630615229</v>
      </c>
      <c r="U18">
        <f>IF(ISBLANK(RawCurrent!U18),"",IF(AVERAGE(RawCurrent!U$7:U$10)&gt;0,(RawCurrent!U18+MEDIAN(RawCurrent!U$7:U$10)),(RawCurrent!U18-MEDIAN(RawCurrent!U$7:U$10))))</f>
        <v>-611.80297851562477</v>
      </c>
      <c r="V18">
        <f>IF(ISBLANK(RawCurrent!V18),"",IF(AVERAGE(RawCurrent!V$7:V$10)&gt;0,(RawCurrent!V18+MEDIAN(RawCurrent!V$7:V$10)),(RawCurrent!V18-MEDIAN(RawCurrent!V$7:V$10))))</f>
        <v>-615.42359161376885</v>
      </c>
      <c r="W18">
        <f>IF(ISBLANK(RawCurrent!W18),"",IF(AVERAGE(RawCurrent!W$7:W$10)&gt;0,(RawCurrent!W18+MEDIAN(RawCurrent!W$7:W$10)),(RawCurrent!W18-MEDIAN(RawCurrent!W$7:W$10))))</f>
        <v>-439.902061462402</v>
      </c>
      <c r="X18">
        <f>IF(ISBLANK(RawCurrent!X18),"",IF(AVERAGE(RawCurrent!X$7:X$10)&gt;0,(RawCurrent!X18+MEDIAN(RawCurrent!X$7:X$10)),(RawCurrent!X18-MEDIAN(RawCurrent!X$7:X$10))))</f>
        <v>-545.00482940673794</v>
      </c>
      <c r="Y18">
        <f>IF(ISBLANK(RawCurrent!Y18),"",IF(AVERAGE(RawCurrent!Y$7:Y$10)&gt;0,(RawCurrent!Y18+MEDIAN(RawCurrent!Y$7:Y$10)),(RawCurrent!Y18-MEDIAN(RawCurrent!Y$7:Y$10))))</f>
        <v>-540.57119750976517</v>
      </c>
      <c r="Z18">
        <f>IF(ISBLANK(RawCurrent!Z18),"",IF(AVERAGE(RawCurrent!Z$7:Z$10)&gt;0,(RawCurrent!Z18+MEDIAN(RawCurrent!Z$7:Z$10)),(RawCurrent!Z18-MEDIAN(RawCurrent!Z$7:Z$10))))</f>
        <v>-496.6195158958426</v>
      </c>
      <c r="AA18">
        <f>IF(ISBLANK(RawCurrent!AA18),"",IF(AVERAGE(RawCurrent!AA$7:AA$10)&gt;0,(RawCurrent!AA18+MEDIAN(RawCurrent!AA$7:AA$10)),(RawCurrent!AA18-MEDIAN(RawCurrent!AA$7:AA$10))))</f>
        <v>-476.61197042465187</v>
      </c>
      <c r="AB18">
        <f>IF(ISBLANK(RawCurrent!AB18),"",IF(AVERAGE(RawCurrent!AB$7:AB$10)&gt;0,(RawCurrent!AB18+MEDIAN(RawCurrent!AB$7:AB$10)),(RawCurrent!AB18-MEDIAN(RawCurrent!AB$7:AB$10))))</f>
        <v>-484.0442457199095</v>
      </c>
      <c r="AC18">
        <f>IF(ISBLANK(RawCurrent!AC18),"",IF(AVERAGE(RawCurrent!AC$7:AC$10)&gt;0,(RawCurrent!AC18+MEDIAN(RawCurrent!AC$7:AC$10)),(RawCurrent!AC18-MEDIAN(RawCurrent!AC$7:AC$10))))</f>
        <v>-988.81942176818109</v>
      </c>
      <c r="AD18">
        <f>IF(ISBLANK(RawCurrent!AD18),"",IF(AVERAGE(RawCurrent!AD$7:AD$10)&gt;0,(RawCurrent!AD18+MEDIAN(RawCurrent!AD$7:AD$10)),(RawCurrent!AD18-MEDIAN(RawCurrent!AD$7:AD$10))))</f>
        <v>-577.05110931396439</v>
      </c>
      <c r="AE18">
        <f>IF(ISBLANK(RawCurrent!AE18),"",IF(AVERAGE(RawCurrent!AE$7:AE$10)&gt;0,(RawCurrent!AE18+MEDIAN(RawCurrent!AE$7:AE$10)),(RawCurrent!AE18-MEDIAN(RawCurrent!AE$7:AE$10))))</f>
        <v>-548.12188053131081</v>
      </c>
      <c r="AF18">
        <f>IF(ISBLANK(RawCurrent!AF18),"",IF(AVERAGE(RawCurrent!AF$7:AF$10)&gt;0,(RawCurrent!AF18+MEDIAN(RawCurrent!AF$7:AF$10)),(RawCurrent!AF18-MEDIAN(RawCurrent!AF$7:AF$10))))</f>
        <v>-491.23289775848349</v>
      </c>
      <c r="AG18">
        <f>IF(ISBLANK(RawCurrent!AG18),"",IF(AVERAGE(RawCurrent!AG$7:AG$10)&gt;0,(RawCurrent!AG18+MEDIAN(RawCurrent!AG$7:AG$10)),(RawCurrent!AG18-MEDIAN(RawCurrent!AG$7:AG$10))))</f>
        <v>-405.48760604858319</v>
      </c>
      <c r="AH18">
        <f>IF(ISBLANK(RawCurrent!AH18),"",IF(AVERAGE(RawCurrent!AH$7:AH$10)&gt;0,(RawCurrent!AH18+MEDIAN(RawCurrent!AH$7:AH$10)),(RawCurrent!AH18-MEDIAN(RawCurrent!AH$7:AH$10))))</f>
        <v>-479.80366134643481</v>
      </c>
      <c r="AI18">
        <f>IF(ISBLANK(RawCurrent!AI18),"",IF(AVERAGE(RawCurrent!AI$7:AI$10)&gt;0,(RawCurrent!AI18+MEDIAN(RawCurrent!AI$7:AI$10)),(RawCurrent!AI18-MEDIAN(RawCurrent!AI$7:AI$10))))</f>
        <v>-309.25424194335898</v>
      </c>
      <c r="AJ18">
        <f>IF(ISBLANK(RawCurrent!AJ18),"",IF(AVERAGE(RawCurrent!AJ$7:AJ$10)&gt;0,(RawCurrent!AJ18+MEDIAN(RawCurrent!AJ$7:AJ$10)),(RawCurrent!AJ18-MEDIAN(RawCurrent!AJ$7:AJ$10))))</f>
        <v>-356.47214317321777</v>
      </c>
      <c r="AK18">
        <f>IF(ISBLANK(RawCurrent!AK18),"",IF(AVERAGE(RawCurrent!AK$7:AK$10)&gt;0,(RawCurrent!AK18+MEDIAN(RawCurrent!AK$7:AK$10)),(RawCurrent!AK18-MEDIAN(RawCurrent!AK$7:AK$10))))</f>
        <v>-303.8731994628904</v>
      </c>
      <c r="AL18">
        <f>IF(ISBLANK(RawCurrent!AL18),"",IF(AVERAGE(RawCurrent!AL$7:AL$10)&gt;0,(RawCurrent!AL18+MEDIAN(RawCurrent!AL$7:AL$10)),(RawCurrent!AL18-MEDIAN(RawCurrent!AL$7:AL$10))))</f>
        <v>-288.07321548461869</v>
      </c>
      <c r="AM18">
        <f>IF(ISBLANK(RawCurrent!AM18),"",IF(AVERAGE(RawCurrent!AM$7:AM$10)&gt;0,(RawCurrent!AM18+MEDIAN(RawCurrent!AM$7:AM$10)),(RawCurrent!AM18-MEDIAN(RawCurrent!AM$7:AM$10))))</f>
        <v>-266.82246017455981</v>
      </c>
      <c r="AO18">
        <f>IF(ISBLANK(RawCurrent!AO18),"",IF(AVERAGE(RawCurrent!AO$7:AO$10)&gt;0,(RawCurrent!AO18+MEDIAN(RawCurrent!AO$7:AO$10)),(RawCurrent!AO18-MEDIAN(RawCurrent!AO$7:AO$10))))</f>
        <v>-179.23819351196229</v>
      </c>
      <c r="AP18">
        <f>IF(ISBLANK(RawCurrent!AP18),"",IF(AVERAGE(RawCurrent!AP$7:AP$10)&gt;0,(RawCurrent!AP18+MEDIAN(RawCurrent!AP$7:AP$10)),(RawCurrent!AP18-MEDIAN(RawCurrent!AP$7:AP$10))))</f>
        <v>-129.96625137329102</v>
      </c>
      <c r="AQ18">
        <f>IF(ISBLANK(RawCurrent!AQ18),"",IF(AVERAGE(RawCurrent!AQ$7:AQ$10)&gt;0,(RawCurrent!AQ18+MEDIAN(RawCurrent!AQ$7:AQ$10)),(RawCurrent!AQ18-MEDIAN(RawCurrent!AQ$7:AQ$10))))</f>
        <v>-142.85170936584436</v>
      </c>
      <c r="AR18">
        <f>IF(ISBLANK(RawCurrent!AR18),"",IF(AVERAGE(RawCurrent!AR$7:AR$10)&gt;0,(RawCurrent!AR18+MEDIAN(RawCurrent!AR$7:AR$10)),(RawCurrent!AR18-MEDIAN(RawCurrent!AR$7:AR$10))))</f>
        <v>-73.955346584320154</v>
      </c>
      <c r="AS18">
        <f>IF(ISBLANK(RawCurrent!AS18),"",IF(AVERAGE(RawCurrent!AS$7:AS$10)&gt;0,(RawCurrent!AS18+MEDIAN(RawCurrent!AS$7:AS$10)),(RawCurrent!AS18-MEDIAN(RawCurrent!AS$7:AS$10))))</f>
        <v>-136.63172245025575</v>
      </c>
      <c r="AT18">
        <f>IF(ISBLANK(RawCurrent!AT18),"",IF(AVERAGE(RawCurrent!AT$7:AT$10)&gt;0,(RawCurrent!AT18+MEDIAN(RawCurrent!AT$7:AT$10)),(RawCurrent!AT18-MEDIAN(RawCurrent!AT$7:AT$10))))</f>
        <v>-205.60701751708922</v>
      </c>
      <c r="AU18">
        <f>IF(ISBLANK(RawCurrent!AU18),"",IF(AVERAGE(RawCurrent!AU$7:AU$10)&gt;0,(RawCurrent!AU18+MEDIAN(RawCurrent!AU$7:AU$10)),(RawCurrent!AU18-MEDIAN(RawCurrent!AU$7:AU$10))))</f>
        <v>-467.82702255248995</v>
      </c>
      <c r="AV18">
        <f>IF(ISBLANK(RawCurrent!AV18),"",IF(AVERAGE(RawCurrent!AV$7:AV$10)&gt;0,(RawCurrent!AV18+MEDIAN(RawCurrent!AV$7:AV$10)),(RawCurrent!AV18-MEDIAN(RawCurrent!AV$7:AV$10))))</f>
        <v>-132.14897060394247</v>
      </c>
      <c r="AW18">
        <f>IF(ISBLANK(RawCurrent!AW18),"",IF(AVERAGE(RawCurrent!AW$7:AW$10)&gt;0,(RawCurrent!AW18+MEDIAN(RawCurrent!AW$7:AW$10)),(RawCurrent!AW18-MEDIAN(RawCurrent!AW$7:AW$10))))</f>
        <v>-1008.23449707031</v>
      </c>
      <c r="AX18">
        <f>IF(ISBLANK(RawCurrent!AX18),"",IF(AVERAGE(RawCurrent!AX$7:AX$10)&gt;0,(RawCurrent!AX18+MEDIAN(RawCurrent!AX$7:AX$10)),(RawCurrent!AX18-MEDIAN(RawCurrent!AX$7:AX$10))))</f>
        <v>-1361.0284042358323</v>
      </c>
      <c r="AY18">
        <f>IF(ISBLANK(RawCurrent!AY18),"",IF(AVERAGE(RawCurrent!AY$7:AY$10)&gt;0,(RawCurrent!AY18+MEDIAN(RawCurrent!AY$7:AY$10)),(RawCurrent!AY18-MEDIAN(RawCurrent!AY$7:AY$10))))</f>
        <v>-792.6168305079143</v>
      </c>
      <c r="AZ18">
        <f>IF(ISBLANK(RawCurrent!AZ18),"",IF(AVERAGE(RawCurrent!AZ$7:AZ$10)&gt;0,(RawCurrent!AZ18+MEDIAN(RawCurrent!AZ$7:AZ$10)),(RawCurrent!AZ18-MEDIAN(RawCurrent!AZ$7:AZ$10))))</f>
        <v>-626.83928298950116</v>
      </c>
      <c r="BA18">
        <f>IF(ISBLANK(RawCurrent!BA18),"",IF(AVERAGE(RawCurrent!BA$7:BA$10)&gt;0,(RawCurrent!BA18+MEDIAN(RawCurrent!BA$7:BA$10)),(RawCurrent!BA18-MEDIAN(RawCurrent!BA$7:BA$10))))</f>
        <v>-589.95416577656999</v>
      </c>
      <c r="BB18">
        <v>-185.56741333007801</v>
      </c>
      <c r="BC18">
        <f>IF(ISBLANK(RawCurrent!BC18),"",IF(AVERAGE(RawCurrent!BC$7:BC$10)&gt;0,(RawCurrent!BC18+MEDIAN(RawCurrent!BC$7:BC$10)),(RawCurrent!BC18-MEDIAN(RawCurrent!BC$7:BC$10))))</f>
        <v>-264.10860824584893</v>
      </c>
      <c r="BD18">
        <f>IF(ISBLANK(RawCurrent!BD18),"",IF(AVERAGE(RawCurrent!BD$7:BD$10)&gt;0,(RawCurrent!BD18+MEDIAN(RawCurrent!BD$7:BD$10)),(RawCurrent!BD18-MEDIAN(RawCurrent!BD$7:BD$10))))</f>
        <v>-320.18133735656716</v>
      </c>
      <c r="BE18">
        <f>IF(ISBLANK(RawCurrent!BE18),"",IF(AVERAGE(RawCurrent!BE$7:BE$10)&gt;0,(RawCurrent!BE18+MEDIAN(RawCurrent!BE$7:BE$10)),(RawCurrent!BE18-MEDIAN(RawCurrent!BE$7:BE$10))))</f>
        <v>-270.4583282470702</v>
      </c>
      <c r="BF18">
        <f>IF(ISBLANK(RawCurrent!BF18),"",IF(AVERAGE(RawCurrent!BF$7:BF$10)&gt;0,(RawCurrent!BF18+MEDIAN(RawCurrent!BF$7:BF$10)),(RawCurrent!BF18-MEDIAN(RawCurrent!BF$7:BF$10))))</f>
        <v>-178.86570358276285</v>
      </c>
      <c r="BG18">
        <f>IF(ISBLANK(RawCurrent!BG18),"",IF(AVERAGE(RawCurrent!BG$7:BG$10)&gt;0,(RawCurrent!BG18+MEDIAN(RawCurrent!BG$7:BG$10)),(RawCurrent!BG18-MEDIAN(RawCurrent!BG$7:BG$10))))</f>
        <v>-524.8864803314209</v>
      </c>
      <c r="BH18">
        <f>IF(ISBLANK(RawCurrent!BH18),"",IF(AVERAGE(RawCurrent!BH$7:BH$10)&gt;0,(RawCurrent!BH18+MEDIAN(RawCurrent!BH$7:BH$10)),(RawCurrent!BH18-MEDIAN(RawCurrent!BH$7:BH$10))))</f>
        <v>-77.827705383300753</v>
      </c>
      <c r="BI18">
        <f>IF(ISBLANK(RawCurrent!BI18),"",IF(AVERAGE(RawCurrent!BI$7:BI$10)&gt;0,(RawCurrent!BI18+MEDIAN(RawCurrent!BI$7:BI$10)),(RawCurrent!BI18-MEDIAN(RawCurrent!BI$7:BI$10))))</f>
        <v>-107.05710697174025</v>
      </c>
      <c r="BJ18">
        <f>IF(ISBLANK(RawCurrent!BJ18),"",IF(AVERAGE(RawCurrent!BJ$7:BJ$10)&gt;0,(RawCurrent!BJ18+MEDIAN(RawCurrent!BJ$7:BJ$10)),(RawCurrent!BJ18-MEDIAN(RawCurrent!BJ$7:BJ$10))))</f>
        <v>-126.61741733550936</v>
      </c>
      <c r="BK18">
        <f>IF(ISBLANK(RawCurrent!BK18),"",IF(AVERAGE(RawCurrent!BK$7:BK$10)&gt;0,(RawCurrent!BK18+MEDIAN(RawCurrent!BK$7:BK$10)),(RawCurrent!BK18-MEDIAN(RawCurrent!BK$7:BK$10))))</f>
        <v>-991.11650398491406</v>
      </c>
      <c r="BL18">
        <f>IF(ISBLANK(RawCurrent!BL18),"",IF(AVERAGE(RawCurrent!BL$7:BL$10)&gt;0,(RawCurrent!BL18+MEDIAN(RawCurrent!BL$7:BL$10)),(RawCurrent!BL18-MEDIAN(RawCurrent!BL$7:BL$10))))</f>
        <v>-369.10622406005785</v>
      </c>
      <c r="BM18">
        <f>IF(ISBLANK(RawCurrent!BM18),"",IF(AVERAGE(RawCurrent!BM$7:BM$10)&gt;0,(RawCurrent!BM18+MEDIAN(RawCurrent!BM$7:BM$10)),(RawCurrent!BM18-MEDIAN(RawCurrent!BM$7:BM$10))))</f>
        <v>-328.81406784057566</v>
      </c>
      <c r="BN18">
        <f>IF(ISBLANK(RawCurrent!BN18),"",IF(AVERAGE(RawCurrent!BN$7:BN$10)&gt;0,(RawCurrent!BN18+MEDIAN(RawCurrent!BN$7:BN$10)),(RawCurrent!BN18-MEDIAN(RawCurrent!BN$7:BN$10))))</f>
        <v>-246.26699447631819</v>
      </c>
      <c r="BO18">
        <f>IF(ISBLANK(RawCurrent!BO18),"",IF(AVERAGE(RawCurrent!BO$7:BO$10)&gt;0,(RawCurrent!BO18+MEDIAN(RawCurrent!BO$7:BO$10)),(RawCurrent!BO18-MEDIAN(RawCurrent!BO$7:BO$10))))</f>
        <v>-229.25019645690921</v>
      </c>
      <c r="BP18">
        <f>IF(ISBLANK(RawCurrent!BP18),"",IF(AVERAGE(RawCurrent!BP$7:BP$10)&gt;0,(RawCurrent!BP18+MEDIAN(RawCurrent!BP$7:BP$10)),(RawCurrent!BP18-MEDIAN(RawCurrent!BP$7:BP$10))))</f>
        <v>-319.84470367431578</v>
      </c>
      <c r="BQ18">
        <f>IF(ISBLANK(RawCurrent!BQ18),"",IF(AVERAGE(RawCurrent!BQ$7:BQ$10)&gt;0,(RawCurrent!BQ18+MEDIAN(RawCurrent!BQ$7:BQ$10)),(RawCurrent!BQ18-MEDIAN(RawCurrent!BQ$7:BQ$10))))</f>
        <v>-325.91695404052678</v>
      </c>
      <c r="BR18">
        <f>IF(ISBLANK(RawCurrent!BR18),"",IF(AVERAGE(RawCurrent!BR$7:BR$10)&gt;0,(RawCurrent!BR18+MEDIAN(RawCurrent!BR$7:BR$10)),(RawCurrent!BR18-MEDIAN(RawCurrent!BR$7:BR$10))))</f>
        <v>-283.80505688985164</v>
      </c>
      <c r="BS18">
        <f>IF(ISBLANK(RawCurrent!BS18),"",IF(AVERAGE(RawCurrent!BS$7:BS$10)&gt;0,(RawCurrent!BS18+MEDIAN(RawCurrent!BS$7:BS$10)),(RawCurrent!BS18-MEDIAN(RawCurrent!BS$7:BS$10))))</f>
        <v>-478.21848373413019</v>
      </c>
      <c r="BT18">
        <f>IF(ISBLANK(RawCurrent!BT18),"",IF(AVERAGE(RawCurrent!BT$7:BT$10)&gt;0,(RawCurrent!BT18+MEDIAN(RawCurrent!BT$7:BT$10)),(RawCurrent!BT18-MEDIAN(RawCurrent!BT$7:BT$10))))</f>
        <v>-252.8434901237481</v>
      </c>
      <c r="BU18">
        <f>IF(ISBLANK(RawCurrent!BU18),"",IF(AVERAGE(RawCurrent!BU$7:BU$10)&gt;0,(RawCurrent!BU18+MEDIAN(RawCurrent!BU$7:BU$10)),(RawCurrent!BU18-MEDIAN(RawCurrent!BU$7:BU$10))))</f>
        <v>-257.01260375976472</v>
      </c>
      <c r="BV18">
        <f>IF(ISBLANK(RawCurrent!BV18),"",IF(AVERAGE(RawCurrent!BV$7:BV$10)&gt;0,(RawCurrent!BV18+MEDIAN(RawCurrent!BV$7:BV$10)),(RawCurrent!BV18-MEDIAN(RawCurrent!BV$7:BV$10))))</f>
        <v>-181.76046117146774</v>
      </c>
      <c r="BW18">
        <f>IF(ISBLANK(RawCurrent!BW18),"",IF(AVERAGE(RawCurrent!BW$7:BW$10)&gt;0,(RawCurrent!BW18+MEDIAN(RawCurrent!BW$7:BW$10)),(RawCurrent!BW18-MEDIAN(RawCurrent!BW$7:BW$10))))</f>
        <v>-284.37560892105023</v>
      </c>
      <c r="BX18">
        <f>IF(ISBLANK(RawCurrent!BX18),"",IF(AVERAGE(RawCurrent!BX$7:BX$10)&gt;0,(RawCurrent!BX18+MEDIAN(RawCurrent!BX$7:BX$10)),(RawCurrent!BX18-MEDIAN(RawCurrent!BX$7:BX$10))))</f>
        <v>-226.09911624363448</v>
      </c>
      <c r="BZ18">
        <f>IF(ISBLANK(RawCurrent!BZ18),"",IF(AVERAGE(RawCurrent!BZ$7:BZ$10)&gt;0,(RawCurrent!BZ18+MEDIAN(RawCurrent!BZ$7:BZ$10)),(RawCurrent!BZ18-MEDIAN(RawCurrent!BZ$7:BZ$10))))</f>
        <v>-68.282394409179688</v>
      </c>
      <c r="CA18">
        <f>IF(ISBLANK(RawCurrent!CA18),"",IF(AVERAGE(RawCurrent!CA$7:CA$10)&gt;0,(RawCurrent!CA18+MEDIAN(RawCurrent!CA$7:CA$10)),(RawCurrent!CA18-MEDIAN(RawCurrent!CA$7:CA$10))))</f>
        <v>-107.66990470886175</v>
      </c>
      <c r="CB18">
        <f>IF(ISBLANK(RawCurrent!CB18),"",IF(AVERAGE(RawCurrent!CB$7:CB$10)&gt;0,(RawCurrent!CB18+MEDIAN(RawCurrent!CB$7:CB$10)),(RawCurrent!CB18-MEDIAN(RawCurrent!CB$7:CB$10))))</f>
        <v>-74.770668665567925</v>
      </c>
      <c r="CC18">
        <f>IF(ISBLANK(RawCurrent!CC18),"",IF(AVERAGE(RawCurrent!CC$7:CC$10)&gt;0,(RawCurrent!CC18+MEDIAN(RawCurrent!CC$7:CC$10)),(RawCurrent!CC18-MEDIAN(RawCurrent!CC$7:CC$10))))</f>
        <v>-186.81595635414061</v>
      </c>
      <c r="CD18">
        <f>IF(ISBLANK(RawCurrent!CD18),"",IF(AVERAGE(RawCurrent!CD$7:CD$10)&gt;0,(RawCurrent!CD18+MEDIAN(RawCurrent!CD$7:CD$10)),(RawCurrent!CD18-MEDIAN(RawCurrent!CD$7:CD$10))))</f>
        <v>-112.56053066253635</v>
      </c>
      <c r="CE18">
        <f t="shared" si="28"/>
        <v>30</v>
      </c>
      <c r="CF18">
        <f t="shared" si="4"/>
        <v>-904.65885763818471</v>
      </c>
      <c r="CG18">
        <f t="shared" si="5"/>
        <v>144.9474897936062</v>
      </c>
      <c r="CH18">
        <f t="shared" si="6"/>
        <v>-459.58880581174475</v>
      </c>
      <c r="CI18">
        <f t="shared" si="7"/>
        <v>102.22645885560051</v>
      </c>
      <c r="CJ18">
        <f t="shared" si="8"/>
        <v>-280.2384168514501</v>
      </c>
      <c r="CK18">
        <f t="shared" si="9"/>
        <v>46.198291368542328</v>
      </c>
      <c r="CL18">
        <f t="shared" si="10"/>
        <v>-937.34538091466925</v>
      </c>
      <c r="CM18">
        <v>145.23582203963272</v>
      </c>
      <c r="CN18">
        <f t="shared" si="0"/>
        <v>-482.04917391621478</v>
      </c>
      <c r="CO18">
        <v>102.22645885560051</v>
      </c>
      <c r="CP18">
        <f t="shared" si="11"/>
        <v>-292.942995096071</v>
      </c>
      <c r="CQ18">
        <v>46.198291368542328</v>
      </c>
      <c r="CR18">
        <f>MEDIAN((B18:AQ18,AS18:AU18))</f>
        <v>-562.5864949226376</v>
      </c>
      <c r="CS18">
        <f>_xlfn.QUARTILE.EXC((B18:AQ18,AS18:AU18),3)</f>
        <v>-414.09121990203789</v>
      </c>
      <c r="CT18">
        <f>_xlfn.QUARTILE.EXC((B18:AQ18,AS18:AU18),1)</f>
        <v>-1043.4410734176561</v>
      </c>
      <c r="CU18">
        <f t="shared" si="12"/>
        <v>-295.31983280181868</v>
      </c>
      <c r="CV18">
        <f t="shared" si="13"/>
        <v>-165.80363202094946</v>
      </c>
      <c r="CW18">
        <f t="shared" si="14"/>
        <v>-668.28366986910441</v>
      </c>
      <c r="CX18">
        <f t="shared" si="15"/>
        <v>-252.8434901237481</v>
      </c>
      <c r="CY18">
        <f t="shared" si="16"/>
        <v>-181.76046117146774</v>
      </c>
      <c r="CZ18">
        <f t="shared" si="17"/>
        <v>-325.91695404052678</v>
      </c>
      <c r="DA18">
        <f t="shared" si="18"/>
        <v>-578.24340939521755</v>
      </c>
      <c r="DB18">
        <f t="shared" si="19"/>
        <v>-429.74813437461779</v>
      </c>
      <c r="DC18">
        <f t="shared" si="20"/>
        <v>-1059.097987890236</v>
      </c>
      <c r="DD18">
        <f t="shared" si="21"/>
        <v>-309.91806006431563</v>
      </c>
      <c r="DE18">
        <f t="shared" si="22"/>
        <v>-180.40185928344638</v>
      </c>
      <c r="DF18">
        <f t="shared" si="23"/>
        <v>-682.88189713160136</v>
      </c>
      <c r="DG18">
        <f t="shared" si="24"/>
        <v>-261.44446921348504</v>
      </c>
      <c r="DH18">
        <f t="shared" si="25"/>
        <v>-190.36144026120468</v>
      </c>
      <c r="DI18">
        <f t="shared" si="26"/>
        <v>-334.51793313026371</v>
      </c>
    </row>
    <row r="19" spans="1:113" x14ac:dyDescent="0.2">
      <c r="A19" s="3">
        <f t="shared" si="27"/>
        <v>40</v>
      </c>
      <c r="B19">
        <f>IF(ISBLANK(RawCurrent!B19),"",IF(AVERAGE(RawCurrent!B$7:B$10)&gt;0,(RawCurrent!B19+MEDIAN(RawCurrent!B$7:B$10)),(RawCurrent!B19-MEDIAN(RawCurrent!B$7:B$10))))</f>
        <v>-4489.1771469116211</v>
      </c>
      <c r="C19">
        <f>IF(ISBLANK(RawCurrent!C19),"",IF(AVERAGE(RawCurrent!C$7:C$10)&gt;0,(RawCurrent!C19+MEDIAN(RawCurrent!C$7:C$10)),(RawCurrent!C19-MEDIAN(RawCurrent!C$7:C$10))))</f>
        <v>-475.95396614074622</v>
      </c>
      <c r="D19">
        <f>IF(ISBLANK(RawCurrent!D19),"",IF(AVERAGE(RawCurrent!D$7:D$10)&gt;0,(RawCurrent!D19+MEDIAN(RawCurrent!D$7:D$10)),(RawCurrent!D19-MEDIAN(RawCurrent!D$7:D$10))))</f>
        <v>-1414.461486816404</v>
      </c>
      <c r="E19">
        <f>IF(ISBLANK(RawCurrent!E19),"",IF(AVERAGE(RawCurrent!E$7:E$10)&gt;0,(RawCurrent!E19+MEDIAN(RawCurrent!E$7:E$10)),(RawCurrent!E19-MEDIAN(RawCurrent!E$7:E$10))))</f>
        <v>-1585.1016387939453</v>
      </c>
      <c r="F19">
        <f>IF(ISBLANK(RawCurrent!F19),"",IF(AVERAGE(RawCurrent!F$7:F$10)&gt;0,(RawCurrent!F19+MEDIAN(RawCurrent!F$7:F$10)),(RawCurrent!F19-MEDIAN(RawCurrent!F$7:F$10))))</f>
        <v>-1748.4055938720655</v>
      </c>
      <c r="G19">
        <f>IF(ISBLANK(RawCurrent!G19),"",IF(AVERAGE(RawCurrent!G$7:G$10)&gt;0,(RawCurrent!G19+MEDIAN(RawCurrent!G$7:G$10)),(RawCurrent!G19-MEDIAN(RawCurrent!G$7:G$10))))</f>
        <v>-862.75277709960926</v>
      </c>
      <c r="H19">
        <f>IF(ISBLANK(RawCurrent!H19),"",IF(AVERAGE(RawCurrent!H$7:H$10)&gt;0,(RawCurrent!H19+MEDIAN(RawCurrent!H$7:H$10)),(RawCurrent!H19-MEDIAN(RawCurrent!H$7:H$10))))</f>
        <v>-1407.1931915283153</v>
      </c>
      <c r="I19">
        <f>IF(ISBLANK(RawCurrent!I19),"",IF(AVERAGE(RawCurrent!I$7:I$10)&gt;0,(RawCurrent!I19+MEDIAN(RawCurrent!I$7:I$10)),(RawCurrent!I19-MEDIAN(RawCurrent!I$7:I$10))))</f>
        <v>-788.2065792083738</v>
      </c>
      <c r="J19">
        <f>IF(ISBLANK(RawCurrent!J19),"",IF(AVERAGE(RawCurrent!J$7:J$10)&gt;0,(RawCurrent!J19+MEDIAN(RawCurrent!J$7:J$10)),(RawCurrent!J19-MEDIAN(RawCurrent!J$7:J$10))))</f>
        <v>-708.75275039672772</v>
      </c>
      <c r="K19">
        <f>IF(ISBLANK(RawCurrent!K19),"",IF(AVERAGE(RawCurrent!K$7:K$10)&gt;0,(RawCurrent!K19+MEDIAN(RawCurrent!K$7:K$10)),(RawCurrent!K19-MEDIAN(RawCurrent!K$7:K$10))))</f>
        <v>-2242.5307083129883</v>
      </c>
      <c r="L19">
        <f>IF(ISBLANK(RawCurrent!L19),"",IF(AVERAGE(RawCurrent!L$7:L$10)&gt;0,(RawCurrent!L19+MEDIAN(RawCurrent!L$7:L$10)),(RawCurrent!L19-MEDIAN(RawCurrent!L$7:L$10))))</f>
        <v>-461.36219024658135</v>
      </c>
      <c r="M19">
        <f>IF(ISBLANK(RawCurrent!M19),"",IF(AVERAGE(RawCurrent!M$7:M$10)&gt;0,(RawCurrent!M19+MEDIAN(RawCurrent!M$7:M$10)),(RawCurrent!M19-MEDIAN(RawCurrent!M$7:M$10))))</f>
        <v>-1321.7647247314428</v>
      </c>
      <c r="N19">
        <f>IF(ISBLANK(RawCurrent!N19),"",IF(AVERAGE(RawCurrent!N$7:N$10)&gt;0,(RawCurrent!N19+MEDIAN(RawCurrent!N$7:N$10)),(RawCurrent!N19-MEDIAN(RawCurrent!N$7:N$10))))</f>
        <v>-721.1520080566404</v>
      </c>
      <c r="O19">
        <f>IF(ISBLANK(RawCurrent!O19),"",IF(AVERAGE(RawCurrent!O$7:O$10)&gt;0,(RawCurrent!O19+MEDIAN(RawCurrent!O$7:O$10)),(RawCurrent!O19-MEDIAN(RawCurrent!O$7:O$10))))</f>
        <v>-604.01182174682594</v>
      </c>
      <c r="P19">
        <f>IF(ISBLANK(RawCurrent!P19),"",IF(AVERAGE(RawCurrent!P$7:P$10)&gt;0,(RawCurrent!P19+MEDIAN(RawCurrent!P$7:P$10)),(RawCurrent!P19-MEDIAN(RawCurrent!P$7:P$10))))</f>
        <v>-927.70773315429665</v>
      </c>
      <c r="Q19">
        <f>IF(ISBLANK(RawCurrent!Q19),"",IF(AVERAGE(RawCurrent!Q$7:Q$10)&gt;0,(RawCurrent!Q19+MEDIAN(RawCurrent!Q$7:Q$10)),(RawCurrent!Q19-MEDIAN(RawCurrent!Q$7:Q$10))))</f>
        <v>-795.18020820617676</v>
      </c>
      <c r="R19">
        <f>IF(ISBLANK(RawCurrent!R19),"",IF(AVERAGE(RawCurrent!R$7:R$10)&gt;0,(RawCurrent!R19+MEDIAN(RawCurrent!R$7:R$10)),(RawCurrent!R19-MEDIAN(RawCurrent!R$7:R$10))))</f>
        <v>-642.41753482818569</v>
      </c>
      <c r="S19">
        <f>IF(ISBLANK(RawCurrent!S19),"",IF(AVERAGE(RawCurrent!S$7:S$10)&gt;0,(RawCurrent!S19+MEDIAN(RawCurrent!S$7:S$10)),(RawCurrent!S19-MEDIAN(RawCurrent!S$7:S$10))))</f>
        <v>-376.96027374267584</v>
      </c>
      <c r="T19">
        <f>IF(ISBLANK(RawCurrent!T19),"",IF(AVERAGE(RawCurrent!T$7:T$10)&gt;0,(RawCurrent!T19+MEDIAN(RawCurrent!T$7:T$10)),(RawCurrent!T19-MEDIAN(RawCurrent!T$7:T$10))))</f>
        <v>-304.95153045654229</v>
      </c>
      <c r="U19">
        <f>IF(ISBLANK(RawCurrent!U19),"",IF(AVERAGE(RawCurrent!U$7:U$10)&gt;0,(RawCurrent!U19+MEDIAN(RawCurrent!U$7:U$10)),(RawCurrent!U19-MEDIAN(RawCurrent!U$7:U$10))))</f>
        <v>-412.95205688476477</v>
      </c>
      <c r="V19">
        <f>IF(ISBLANK(RawCurrent!V19),"",IF(AVERAGE(RawCurrent!V$7:V$10)&gt;0,(RawCurrent!V19+MEDIAN(RawCurrent!V$7:V$10)),(RawCurrent!V19-MEDIAN(RawCurrent!V$7:V$10))))</f>
        <v>-446.19355010986283</v>
      </c>
      <c r="W19">
        <f>IF(ISBLANK(RawCurrent!W19),"",IF(AVERAGE(RawCurrent!W$7:W$10)&gt;0,(RawCurrent!W19+MEDIAN(RawCurrent!W$7:W$10)),(RawCurrent!W19-MEDIAN(RawCurrent!W$7:W$10))))</f>
        <v>-256.46929168701104</v>
      </c>
      <c r="X19">
        <f>IF(ISBLANK(RawCurrent!X19),"",IF(AVERAGE(RawCurrent!X$7:X$10)&gt;0,(RawCurrent!X19+MEDIAN(RawCurrent!X$7:X$10)),(RawCurrent!X19-MEDIAN(RawCurrent!X$7:X$10))))</f>
        <v>-385.15695953369084</v>
      </c>
      <c r="Y19">
        <f>IF(ISBLANK(RawCurrent!Y19),"",IF(AVERAGE(RawCurrent!Y$7:Y$10)&gt;0,(RawCurrent!Y19+MEDIAN(RawCurrent!Y$7:Y$10)),(RawCurrent!Y19-MEDIAN(RawCurrent!Y$7:Y$10))))</f>
        <v>-384.98080444335915</v>
      </c>
      <c r="Z19">
        <f>IF(ISBLANK(RawCurrent!Z19),"",IF(AVERAGE(RawCurrent!Z$7:Z$10)&gt;0,(RawCurrent!Z19+MEDIAN(RawCurrent!Z$7:Z$10)),(RawCurrent!Z19-MEDIAN(RawCurrent!Z$7:Z$10))))</f>
        <v>-369.3001799583426</v>
      </c>
      <c r="AA19">
        <f>IF(ISBLANK(RawCurrent!AA19),"",IF(AVERAGE(RawCurrent!AA$7:AA$10)&gt;0,(RawCurrent!AA19+MEDIAN(RawCurrent!AA$7:AA$10)),(RawCurrent!AA19-MEDIAN(RawCurrent!AA$7:AA$10))))</f>
        <v>-356.29355001449585</v>
      </c>
      <c r="AB19">
        <f>IF(ISBLANK(RawCurrent!AB19),"",IF(AVERAGE(RawCurrent!AB$7:AB$10)&gt;0,(RawCurrent!AB19+MEDIAN(RawCurrent!AB$7:AB$10)),(RawCurrent!AB19-MEDIAN(RawCurrent!AB$7:AB$10))))</f>
        <v>-350.32107067108149</v>
      </c>
      <c r="AC19">
        <f>IF(ISBLANK(RawCurrent!AC19),"",IF(AVERAGE(RawCurrent!AC$7:AC$10)&gt;0,(RawCurrent!AC19+MEDIAN(RawCurrent!AC$7:AC$10)),(RawCurrent!AC19-MEDIAN(RawCurrent!AC$7:AC$10))))</f>
        <v>-729.21694374084404</v>
      </c>
      <c r="AD19">
        <f>IF(ISBLANK(RawCurrent!AD19),"",IF(AVERAGE(RawCurrent!AD$7:AD$10)&gt;0,(RawCurrent!AD19+MEDIAN(RawCurrent!AD$7:AD$10)),(RawCurrent!AD19-MEDIAN(RawCurrent!AD$7:AD$10))))</f>
        <v>-469.8826828002924</v>
      </c>
      <c r="AE19">
        <f>IF(ISBLANK(RawCurrent!AE19),"",IF(AVERAGE(RawCurrent!AE$7:AE$10)&gt;0,(RawCurrent!AE19+MEDIAN(RawCurrent!AE$7:AE$10)),(RawCurrent!AE19-MEDIAN(RawCurrent!AE$7:AE$10))))</f>
        <v>-395.65413761138876</v>
      </c>
      <c r="AF19">
        <f>IF(ISBLANK(RawCurrent!AF19),"",IF(AVERAGE(RawCurrent!AF$7:AF$10)&gt;0,(RawCurrent!AF19+MEDIAN(RawCurrent!AF$7:AF$10)),(RawCurrent!AF19-MEDIAN(RawCurrent!AF$7:AF$10))))</f>
        <v>-358.73747539520252</v>
      </c>
      <c r="AG19">
        <f>IF(ISBLANK(RawCurrent!AG19),"",IF(AVERAGE(RawCurrent!AG$7:AG$10)&gt;0,(RawCurrent!AG19+MEDIAN(RawCurrent!AG$7:AG$10)),(RawCurrent!AG19-MEDIAN(RawCurrent!AG$7:AG$10))))</f>
        <v>-278.47863388061518</v>
      </c>
      <c r="AH19">
        <f>IF(ISBLANK(RawCurrent!AH19),"",IF(AVERAGE(RawCurrent!AH$7:AH$10)&gt;0,(RawCurrent!AH19+MEDIAN(RawCurrent!AH$7:AH$10)),(RawCurrent!AH19-MEDIAN(RawCurrent!AH$7:AH$10))))</f>
        <v>-311.98322677612282</v>
      </c>
      <c r="AI19">
        <f>IF(ISBLANK(RawCurrent!AI19),"",IF(AVERAGE(RawCurrent!AI$7:AI$10)&gt;0,(RawCurrent!AI19+MEDIAN(RawCurrent!AI$7:AI$10)),(RawCurrent!AI19-MEDIAN(RawCurrent!AI$7:AI$10))))</f>
        <v>-200.47057342529251</v>
      </c>
      <c r="AJ19">
        <f>IF(ISBLANK(RawCurrent!AJ19),"",IF(AVERAGE(RawCurrent!AJ$7:AJ$10)&gt;0,(RawCurrent!AJ19+MEDIAN(RawCurrent!AJ$7:AJ$10)),(RawCurrent!AJ19-MEDIAN(RawCurrent!AJ$7:AJ$10))))</f>
        <v>-266.5703487396238</v>
      </c>
      <c r="AK19">
        <f>IF(ISBLANK(RawCurrent!AK19),"",IF(AVERAGE(RawCurrent!AK$7:AK$10)&gt;0,(RawCurrent!AK19+MEDIAN(RawCurrent!AK$7:AK$10)),(RawCurrent!AK19-MEDIAN(RawCurrent!AK$7:AK$10))))</f>
        <v>-235.0999145507804</v>
      </c>
      <c r="AL19">
        <f>IF(ISBLANK(RawCurrent!AL19),"",IF(AVERAGE(RawCurrent!AL$7:AL$10)&gt;0,(RawCurrent!AL19+MEDIAN(RawCurrent!AL$7:AL$10)),(RawCurrent!AL19-MEDIAN(RawCurrent!AL$7:AL$10))))</f>
        <v>-204.4423255920407</v>
      </c>
      <c r="AM19">
        <f>IF(ISBLANK(RawCurrent!AM19),"",IF(AVERAGE(RawCurrent!AM$7:AM$10)&gt;0,(RawCurrent!AM19+MEDIAN(RawCurrent!AM$7:AM$10)),(RawCurrent!AM19-MEDIAN(RawCurrent!AM$7:AM$10))))</f>
        <v>-204.77338790893481</v>
      </c>
      <c r="AO19">
        <f>IF(ISBLANK(RawCurrent!AO19),"",IF(AVERAGE(RawCurrent!AO$7:AO$10)&gt;0,(RawCurrent!AO19+MEDIAN(RawCurrent!AO$7:AO$10)),(RawCurrent!AO19-MEDIAN(RawCurrent!AO$7:AO$10))))</f>
        <v>-127.11024856567329</v>
      </c>
      <c r="AP19">
        <f>IF(ISBLANK(RawCurrent!AP19),"",IF(AVERAGE(RawCurrent!AP$7:AP$10)&gt;0,(RawCurrent!AP19+MEDIAN(RawCurrent!AP$7:AP$10)),(RawCurrent!AP19-MEDIAN(RawCurrent!AP$7:AP$10))))</f>
        <v>-79.694263458251996</v>
      </c>
      <c r="AQ19">
        <f>IF(ISBLANK(RawCurrent!AQ19),"",IF(AVERAGE(RawCurrent!AQ$7:AQ$10)&gt;0,(RawCurrent!AQ19+MEDIAN(RawCurrent!AQ$7:AQ$10)),(RawCurrent!AQ19-MEDIAN(RawCurrent!AQ$7:AQ$10))))</f>
        <v>-104.35201454162535</v>
      </c>
      <c r="AR19">
        <f>IF(ISBLANK(RawCurrent!AR19),"",IF(AVERAGE(RawCurrent!AR$7:AR$10)&gt;0,(RawCurrent!AR19+MEDIAN(RawCurrent!AR$7:AR$10)),(RawCurrent!AR19-MEDIAN(RawCurrent!AR$7:AR$10))))</f>
        <v>-40.907937526702952</v>
      </c>
      <c r="AS19">
        <f>IF(ISBLANK(RawCurrent!AS19),"",IF(AVERAGE(RawCurrent!AS$7:AS$10)&gt;0,(RawCurrent!AS19+MEDIAN(RawCurrent!AS$7:AS$10)),(RawCurrent!AS19-MEDIAN(RawCurrent!AS$7:AS$10))))</f>
        <v>-107.77545261382974</v>
      </c>
      <c r="AT19">
        <f>IF(ISBLANK(RawCurrent!AT19),"",IF(AVERAGE(RawCurrent!AT$7:AT$10)&gt;0,(RawCurrent!AT19+MEDIAN(RawCurrent!AT$7:AT$10)),(RawCurrent!AT19-MEDIAN(RawCurrent!AT$7:AT$10))))</f>
        <v>-148.41116333007761</v>
      </c>
      <c r="AU19">
        <f>IF(ISBLANK(RawCurrent!AU19),"",IF(AVERAGE(RawCurrent!AU$7:AU$10)&gt;0,(RawCurrent!AU19+MEDIAN(RawCurrent!AU$7:AU$10)),(RawCurrent!AU19-MEDIAN(RawCurrent!AU$7:AU$10))))</f>
        <v>-346.8949470520015</v>
      </c>
      <c r="AV19">
        <f>IF(ISBLANK(RawCurrent!AV19),"",IF(AVERAGE(RawCurrent!AV$7:AV$10)&gt;0,(RawCurrent!AV19+MEDIAN(RawCurrent!AV$7:AV$10)),(RawCurrent!AV19-MEDIAN(RawCurrent!AV$7:AV$10))))</f>
        <v>-71.032419395446524</v>
      </c>
      <c r="AW19">
        <f>IF(ISBLANK(RawCurrent!AW19),"",IF(AVERAGE(RawCurrent!AW$7:AW$10)&gt;0,(RawCurrent!AW19+MEDIAN(RawCurrent!AW$7:AW$10)),(RawCurrent!AW19-MEDIAN(RawCurrent!AW$7:AW$10))))</f>
        <v>-763.13708496093705</v>
      </c>
      <c r="AX19">
        <f>IF(ISBLANK(RawCurrent!AX19),"",IF(AVERAGE(RawCurrent!AX$7:AX$10)&gt;0,(RawCurrent!AX19+MEDIAN(RawCurrent!AX$7:AX$10)),(RawCurrent!AX19-MEDIAN(RawCurrent!AX$7:AX$10))))</f>
        <v>-1027.2560653686523</v>
      </c>
      <c r="AY19">
        <f>IF(ISBLANK(RawCurrent!AY19),"",IF(AVERAGE(RawCurrent!AY$7:AY$10)&gt;0,(RawCurrent!AY19+MEDIAN(RawCurrent!AY$7:AY$10)),(RawCurrent!AY19-MEDIAN(RawCurrent!AY$7:AY$10))))</f>
        <v>-560.89301458994532</v>
      </c>
      <c r="AZ19">
        <f>IF(ISBLANK(RawCurrent!AZ19),"",IF(AVERAGE(RawCurrent!AZ$7:AZ$10)&gt;0,(RawCurrent!AZ19+MEDIAN(RawCurrent!AZ$7:AZ$10)),(RawCurrent!AZ19-MEDIAN(RawCurrent!AZ$7:AZ$10))))</f>
        <v>-490.83971023559525</v>
      </c>
      <c r="BA19">
        <f>IF(ISBLANK(RawCurrent!BA19),"",IF(AVERAGE(RawCurrent!BA$7:BA$10)&gt;0,(RawCurrent!BA19+MEDIAN(RawCurrent!BA$7:BA$10)),(RawCurrent!BA19-MEDIAN(RawCurrent!BA$7:BA$10))))</f>
        <v>-455.98290316263802</v>
      </c>
      <c r="BB19">
        <v>-164.44007873535099</v>
      </c>
      <c r="BC19">
        <f>IF(ISBLANK(RawCurrent!BC19),"",IF(AVERAGE(RawCurrent!BC$7:BC$10)&gt;0,(RawCurrent!BC19+MEDIAN(RawCurrent!BC$7:BC$10)),(RawCurrent!BC19-MEDIAN(RawCurrent!BC$7:BC$10))))</f>
        <v>-166.46834945678688</v>
      </c>
      <c r="BD19">
        <f>IF(ISBLANK(RawCurrent!BD19),"",IF(AVERAGE(RawCurrent!BD$7:BD$10)&gt;0,(RawCurrent!BD19+MEDIAN(RawCurrent!BD$7:BD$10)),(RawCurrent!BD19-MEDIAN(RawCurrent!BD$7:BD$10))))</f>
        <v>-198.93820381164517</v>
      </c>
      <c r="BE19">
        <f>IF(ISBLANK(RawCurrent!BE19),"",IF(AVERAGE(RawCurrent!BE$7:BE$10)&gt;0,(RawCurrent!BE19+MEDIAN(RawCurrent!BE$7:BE$10)),(RawCurrent!BE19-MEDIAN(RawCurrent!BE$7:BE$10))))</f>
        <v>-195.85029602050719</v>
      </c>
      <c r="BF19">
        <f>IF(ISBLANK(RawCurrent!BF19),"",IF(AVERAGE(RawCurrent!BF$7:BF$10)&gt;0,(RawCurrent!BF19+MEDIAN(RawCurrent!BF$7:BF$10)),(RawCurrent!BF19-MEDIAN(RawCurrent!BF$7:BF$10))))</f>
        <v>-137.65310287475586</v>
      </c>
      <c r="BG19">
        <f>IF(ISBLANK(RawCurrent!BG19),"",IF(AVERAGE(RawCurrent!BG$7:BG$10)&gt;0,(RawCurrent!BG19+MEDIAN(RawCurrent!BG$7:BG$10)),(RawCurrent!BG19-MEDIAN(RawCurrent!BG$7:BG$10))))</f>
        <v>-415.54364585876397</v>
      </c>
      <c r="BH19">
        <f>IF(ISBLANK(RawCurrent!BH19),"",IF(AVERAGE(RawCurrent!BH$7:BH$10)&gt;0,(RawCurrent!BH19+MEDIAN(RawCurrent!BH$7:BH$10)),(RawCurrent!BH19-MEDIAN(RawCurrent!BH$7:BH$10))))</f>
        <v>-53.618110656738253</v>
      </c>
      <c r="BI19">
        <f>IF(ISBLANK(RawCurrent!BI19),"",IF(AVERAGE(RawCurrent!BI$7:BI$10)&gt;0,(RawCurrent!BI19+MEDIAN(RawCurrent!BI$7:BI$10)),(RawCurrent!BI19-MEDIAN(RawCurrent!BI$7:BI$10))))</f>
        <v>-76.72450351715085</v>
      </c>
      <c r="BJ19">
        <f>IF(ISBLANK(RawCurrent!BJ19),"",IF(AVERAGE(RawCurrent!BJ$7:BJ$10)&gt;0,(RawCurrent!BJ19+MEDIAN(RawCurrent!BJ$7:BJ$10)),(RawCurrent!BJ19-MEDIAN(RawCurrent!BJ$7:BJ$10))))</f>
        <v>-92.102044105529373</v>
      </c>
      <c r="BK19">
        <f>IF(ISBLANK(RawCurrent!BK19),"",IF(AVERAGE(RawCurrent!BK$7:BK$10)&gt;0,(RawCurrent!BK19+MEDIAN(RawCurrent!BK$7:BK$10)),(RawCurrent!BK19-MEDIAN(RawCurrent!BK$7:BK$10))))</f>
        <v>-711.82386728141898</v>
      </c>
      <c r="BL19">
        <f>IF(ISBLANK(RawCurrent!BL19),"",IF(AVERAGE(RawCurrent!BL$7:BL$10)&gt;0,(RawCurrent!BL19+MEDIAN(RawCurrent!BL$7:BL$10)),(RawCurrent!BL19-MEDIAN(RawCurrent!BL$7:BL$10))))</f>
        <v>-262.49440765380785</v>
      </c>
      <c r="BM19">
        <f>IF(ISBLANK(RawCurrent!BM19),"",IF(AVERAGE(RawCurrent!BM$7:BM$10)&gt;0,(RawCurrent!BM19+MEDIAN(RawCurrent!BM$7:BM$10)),(RawCurrent!BM19-MEDIAN(RawCurrent!BM$7:BM$10))))</f>
        <v>-228.88203048705967</v>
      </c>
      <c r="BN19">
        <f>IF(ISBLANK(RawCurrent!BN19),"",IF(AVERAGE(RawCurrent!BN$7:BN$10)&gt;0,(RawCurrent!BN19+MEDIAN(RawCurrent!BN$7:BN$10)),(RawCurrent!BN19-MEDIAN(RawCurrent!BN$7:BN$10))))</f>
        <v>-108.38433456420815</v>
      </c>
      <c r="BO19">
        <f>IF(ISBLANK(RawCurrent!BO19),"",IF(AVERAGE(RawCurrent!BO$7:BO$10)&gt;0,(RawCurrent!BO19+MEDIAN(RawCurrent!BO$7:BO$10)),(RawCurrent!BO19-MEDIAN(RawCurrent!BO$7:BO$10))))</f>
        <v>-102.27286338806121</v>
      </c>
      <c r="BP19">
        <f>IF(ISBLANK(RawCurrent!BP19),"",IF(AVERAGE(RawCurrent!BP$7:BP$10)&gt;0,(RawCurrent!BP19+MEDIAN(RawCurrent!BP$7:BP$10)),(RawCurrent!BP19-MEDIAN(RawCurrent!BP$7:BP$10))))</f>
        <v>-198.84575653076175</v>
      </c>
      <c r="BQ19">
        <f>IF(ISBLANK(RawCurrent!BQ19),"",IF(AVERAGE(RawCurrent!BQ$7:BQ$10)&gt;0,(RawCurrent!BQ19+MEDIAN(RawCurrent!BQ$7:BQ$10)),(RawCurrent!BQ19-MEDIAN(RawCurrent!BQ$7:BQ$10))))</f>
        <v>-209.26387786865175</v>
      </c>
      <c r="BR19">
        <f>IF(ISBLANK(RawCurrent!BR19),"",IF(AVERAGE(RawCurrent!BR$7:BR$10)&gt;0,(RawCurrent!BR19+MEDIAN(RawCurrent!BR$7:BR$10)),(RawCurrent!BR19-MEDIAN(RawCurrent!BR$7:BR$10))))</f>
        <v>-191.37917900085401</v>
      </c>
      <c r="BS19">
        <f>IF(ISBLANK(RawCurrent!BS19),"",IF(AVERAGE(RawCurrent!BS$7:BS$10)&gt;0,(RawCurrent!BS19+MEDIAN(RawCurrent!BS$7:BS$10)),(RawCurrent!BS19-MEDIAN(RawCurrent!BS$7:BS$10))))</f>
        <v>-331.35369491577097</v>
      </c>
      <c r="BT19">
        <f>IF(ISBLANK(RawCurrent!BT19),"",IF(AVERAGE(RawCurrent!BT$7:BT$10)&gt;0,(RawCurrent!BT19+MEDIAN(RawCurrent!BT$7:BT$10)),(RawCurrent!BT19-MEDIAN(RawCurrent!BT$7:BT$10))))</f>
        <v>-180.53765312830541</v>
      </c>
      <c r="BU19">
        <f>IF(ISBLANK(RawCurrent!BU19),"",IF(AVERAGE(RawCurrent!BU$7:BU$10)&gt;0,(RawCurrent!BU19+MEDIAN(RawCurrent!BU$7:BU$10)),(RawCurrent!BU19-MEDIAN(RawCurrent!BU$7:BU$10))))</f>
        <v>-205.28074645996074</v>
      </c>
      <c r="BV19">
        <f>IF(ISBLANK(RawCurrent!BV19),"",IF(AVERAGE(RawCurrent!BV$7:BV$10)&gt;0,(RawCurrent!BV19+MEDIAN(RawCurrent!BV$7:BV$10)),(RawCurrent!BV19-MEDIAN(RawCurrent!BV$7:BV$10))))</f>
        <v>-123.82433446248373</v>
      </c>
      <c r="BW19">
        <f>IF(ISBLANK(RawCurrent!BW19),"",IF(AVERAGE(RawCurrent!BW$7:BW$10)&gt;0,(RawCurrent!BW19+MEDIAN(RawCurrent!BW$7:BW$10)),(RawCurrent!BW19-MEDIAN(RawCurrent!BW$7:BW$10))))</f>
        <v>-203.73304605483921</v>
      </c>
      <c r="BX19">
        <f>IF(ISBLANK(RawCurrent!BX19),"",IF(AVERAGE(RawCurrent!BX$7:BX$10)&gt;0,(RawCurrent!BX19+MEDIAN(RawCurrent!BX$7:BX$10)),(RawCurrent!BX19-MEDIAN(RawCurrent!BX$7:BX$10))))</f>
        <v>-165.55466760907788</v>
      </c>
      <c r="BZ19">
        <f>IF(ISBLANK(RawCurrent!BZ19),"",IF(AVERAGE(RawCurrent!BZ$7:BZ$10)&gt;0,(RawCurrent!BZ19+MEDIAN(RawCurrent!BZ$7:BZ$10)),(RawCurrent!BZ19-MEDIAN(RawCurrent!BZ$7:BZ$10))))</f>
        <v>-38.901412963867188</v>
      </c>
      <c r="CA19">
        <f>IF(ISBLANK(RawCurrent!CA19),"",IF(AVERAGE(RawCurrent!CA$7:CA$10)&gt;0,(RawCurrent!CA19+MEDIAN(RawCurrent!CA$7:CA$10)),(RawCurrent!CA19-MEDIAN(RawCurrent!CA$7:CA$10))))</f>
        <v>-60.274501800537067</v>
      </c>
      <c r="CB19">
        <f>IF(ISBLANK(RawCurrent!CB19),"",IF(AVERAGE(RawCurrent!CB$7:CB$10)&gt;0,(RawCurrent!CB19+MEDIAN(RawCurrent!CB$7:CB$10)),(RawCurrent!CB19-MEDIAN(RawCurrent!CB$7:CB$10))))</f>
        <v>-58.039608001708913</v>
      </c>
      <c r="CC19">
        <f>IF(ISBLANK(RawCurrent!CC19),"",IF(AVERAGE(RawCurrent!CC$7:CC$10)&gt;0,(RawCurrent!CC19+MEDIAN(RawCurrent!CC$7:CC$10)),(RawCurrent!CC19-MEDIAN(RawCurrent!CC$7:CC$10))))</f>
        <v>-174.12895226478508</v>
      </c>
      <c r="CD19">
        <f>IF(ISBLANK(RawCurrent!CD19),"",IF(AVERAGE(RawCurrent!CD$7:CD$10)&gt;0,(RawCurrent!CD19+MEDIAN(RawCurrent!CD$7:CD$10)),(RawCurrent!CD19-MEDIAN(RawCurrent!CD$7:CD$10))))</f>
        <v>-85.661958694457979</v>
      </c>
      <c r="CE19">
        <f t="shared" si="28"/>
        <v>40</v>
      </c>
      <c r="CF19">
        <f t="shared" si="4"/>
        <v>-668.39225153489508</v>
      </c>
      <c r="CG19">
        <f t="shared" si="5"/>
        <v>114.77393218552631</v>
      </c>
      <c r="CH19">
        <f t="shared" si="6"/>
        <v>-342.81765095392836</v>
      </c>
      <c r="CI19">
        <f t="shared" si="7"/>
        <v>77.647353226965237</v>
      </c>
      <c r="CJ19">
        <f t="shared" si="8"/>
        <v>-191.6124680595062</v>
      </c>
      <c r="CK19">
        <f t="shared" si="9"/>
        <v>33.660979915528202</v>
      </c>
      <c r="CL19">
        <f t="shared" si="10"/>
        <v>-701.07877481137962</v>
      </c>
      <c r="CM19">
        <v>113.78458344444081</v>
      </c>
      <c r="CN19">
        <f t="shared" si="0"/>
        <v>-365.2780190583984</v>
      </c>
      <c r="CO19">
        <v>77.647353226965237</v>
      </c>
      <c r="CP19">
        <f t="shared" si="11"/>
        <v>-204.3170463041271</v>
      </c>
      <c r="CQ19">
        <v>33.660979915528202</v>
      </c>
      <c r="CR19">
        <f>MEDIAN((B19:AQ19,AS19:AU19))</f>
        <v>-390.40554857253983</v>
      </c>
      <c r="CS19">
        <f>_xlfn.QUARTILE.EXC((B19:AQ19,AS19:AU19),3)</f>
        <v>-269.54742002487166</v>
      </c>
      <c r="CT19">
        <f>_xlfn.QUARTILE.EXC((B19:AQ19,AS19:AU19),1)</f>
        <v>-773.45917034149136</v>
      </c>
      <c r="CU19">
        <f t="shared" si="12"/>
        <v>-197.39424991607618</v>
      </c>
      <c r="CV19">
        <f t="shared" si="13"/>
        <v>-126.26533818244924</v>
      </c>
      <c r="CW19">
        <f t="shared" si="14"/>
        <v>-508.35303632418277</v>
      </c>
      <c r="CX19">
        <f t="shared" si="15"/>
        <v>-180.53765312830541</v>
      </c>
      <c r="CY19">
        <f t="shared" si="16"/>
        <v>-102.27286338806121</v>
      </c>
      <c r="CZ19">
        <f t="shared" si="17"/>
        <v>-209.26387786865175</v>
      </c>
      <c r="DA19">
        <f t="shared" si="18"/>
        <v>-406.06246304511973</v>
      </c>
      <c r="DB19">
        <f t="shared" si="19"/>
        <v>-285.20433449745155</v>
      </c>
      <c r="DC19">
        <f t="shared" si="20"/>
        <v>-789.11608481407131</v>
      </c>
      <c r="DD19">
        <f t="shared" si="21"/>
        <v>-211.9924771785731</v>
      </c>
      <c r="DE19">
        <f t="shared" si="22"/>
        <v>-140.86356544494618</v>
      </c>
      <c r="DF19">
        <f t="shared" si="23"/>
        <v>-522.95126358667972</v>
      </c>
      <c r="DG19">
        <f t="shared" si="24"/>
        <v>-189.13863221804235</v>
      </c>
      <c r="DH19">
        <f t="shared" si="25"/>
        <v>-110.87384247779815</v>
      </c>
      <c r="DI19">
        <f t="shared" si="26"/>
        <v>-217.86485695838869</v>
      </c>
    </row>
    <row r="20" spans="1:113" x14ac:dyDescent="0.2">
      <c r="A20" s="3">
        <f t="shared" si="27"/>
        <v>50</v>
      </c>
      <c r="B20">
        <f>IF(ISBLANK(RawCurrent!B20),"",IF(AVERAGE(RawCurrent!B$7:B$10)&gt;0,(RawCurrent!B20+MEDIAN(RawCurrent!B$7:B$10)),(RawCurrent!B20-MEDIAN(RawCurrent!B$7:B$10))))</f>
        <v>-3084.6009750366215</v>
      </c>
      <c r="C20">
        <f>IF(ISBLANK(RawCurrent!C20),"",IF(AVERAGE(RawCurrent!C$7:C$10)&gt;0,(RawCurrent!C20+MEDIAN(RawCurrent!C$7:C$10)),(RawCurrent!C20-MEDIAN(RawCurrent!C$7:C$10))))</f>
        <v>-337.43034553527821</v>
      </c>
      <c r="D20">
        <f>IF(ISBLANK(RawCurrent!D20),"",IF(AVERAGE(RawCurrent!D$7:D$10)&gt;0,(RawCurrent!D20+MEDIAN(RawCurrent!D$7:D$10)),(RawCurrent!D20-MEDIAN(RawCurrent!D$7:D$10))))</f>
        <v>-781.52349853515602</v>
      </c>
      <c r="E20">
        <f>IF(ISBLANK(RawCurrent!E20),"",IF(AVERAGE(RawCurrent!E$7:E$10)&gt;0,(RawCurrent!E20+MEDIAN(RawCurrent!E$7:E$10)),(RawCurrent!E20-MEDIAN(RawCurrent!E$7:E$10))))</f>
        <v>-887.52412414550736</v>
      </c>
      <c r="F20">
        <f>IF(ISBLANK(RawCurrent!F20),"",IF(AVERAGE(RawCurrent!F$7:F$10)&gt;0,(RawCurrent!F20+MEDIAN(RawCurrent!F$7:F$10)),(RawCurrent!F20-MEDIAN(RawCurrent!F$7:F$10))))</f>
        <v>-951.36213684081554</v>
      </c>
      <c r="G20">
        <f>IF(ISBLANK(RawCurrent!G20),"",IF(AVERAGE(RawCurrent!G$7:G$10)&gt;0,(RawCurrent!G20+MEDIAN(RawCurrent!G$7:G$10)),(RawCurrent!G20-MEDIAN(RawCurrent!G$7:G$10))))</f>
        <v>-585.68087768554619</v>
      </c>
      <c r="H20">
        <f>IF(ISBLANK(RawCurrent!H20),"",IF(AVERAGE(RawCurrent!H$7:H$10)&gt;0,(RawCurrent!H20+MEDIAN(RawCurrent!H$7:H$10)),(RawCurrent!H20-MEDIAN(RawCurrent!H$7:H$10))))</f>
        <v>-1097.8841094970653</v>
      </c>
      <c r="I20">
        <f>IF(ISBLANK(RawCurrent!I20),"",IF(AVERAGE(RawCurrent!I$7:I$10)&gt;0,(RawCurrent!I20+MEDIAN(RawCurrent!I$7:I$10)),(RawCurrent!I20-MEDIAN(RawCurrent!I$7:I$10))))</f>
        <v>-514.8440303802488</v>
      </c>
      <c r="J20">
        <f>IF(ISBLANK(RawCurrent!J20),"",IF(AVERAGE(RawCurrent!J$7:J$10)&gt;0,(RawCurrent!J20+MEDIAN(RawCurrent!J$7:J$10)),(RawCurrent!J20-MEDIAN(RawCurrent!J$7:J$10))))</f>
        <v>-368.18109512329085</v>
      </c>
      <c r="K20">
        <f>IF(ISBLANK(RawCurrent!K20),"",IF(AVERAGE(RawCurrent!K$7:K$10)&gt;0,(RawCurrent!K20+MEDIAN(RawCurrent!K$7:K$10)),(RawCurrent!K20-MEDIAN(RawCurrent!K$7:K$10))))</f>
        <v>-1667.7566242143487</v>
      </c>
      <c r="L20">
        <f>IF(ISBLANK(RawCurrent!L20),"",IF(AVERAGE(RawCurrent!L$7:L$10)&gt;0,(RawCurrent!L20+MEDIAN(RawCurrent!L$7:L$10)),(RawCurrent!L20-MEDIAN(RawCurrent!L$7:L$10))))</f>
        <v>-246.52490997314436</v>
      </c>
      <c r="M20">
        <f>IF(ISBLANK(RawCurrent!M20),"",IF(AVERAGE(RawCurrent!M$7:M$10)&gt;0,(RawCurrent!M20+MEDIAN(RawCurrent!M$7:M$10)),(RawCurrent!M20-MEDIAN(RawCurrent!M$7:M$10))))</f>
        <v>-1012.2855987548829</v>
      </c>
      <c r="N20">
        <f>IF(ISBLANK(RawCurrent!N20),"",IF(AVERAGE(RawCurrent!N$7:N$10)&gt;0,(RawCurrent!N20+MEDIAN(RawCurrent!N$7:N$10)),(RawCurrent!N20-MEDIAN(RawCurrent!N$7:N$10))))</f>
        <v>-489.95535278320233</v>
      </c>
      <c r="O20">
        <f>IF(ISBLANK(RawCurrent!O20),"",IF(AVERAGE(RawCurrent!O$7:O$10)&gt;0,(RawCurrent!O20+MEDIAN(RawCurrent!O$7:O$10)),(RawCurrent!O20-MEDIAN(RawCurrent!O$7:O$10))))</f>
        <v>-321.13865280151293</v>
      </c>
      <c r="P20">
        <f>IF(ISBLANK(RawCurrent!P20),"",IF(AVERAGE(RawCurrent!P$7:P$10)&gt;0,(RawCurrent!P20+MEDIAN(RawCurrent!P$7:P$10)),(RawCurrent!P20-MEDIAN(RawCurrent!P$7:P$10))))</f>
        <v>-537.93936157226562</v>
      </c>
      <c r="Q20">
        <f>IF(ISBLANK(RawCurrent!Q20),"",IF(AVERAGE(RawCurrent!Q$7:Q$10)&gt;0,(RawCurrent!Q20+MEDIAN(RawCurrent!Q$7:Q$10)),(RawCurrent!Q20-MEDIAN(RawCurrent!Q$7:Q$10))))</f>
        <v>-504.09066963195784</v>
      </c>
      <c r="R20">
        <f>IF(ISBLANK(RawCurrent!R20),"",IF(AVERAGE(RawCurrent!R$7:R$10)&gt;0,(RawCurrent!R20+MEDIAN(RawCurrent!R$7:R$10)),(RawCurrent!R20-MEDIAN(RawCurrent!R$7:R$10))))</f>
        <v>-312.34114933013859</v>
      </c>
      <c r="S20">
        <f>IF(ISBLANK(RawCurrent!S20),"",IF(AVERAGE(RawCurrent!S$7:S$10)&gt;0,(RawCurrent!S20+MEDIAN(RawCurrent!S$7:S$10)),(RawCurrent!S20-MEDIAN(RawCurrent!S$7:S$10))))</f>
        <v>-184.82050323486283</v>
      </c>
      <c r="T20">
        <f>IF(ISBLANK(RawCurrent!T20),"",IF(AVERAGE(RawCurrent!T$7:T$10)&gt;0,(RawCurrent!T20+MEDIAN(RawCurrent!T$7:T$10)),(RawCurrent!T20-MEDIAN(RawCurrent!T$7:T$10))))</f>
        <v>-178.27256011962831</v>
      </c>
      <c r="U20">
        <f>IF(ISBLANK(RawCurrent!U20),"",IF(AVERAGE(RawCurrent!U$7:U$10)&gt;0,(RawCurrent!U20+MEDIAN(RawCurrent!U$7:U$10)),(RawCurrent!U20-MEDIAN(RawCurrent!U$7:U$10))))</f>
        <v>-246.03161621093676</v>
      </c>
      <c r="V20">
        <f>IF(ISBLANK(RawCurrent!V20),"",IF(AVERAGE(RawCurrent!V$7:V$10)&gt;0,(RawCurrent!V20+MEDIAN(RawCurrent!V$7:V$10)),(RawCurrent!V20-MEDIAN(RawCurrent!V$7:V$10))))</f>
        <v>-246.03870391845686</v>
      </c>
      <c r="W20">
        <f>IF(ISBLANK(RawCurrent!W20),"",IF(AVERAGE(RawCurrent!W$7:W$10)&gt;0,(RawCurrent!W20+MEDIAN(RawCurrent!W$7:W$10)),(RawCurrent!W20-MEDIAN(RawCurrent!W$7:W$10))))</f>
        <v>-106.54107666015599</v>
      </c>
      <c r="X20">
        <f>IF(ISBLANK(RawCurrent!X20),"",IF(AVERAGE(RawCurrent!X$7:X$10)&gt;0,(RawCurrent!X20+MEDIAN(RawCurrent!X$7:X$10)),(RawCurrent!X20-MEDIAN(RawCurrent!X$7:X$10))))</f>
        <v>-214.93119049072186</v>
      </c>
      <c r="Y20">
        <f>IF(ISBLANK(RawCurrent!Y20),"",IF(AVERAGE(RawCurrent!Y$7:Y$10)&gt;0,(RawCurrent!Y20+MEDIAN(RawCurrent!Y$7:Y$10)),(RawCurrent!Y20-MEDIAN(RawCurrent!Y$7:Y$10))))</f>
        <v>-206.66915893554616</v>
      </c>
      <c r="Z20">
        <f>IF(ISBLANK(RawCurrent!Z20),"",IF(AVERAGE(RawCurrent!Z$7:Z$10)&gt;0,(RawCurrent!Z20+MEDIAN(RawCurrent!Z$7:Z$10)),(RawCurrent!Z20-MEDIAN(RawCurrent!Z$7:Z$10))))</f>
        <v>-261.1458830833426</v>
      </c>
      <c r="AA20">
        <f>IF(ISBLANK(RawCurrent!AA20),"",IF(AVERAGE(RawCurrent!AA$7:AA$10)&gt;0,(RawCurrent!AA20+MEDIAN(RawCurrent!AA$7:AA$10)),(RawCurrent!AA20-MEDIAN(RawCurrent!AA$7:AA$10))))</f>
        <v>-241.02969503402684</v>
      </c>
      <c r="AB20">
        <f>IF(ISBLANK(RawCurrent!AB20),"",IF(AVERAGE(RawCurrent!AB$7:AB$10)&gt;0,(RawCurrent!AB20+MEDIAN(RawCurrent!AB$7:AB$10)),(RawCurrent!AB20-MEDIAN(RawCurrent!AB$7:AB$10))))</f>
        <v>-233.79242992401049</v>
      </c>
      <c r="AC20">
        <f>IF(ISBLANK(RawCurrent!AC20),"",IF(AVERAGE(RawCurrent!AC$7:AC$10)&gt;0,(RawCurrent!AC20+MEDIAN(RawCurrent!AC$7:AC$10)),(RawCurrent!AC20-MEDIAN(RawCurrent!AC$7:AC$10))))</f>
        <v>-518.84127235412609</v>
      </c>
      <c r="AD20">
        <f>IF(ISBLANK(RawCurrent!AD20),"",IF(AVERAGE(RawCurrent!AD$7:AD$10)&gt;0,(RawCurrent!AD20+MEDIAN(RawCurrent!AD$7:AD$10)),(RawCurrent!AD20-MEDIAN(RawCurrent!AD$7:AD$10))))</f>
        <v>-316.46703338623041</v>
      </c>
      <c r="AE20">
        <f>IF(ISBLANK(RawCurrent!AE20),"",IF(AVERAGE(RawCurrent!AE$7:AE$10)&gt;0,(RawCurrent!AE20+MEDIAN(RawCurrent!AE$7:AE$10)),(RawCurrent!AE20-MEDIAN(RawCurrent!AE$7:AE$10))))</f>
        <v>-208.70845890045081</v>
      </c>
      <c r="AF20">
        <f>IF(ISBLANK(RawCurrent!AF20),"",IF(AVERAGE(RawCurrent!AF$7:AF$10)&gt;0,(RawCurrent!AF20+MEDIAN(RawCurrent!AF$7:AF$10)),(RawCurrent!AF20-MEDIAN(RawCurrent!AF$7:AF$10))))</f>
        <v>-229.76584148406951</v>
      </c>
      <c r="AG20">
        <f>IF(ISBLANK(RawCurrent!AG20),"",IF(AVERAGE(RawCurrent!AG$7:AG$10)&gt;0,(RawCurrent!AG20+MEDIAN(RawCurrent!AG$7:AG$10)),(RawCurrent!AG20-MEDIAN(RawCurrent!AG$7:AG$10))))</f>
        <v>-147.66123580932614</v>
      </c>
      <c r="AH20">
        <f>IF(ISBLANK(RawCurrent!AH20),"",IF(AVERAGE(RawCurrent!AH$7:AH$10)&gt;0,(RawCurrent!AH20+MEDIAN(RawCurrent!AH$7:AH$10)),(RawCurrent!AH20-MEDIAN(RawCurrent!AH$7:AH$10))))</f>
        <v>-158.19155502319279</v>
      </c>
      <c r="AI20">
        <f>IF(ISBLANK(RawCurrent!AI20),"",IF(AVERAGE(RawCurrent!AI$7:AI$10)&gt;0,(RawCurrent!AI20+MEDIAN(RawCurrent!AI$7:AI$10)),(RawCurrent!AI20-MEDIAN(RawCurrent!AI$7:AI$10))))</f>
        <v>-113.69063949584961</v>
      </c>
      <c r="AJ20">
        <f>IF(ISBLANK(RawCurrent!AJ20),"",IF(AVERAGE(RawCurrent!AJ$7:AJ$10)&gt;0,(RawCurrent!AJ20+MEDIAN(RawCurrent!AJ$7:AJ$10)),(RawCurrent!AJ20-MEDIAN(RawCurrent!AJ$7:AJ$10))))</f>
        <v>-186.5920162200928</v>
      </c>
      <c r="AK20">
        <f>IF(ISBLANK(RawCurrent!AK20),"",IF(AVERAGE(RawCurrent!AK$7:AK$10)&gt;0,(RawCurrent!AK20+MEDIAN(RawCurrent!AK$7:AK$10)),(RawCurrent!AK20-MEDIAN(RawCurrent!AK$7:AK$10))))</f>
        <v>-132.06813049316341</v>
      </c>
      <c r="AL20">
        <f>IF(ISBLANK(RawCurrent!AL20),"",IF(AVERAGE(RawCurrent!AL$7:AL$10)&gt;0,(RawCurrent!AL20+MEDIAN(RawCurrent!AL$7:AL$10)),(RawCurrent!AL20-MEDIAN(RawCurrent!AL$7:AL$10))))</f>
        <v>-123.2935523986817</v>
      </c>
      <c r="AM20">
        <f>IF(ISBLANK(RawCurrent!AM20),"",IF(AVERAGE(RawCurrent!AM$7:AM$10)&gt;0,(RawCurrent!AM20+MEDIAN(RawCurrent!AM$7:AM$10)),(RawCurrent!AM20-MEDIAN(RawCurrent!AM$7:AM$10))))</f>
        <v>-125.7738609313958</v>
      </c>
      <c r="AO20">
        <f>IF(ISBLANK(RawCurrent!AO20),"",IF(AVERAGE(RawCurrent!AO$7:AO$10)&gt;0,(RawCurrent!AO20+MEDIAN(RawCurrent!AO$7:AO$10)),(RawCurrent!AO20-MEDIAN(RawCurrent!AO$7:AO$10))))</f>
        <v>-71.3327445983887</v>
      </c>
      <c r="AP20">
        <f>IF(ISBLANK(RawCurrent!AP20),"",IF(AVERAGE(RawCurrent!AP$7:AP$10)&gt;0,(RawCurrent!AP20+MEDIAN(RawCurrent!AP$7:AP$10)),(RawCurrent!AP20-MEDIAN(RawCurrent!AP$7:AP$10))))</f>
        <v>-34.378524780273395</v>
      </c>
      <c r="AQ20">
        <f>IF(ISBLANK(RawCurrent!AQ20),"",IF(AVERAGE(RawCurrent!AQ$7:AQ$10)&gt;0,(RawCurrent!AQ20+MEDIAN(RawCurrent!AQ$7:AQ$10)),(RawCurrent!AQ20-MEDIAN(RawCurrent!AQ$7:AQ$10))))</f>
        <v>-99.594476699829045</v>
      </c>
      <c r="AR20">
        <f>IF(ISBLANK(RawCurrent!AR20),"",IF(AVERAGE(RawCurrent!AR$7:AR$10)&gt;0,(RawCurrent!AR20+MEDIAN(RawCurrent!AR$7:AR$10)),(RawCurrent!AR20-MEDIAN(RawCurrent!AR$7:AR$10))))</f>
        <v>-20.027310848236151</v>
      </c>
      <c r="AS20">
        <f>IF(ISBLANK(RawCurrent!AS20),"",IF(AVERAGE(RawCurrent!AS$7:AS$10)&gt;0,(RawCurrent!AS20+MEDIAN(RawCurrent!AS$7:AS$10)),(RawCurrent!AS20-MEDIAN(RawCurrent!AS$7:AS$10))))</f>
        <v>-74.375344276428137</v>
      </c>
      <c r="AT20">
        <f>IF(ISBLANK(RawCurrent!AT20),"",IF(AVERAGE(RawCurrent!AT$7:AT$10)&gt;0,(RawCurrent!AT20+MEDIAN(RawCurrent!AT$7:AT$10)),(RawCurrent!AT20-MEDIAN(RawCurrent!AT$7:AT$10))))</f>
        <v>-88.92374229431131</v>
      </c>
      <c r="AU20">
        <f>IF(ISBLANK(RawCurrent!AU20),"",IF(AVERAGE(RawCurrent!AU$7:AU$10)&gt;0,(RawCurrent!AU20+MEDIAN(RawCurrent!AU$7:AU$10)),(RawCurrent!AU20-MEDIAN(RawCurrent!AU$7:AU$10))))</f>
        <v>-205.27861022949196</v>
      </c>
      <c r="AV20">
        <f>IF(ISBLANK(RawCurrent!AV20),"",IF(AVERAGE(RawCurrent!AV$7:AV$10)&gt;0,(RawCurrent!AV20+MEDIAN(RawCurrent!AV$7:AV$10)),(RawCurrent!AV20-MEDIAN(RawCurrent!AV$7:AV$10))))</f>
        <v>-14.565618705749509</v>
      </c>
      <c r="AW20">
        <f>IF(ISBLANK(RawCurrent!AW20),"",IF(AVERAGE(RawCurrent!AW$7:AW$10)&gt;0,(RawCurrent!AW20+MEDIAN(RawCurrent!AW$7:AW$10)),(RawCurrent!AW20-MEDIAN(RawCurrent!AW$7:AW$10))))</f>
        <v>-515.72564697265602</v>
      </c>
      <c r="AX20">
        <f>IF(ISBLANK(RawCurrent!AX20),"",IF(AVERAGE(RawCurrent!AX$7:AX$10)&gt;0,(RawCurrent!AX20+MEDIAN(RawCurrent!AX$7:AX$10)),(RawCurrent!AX20-MEDIAN(RawCurrent!AX$7:AX$10))))</f>
        <v>-721.14656829833939</v>
      </c>
      <c r="AY20">
        <f>IF(ISBLANK(RawCurrent!AY20),"",IF(AVERAGE(RawCurrent!AY$7:AY$10)&gt;0,(RawCurrent!AY20+MEDIAN(RawCurrent!AY$7:AY$10)),(RawCurrent!AY20-MEDIAN(RawCurrent!AY$7:AY$10))))</f>
        <v>-349.57834784189822</v>
      </c>
      <c r="AZ20">
        <f>IF(ISBLANK(RawCurrent!AZ20),"",IF(AVERAGE(RawCurrent!AZ$7:AZ$10)&gt;0,(RawCurrent!AZ20+MEDIAN(RawCurrent!AZ$7:AZ$10)),(RawCurrent!AZ20-MEDIAN(RawCurrent!AZ$7:AZ$10))))</f>
        <v>-334.41222000122025</v>
      </c>
      <c r="BA20">
        <f>IF(ISBLANK(RawCurrent!BA20),"",IF(AVERAGE(RawCurrent!BA$7:BA$10)&gt;0,(RawCurrent!BA20+MEDIAN(RawCurrent!BA$7:BA$10)),(RawCurrent!BA20-MEDIAN(RawCurrent!BA$7:BA$10))))</f>
        <v>-307.11490186055443</v>
      </c>
      <c r="BB20">
        <v>-113.56882476806599</v>
      </c>
      <c r="BC20">
        <f>IF(ISBLANK(RawCurrent!BC20),"",IF(AVERAGE(RawCurrent!BC$7:BC$10)&gt;0,(RawCurrent!BC20+MEDIAN(RawCurrent!BC$7:BC$10)),(RawCurrent!BC20-MEDIAN(RawCurrent!BC$7:BC$10))))</f>
        <v>-76.869243621825902</v>
      </c>
      <c r="BD20">
        <f>IF(ISBLANK(RawCurrent!BD20),"",IF(AVERAGE(RawCurrent!BD$7:BD$10)&gt;0,(RawCurrent!BD20+MEDIAN(RawCurrent!BD$7:BD$10)),(RawCurrent!BD20-MEDIAN(RawCurrent!BD$7:BD$10))))</f>
        <v>-98.138895034789144</v>
      </c>
      <c r="BE20">
        <f>IF(ISBLANK(RawCurrent!BE20),"",IF(AVERAGE(RawCurrent!BE$7:BE$10)&gt;0,(RawCurrent!BE20+MEDIAN(RawCurrent!BE$7:BE$10)),(RawCurrent!BE20-MEDIAN(RawCurrent!BE$7:BE$10))))</f>
        <v>-137.79315185546818</v>
      </c>
      <c r="BF20">
        <f>IF(ISBLANK(RawCurrent!BF20),"",IF(AVERAGE(RawCurrent!BF$7:BF$10)&gt;0,(RawCurrent!BF20+MEDIAN(RawCurrent!BF$7:BF$10)),(RawCurrent!BF20-MEDIAN(RawCurrent!BF$7:BF$10))))</f>
        <v>-65.80363082885745</v>
      </c>
      <c r="BG20">
        <f>IF(ISBLANK(RawCurrent!BG20),"",IF(AVERAGE(RawCurrent!BG$7:BG$10)&gt;0,(RawCurrent!BG20+MEDIAN(RawCurrent!BG$7:BG$10)),(RawCurrent!BG20-MEDIAN(RawCurrent!BG$7:BG$10))))</f>
        <v>-288.07324790954596</v>
      </c>
      <c r="BH20">
        <f>IF(ISBLANK(RawCurrent!BH20),"",IF(AVERAGE(RawCurrent!BH$7:BH$10)&gt;0,(RawCurrent!BH20+MEDIAN(RawCurrent!BH$7:BH$10)),(RawCurrent!BH20-MEDIAN(RawCurrent!BH$7:BH$10))))</f>
        <v>-28.722709655761651</v>
      </c>
      <c r="BI20">
        <f>IF(ISBLANK(RawCurrent!BI20),"",IF(AVERAGE(RawCurrent!BI$7:BI$10)&gt;0,(RawCurrent!BI20+MEDIAN(RawCurrent!BI$7:BI$10)),(RawCurrent!BI20-MEDIAN(RawCurrent!BI$7:BI$10))))</f>
        <v>-42.356648445129352</v>
      </c>
      <c r="BJ20">
        <f>IF(ISBLANK(RawCurrent!BJ20),"",IF(AVERAGE(RawCurrent!BJ$7:BJ$10)&gt;0,(RawCurrent!BJ20+MEDIAN(RawCurrent!BJ$7:BJ$10)),(RawCurrent!BJ20-MEDIAN(RawCurrent!BJ$7:BJ$10))))</f>
        <v>-59.692376136779757</v>
      </c>
      <c r="BK20">
        <f>IF(ISBLANK(RawCurrent!BK20),"",IF(AVERAGE(RawCurrent!BK$7:BK$10)&gt;0,(RawCurrent!BK20+MEDIAN(RawCurrent!BK$7:BK$10)),(RawCurrent!BK20-MEDIAN(RawCurrent!BK$7:BK$10))))</f>
        <v>-431.12858821647558</v>
      </c>
      <c r="BL20">
        <f>IF(ISBLANK(RawCurrent!BL20),"",IF(AVERAGE(RawCurrent!BL$7:BL$10)&gt;0,(RawCurrent!BL20+MEDIAN(RawCurrent!BL$7:BL$10)),(RawCurrent!BL20-MEDIAN(RawCurrent!BL$7:BL$10))))</f>
        <v>-147.51851654052683</v>
      </c>
      <c r="BM20">
        <f>IF(ISBLANK(RawCurrent!BM20),"",IF(AVERAGE(RawCurrent!BM$7:BM$10)&gt;0,(RawCurrent!BM20+MEDIAN(RawCurrent!BM$7:BM$10)),(RawCurrent!BM20-MEDIAN(RawCurrent!BM$7:BM$10))))</f>
        <v>-144.41854476928668</v>
      </c>
      <c r="BN20">
        <f>IF(ISBLANK(RawCurrent!BN20),"",IF(AVERAGE(RawCurrent!BN$7:BN$10)&gt;0,(RawCurrent!BN20+MEDIAN(RawCurrent!BN$7:BN$10)),(RawCurrent!BN20-MEDIAN(RawCurrent!BN$7:BN$10))))</f>
        <v>50.563510894775348</v>
      </c>
      <c r="BO20">
        <f>IF(ISBLANK(RawCurrent!BO20),"",IF(AVERAGE(RawCurrent!BO$7:BO$10)&gt;0,(RawCurrent!BO20+MEDIAN(RawCurrent!BO$7:BO$10)),(RawCurrent!BO20-MEDIAN(RawCurrent!BO$7:BO$10))))</f>
        <v>-9.223447799682603</v>
      </c>
      <c r="BP20">
        <f>IF(ISBLANK(RawCurrent!BP20),"",IF(AVERAGE(RawCurrent!BP$7:BP$10)&gt;0,(RawCurrent!BP20+MEDIAN(RawCurrent!BP$7:BP$10)),(RawCurrent!BP20-MEDIAN(RawCurrent!BP$7:BP$10))))</f>
        <v>-90.152832031249744</v>
      </c>
      <c r="BQ20">
        <f>IF(ISBLANK(RawCurrent!BQ20),"",IF(AVERAGE(RawCurrent!BQ$7:BQ$10)&gt;0,(RawCurrent!BQ20+MEDIAN(RawCurrent!BQ$7:BQ$10)),(RawCurrent!BQ20-MEDIAN(RawCurrent!BQ$7:BQ$10))))</f>
        <v>-81.437942504882741</v>
      </c>
      <c r="BR20">
        <f>IF(ISBLANK(RawCurrent!BR20),"",IF(AVERAGE(RawCurrent!BR$7:BR$10)&gt;0,(RawCurrent!BR20+MEDIAN(RawCurrent!BR$7:BR$10)),(RawCurrent!BR20-MEDIAN(RawCurrent!BR$7:BR$10))))</f>
        <v>-94.617142359415539</v>
      </c>
      <c r="BS20">
        <f>IF(ISBLANK(RawCurrent!BS20),"",IF(AVERAGE(RawCurrent!BS$7:BS$10)&gt;0,(RawCurrent!BS20+MEDIAN(RawCurrent!BS$7:BS$10)),(RawCurrent!BS20-MEDIAN(RawCurrent!BS$7:BS$10))))</f>
        <v>-176.80405502319283</v>
      </c>
      <c r="BT20">
        <f>IF(ISBLANK(RawCurrent!BT20),"",IF(AVERAGE(RawCurrent!BT$7:BT$10)&gt;0,(RawCurrent!BT20+MEDIAN(RawCurrent!BT$7:BT$10)),(RawCurrent!BT20-MEDIAN(RawCurrent!BT$7:BT$10))))</f>
        <v>-128.15359449386543</v>
      </c>
      <c r="BU20">
        <f>IF(ISBLANK(RawCurrent!BU20),"",IF(AVERAGE(RawCurrent!BU$7:BU$10)&gt;0,(RawCurrent!BU20+MEDIAN(RawCurrent!BU$7:BU$10)),(RawCurrent!BU20-MEDIAN(RawCurrent!BU$7:BU$10))))</f>
        <v>-161.38815307617176</v>
      </c>
      <c r="BV20">
        <f>IF(ISBLANK(RawCurrent!BV20),"",IF(AVERAGE(RawCurrent!BV$7:BV$10)&gt;0,(RawCurrent!BV20+MEDIAN(RawCurrent!BV$7:BV$10)),(RawCurrent!BV20-MEDIAN(RawCurrent!BV$7:BV$10))))</f>
        <v>-82.487901051839131</v>
      </c>
      <c r="BW20">
        <f>IF(ISBLANK(RawCurrent!BW20),"",IF(AVERAGE(RawCurrent!BW$7:BW$10)&gt;0,(RawCurrent!BW20+MEDIAN(RawCurrent!BW$7:BW$10)),(RawCurrent!BW20-MEDIAN(RawCurrent!BW$7:BW$10))))</f>
        <v>-136.47466897964421</v>
      </c>
      <c r="BX20">
        <f>IF(ISBLANK(RawCurrent!BX20),"",IF(AVERAGE(RawCurrent!BX$7:BX$10)&gt;0,(RawCurrent!BX20+MEDIAN(RawCurrent!BX$7:BX$10)),(RawCurrent!BX20-MEDIAN(RawCurrent!BX$7:BX$10))))</f>
        <v>-95.892665263584519</v>
      </c>
      <c r="BZ20">
        <f>IF(ISBLANK(RawCurrent!BZ20),"",IF(AVERAGE(RawCurrent!BZ$7:BZ$10)&gt;0,(RawCurrent!BZ20+MEDIAN(RawCurrent!BZ$7:BZ$10)),(RawCurrent!BZ20-MEDIAN(RawCurrent!BZ$7:BZ$10))))</f>
        <v>-9.6949996948241868</v>
      </c>
      <c r="CA20">
        <f>IF(ISBLANK(RawCurrent!CA20),"",IF(AVERAGE(RawCurrent!CA$7:CA$10)&gt;0,(RawCurrent!CA20+MEDIAN(RawCurrent!CA$7:CA$10)),(RawCurrent!CA20-MEDIAN(RawCurrent!CA$7:CA$10))))</f>
        <v>-15.501136779785121</v>
      </c>
      <c r="CB20">
        <f>IF(ISBLANK(RawCurrent!CB20),"",IF(AVERAGE(RawCurrent!CB$7:CB$10)&gt;0,(RawCurrent!CB20+MEDIAN(RawCurrent!CB$7:CB$10)),(RawCurrent!CB20-MEDIAN(RawCurrent!CB$7:CB$10))))</f>
        <v>-35.182009379068951</v>
      </c>
      <c r="CC20">
        <f>IF(ISBLANK(RawCurrent!CC20),"",IF(AVERAGE(RawCurrent!CC$7:CC$10)&gt;0,(RawCurrent!CC20+MEDIAN(RawCurrent!CC$7:CC$10)),(RawCurrent!CC20-MEDIAN(RawCurrent!CC$7:CC$10))))</f>
        <v>-134.60652184486361</v>
      </c>
      <c r="CD20">
        <f>IF(ISBLANK(RawCurrent!CD20),"",IF(AVERAGE(RawCurrent!CD$7:CD$10)&gt;0,(RawCurrent!CD20+MEDIAN(RawCurrent!CD$7:CD$10)),(RawCurrent!CD20-MEDIAN(RawCurrent!CD$7:CD$10))))</f>
        <v>-55.25260066986079</v>
      </c>
      <c r="CE20">
        <f t="shared" si="28"/>
        <v>50</v>
      </c>
      <c r="CF20">
        <f t="shared" si="4"/>
        <v>-423.98348565518148</v>
      </c>
      <c r="CG20">
        <f t="shared" si="5"/>
        <v>79.545186515794583</v>
      </c>
      <c r="CH20">
        <f t="shared" si="6"/>
        <v>-224.21402951649225</v>
      </c>
      <c r="CI20">
        <f t="shared" si="7"/>
        <v>55.047328589712301</v>
      </c>
      <c r="CJ20">
        <f t="shared" si="8"/>
        <v>-104.17746366228657</v>
      </c>
      <c r="CK20">
        <f t="shared" si="9"/>
        <v>22.924751879050742</v>
      </c>
      <c r="CL20">
        <f t="shared" si="10"/>
        <v>-456.67000893166608</v>
      </c>
      <c r="CM20">
        <v>77.863806714751689</v>
      </c>
      <c r="CN20">
        <f t="shared" si="0"/>
        <v>-246.67439762096231</v>
      </c>
      <c r="CO20">
        <v>55.047328589712301</v>
      </c>
      <c r="CP20">
        <f t="shared" si="11"/>
        <v>-116.88204190690746</v>
      </c>
      <c r="CQ20">
        <v>22.924751879050742</v>
      </c>
      <c r="CR20">
        <f>MEDIAN((B20:AQ20,AS20:AU20))</f>
        <v>-243.53065562248179</v>
      </c>
      <c r="CS20">
        <f>_xlfn.QUARTILE.EXC((B20:AQ20,AS20:AU20),3)</f>
        <v>-150.2938156127928</v>
      </c>
      <c r="CT20">
        <f>_xlfn.QUARTILE.EXC((B20:AQ20,AS20:AU20),1)</f>
        <v>-512.15569019317604</v>
      </c>
      <c r="CU20">
        <f t="shared" si="12"/>
        <v>-125.68098831176709</v>
      </c>
      <c r="CV20">
        <f t="shared" si="13"/>
        <v>-64.275817155838027</v>
      </c>
      <c r="CW20">
        <f t="shared" si="14"/>
        <v>-338.20375196138974</v>
      </c>
      <c r="CX20">
        <f t="shared" si="15"/>
        <v>-94.617142359415539</v>
      </c>
      <c r="CY20">
        <f t="shared" si="16"/>
        <v>-35.182009379068951</v>
      </c>
      <c r="CZ20">
        <f t="shared" si="17"/>
        <v>-144.41854476928668</v>
      </c>
      <c r="DA20">
        <f t="shared" si="18"/>
        <v>-259.18757009506169</v>
      </c>
      <c r="DB20">
        <f t="shared" si="19"/>
        <v>-165.95073008537273</v>
      </c>
      <c r="DC20">
        <f t="shared" si="20"/>
        <v>-527.812604665756</v>
      </c>
      <c r="DD20">
        <f t="shared" si="21"/>
        <v>-140.27921557426401</v>
      </c>
      <c r="DE20">
        <f t="shared" si="22"/>
        <v>-78.874044418334947</v>
      </c>
      <c r="DF20">
        <f t="shared" si="23"/>
        <v>-352.80197922388669</v>
      </c>
      <c r="DG20">
        <f t="shared" si="24"/>
        <v>-103.21812144915248</v>
      </c>
      <c r="DH20">
        <f t="shared" si="25"/>
        <v>-43.782988468805897</v>
      </c>
      <c r="DI20">
        <f t="shared" si="26"/>
        <v>-153.01952385902362</v>
      </c>
    </row>
    <row r="21" spans="1:113" x14ac:dyDescent="0.2">
      <c r="A21" s="3">
        <f t="shared" si="27"/>
        <v>60</v>
      </c>
      <c r="B21">
        <f>IF(ISBLANK(RawCurrent!B21),"",IF(AVERAGE(RawCurrent!B$7:B$10)&gt;0,(RawCurrent!B21+MEDIAN(RawCurrent!B$7:B$10)),(RawCurrent!B21-MEDIAN(RawCurrent!B$7:B$10))))</f>
        <v>-1977.2015609741215</v>
      </c>
      <c r="C21">
        <f>IF(ISBLANK(RawCurrent!C21),"",IF(AVERAGE(RawCurrent!C$7:C$10)&gt;0,(RawCurrent!C21+MEDIAN(RawCurrent!C$7:C$10)),(RawCurrent!C21-MEDIAN(RawCurrent!C$7:C$10))))</f>
        <v>-224.0995044708252</v>
      </c>
      <c r="D21">
        <f>IF(ISBLANK(RawCurrent!D21),"",IF(AVERAGE(RawCurrent!D$7:D$10)&gt;0,(RawCurrent!D21+MEDIAN(RawCurrent!D$7:D$10)),(RawCurrent!D21-MEDIAN(RawCurrent!D$7:D$10))))</f>
        <v>-235.31671142578099</v>
      </c>
      <c r="E21">
        <f>IF(ISBLANK(RawCurrent!E21),"",IF(AVERAGE(RawCurrent!E$7:E$10)&gt;0,(RawCurrent!E21+MEDIAN(RawCurrent!E$7:E$10)),(RawCurrent!E21-MEDIAN(RawCurrent!E$7:E$10))))</f>
        <v>-249.84696960449139</v>
      </c>
      <c r="F21">
        <f>IF(ISBLANK(RawCurrent!F21),"",IF(AVERAGE(RawCurrent!F$7:F$10)&gt;0,(RawCurrent!F21+MEDIAN(RawCurrent!F$7:F$10)),(RawCurrent!F21-MEDIAN(RawCurrent!F$7:F$10))))</f>
        <v>-86.052780151366477</v>
      </c>
      <c r="G21">
        <f>IF(ISBLANK(RawCurrent!G21),"",IF(AVERAGE(RawCurrent!G$7:G$10)&gt;0,(RawCurrent!G21+MEDIAN(RawCurrent!G$7:G$10)),(RawCurrent!G21-MEDIAN(RawCurrent!G$7:G$10))))</f>
        <v>-317.1785583496092</v>
      </c>
      <c r="H21">
        <f>IF(ISBLANK(RawCurrent!H21),"",IF(AVERAGE(RawCurrent!H$7:H$10)&gt;0,(RawCurrent!H21+MEDIAN(RawCurrent!H$7:H$10)),(RawCurrent!H21-MEDIAN(RawCurrent!H$7:H$10))))</f>
        <v>-752.96284484863236</v>
      </c>
      <c r="I21">
        <f>IF(ISBLANK(RawCurrent!I21),"",IF(AVERAGE(RawCurrent!I$7:I$10)&gt;0,(RawCurrent!I21+MEDIAN(RawCurrent!I$7:I$10)),(RawCurrent!I21-MEDIAN(RawCurrent!I$7:I$10))))</f>
        <v>-272.97156333923283</v>
      </c>
      <c r="J21">
        <f>IF(ISBLANK(RawCurrent!J21),"",IF(AVERAGE(RawCurrent!J$7:J$10)&gt;0,(RawCurrent!J21+MEDIAN(RawCurrent!J$7:J$10)),(RawCurrent!J21-MEDIAN(RawCurrent!J$7:J$10))))</f>
        <v>165.96773910522421</v>
      </c>
      <c r="K21">
        <f>IF(ISBLANK(RawCurrent!K21),"",IF(AVERAGE(RawCurrent!K$7:K$10)&gt;0,(RawCurrent!K21+MEDIAN(RawCurrent!K$7:K$10)),(RawCurrent!K21-MEDIAN(RawCurrent!K$7:K$10))))</f>
        <v>-1101.7227235436415</v>
      </c>
      <c r="L21">
        <f>IF(ISBLANK(RawCurrent!L21),"",IF(AVERAGE(RawCurrent!L$7:L$10)&gt;0,(RawCurrent!L21+MEDIAN(RawCurrent!L$7:L$10)),(RawCurrent!L21-MEDIAN(RawCurrent!L$7:L$10))))</f>
        <v>-77.661033630371151</v>
      </c>
      <c r="M21">
        <f>IF(ISBLANK(RawCurrent!M21),"",IF(AVERAGE(RawCurrent!M$7:M$10)&gt;0,(RawCurrent!M21+MEDIAN(RawCurrent!M$7:M$10)),(RawCurrent!M21-MEDIAN(RawCurrent!M$7:M$10))))</f>
        <v>-635.05470275878895</v>
      </c>
      <c r="N21">
        <f>IF(ISBLANK(RawCurrent!N21),"",IF(AVERAGE(RawCurrent!N$7:N$10)&gt;0,(RawCurrent!N21+MEDIAN(RawCurrent!N$7:N$10)),(RawCurrent!N21-MEDIAN(RawCurrent!N$7:N$10))))</f>
        <v>-237.35501098632741</v>
      </c>
      <c r="O21">
        <f>IF(ISBLANK(RawCurrent!O21),"",IF(AVERAGE(RawCurrent!O$7:O$10)&gt;0,(RawCurrent!O21+MEDIAN(RawCurrent!O$7:O$10)),(RawCurrent!O21-MEDIAN(RawCurrent!O$7:O$10))))</f>
        <v>-105.22642135620089</v>
      </c>
      <c r="P21">
        <f>IF(ISBLANK(RawCurrent!P21),"",IF(AVERAGE(RawCurrent!P$7:P$10)&gt;0,(RawCurrent!P21+MEDIAN(RawCurrent!P$7:P$10)),(RawCurrent!P21-MEDIAN(RawCurrent!P$7:P$10))))</f>
        <v>-164.33999633789065</v>
      </c>
      <c r="Q21">
        <f>IF(ISBLANK(RawCurrent!Q21),"",IF(AVERAGE(RawCurrent!Q$7:Q$10)&gt;0,(RawCurrent!Q21+MEDIAN(RawCurrent!Q$7:Q$10)),(RawCurrent!Q21-MEDIAN(RawCurrent!Q$7:Q$10))))</f>
        <v>-220.3724689483638</v>
      </c>
      <c r="R21">
        <f>IF(ISBLANK(RawCurrent!R21),"",IF(AVERAGE(RawCurrent!R$7:R$10)&gt;0,(RawCurrent!R21+MEDIAN(RawCurrent!R$7:R$10)),(RawCurrent!R21-MEDIAN(RawCurrent!R$7:R$10))))</f>
        <v>-96.714554786681589</v>
      </c>
      <c r="S21">
        <f>IF(ISBLANK(RawCurrent!S21),"",IF(AVERAGE(RawCurrent!S$7:S$10)&gt;0,(RawCurrent!S21+MEDIAN(RawCurrent!S$7:S$10)),(RawCurrent!S21-MEDIAN(RawCurrent!S$7:S$10))))</f>
        <v>-39.361656188964851</v>
      </c>
      <c r="T21">
        <f>IF(ISBLANK(RawCurrent!T21),"",IF(AVERAGE(RawCurrent!T$7:T$10)&gt;0,(RawCurrent!T21+MEDIAN(RawCurrent!T$7:T$10)),(RawCurrent!T21-MEDIAN(RawCurrent!T$7:T$10))))</f>
        <v>-60.394935607910199</v>
      </c>
      <c r="U21">
        <f>IF(ISBLANK(RawCurrent!U21),"",IF(AVERAGE(RawCurrent!U$7:U$10)&gt;0,(RawCurrent!U21+MEDIAN(RawCurrent!U$7:U$10)),(RawCurrent!U21-MEDIAN(RawCurrent!U$7:U$10))))</f>
        <v>-76.801460266113253</v>
      </c>
      <c r="V21">
        <f>IF(ISBLANK(RawCurrent!V21),"",IF(AVERAGE(RawCurrent!V$7:V$10)&gt;0,(RawCurrent!V21+MEDIAN(RawCurrent!V$7:V$10)),(RawCurrent!V21-MEDIAN(RawCurrent!V$7:V$10))))</f>
        <v>-121.68451690673784</v>
      </c>
      <c r="W21">
        <f>IF(ISBLANK(RawCurrent!W21),"",IF(AVERAGE(RawCurrent!W$7:W$10)&gt;0,(RawCurrent!W21+MEDIAN(RawCurrent!W$7:W$10)),(RawCurrent!W21-MEDIAN(RawCurrent!W$7:W$10))))</f>
        <v>36.999588012695199</v>
      </c>
      <c r="X21">
        <f>IF(ISBLANK(RawCurrent!X21),"",IF(AVERAGE(RawCurrent!X$7:X$10)&gt;0,(RawCurrent!X21+MEDIAN(RawCurrent!X$7:X$10)),(RawCurrent!X21-MEDIAN(RawCurrent!X$7:X$10))))</f>
        <v>-113.87903594970685</v>
      </c>
      <c r="Y21">
        <f>IF(ISBLANK(RawCurrent!Y21),"",IF(AVERAGE(RawCurrent!Y$7:Y$10)&gt;0,(RawCurrent!Y21+MEDIAN(RawCurrent!Y$7:Y$10)),(RawCurrent!Y21-MEDIAN(RawCurrent!Y$7:Y$10))))</f>
        <v>-103.34173583984315</v>
      </c>
      <c r="Z21">
        <f>IF(ISBLANK(RawCurrent!Z21),"",IF(AVERAGE(RawCurrent!Z$7:Z$10)&gt;0,(RawCurrent!Z21+MEDIAN(RawCurrent!Z$7:Z$10)),(RawCurrent!Z21-MEDIAN(RawCurrent!Z$7:Z$10))))</f>
        <v>-107.3373122215266</v>
      </c>
      <c r="AA21">
        <f>IF(ISBLANK(RawCurrent!AA21),"",IF(AVERAGE(RawCurrent!AA$7:AA$10)&gt;0,(RawCurrent!AA21+MEDIAN(RawCurrent!AA$7:AA$10)),(RawCurrent!AA21-MEDIAN(RawCurrent!AA$7:AA$10))))</f>
        <v>-97.38925313949585</v>
      </c>
      <c r="AB21">
        <f>IF(ISBLANK(RawCurrent!AB21),"",IF(AVERAGE(RawCurrent!AB$7:AB$10)&gt;0,(RawCurrent!AB21+MEDIAN(RawCurrent!AB$7:AB$10)),(RawCurrent!AB21-MEDIAN(RawCurrent!AB$7:AB$10))))</f>
        <v>-124.23261547088551</v>
      </c>
      <c r="AC21">
        <f>IF(ISBLANK(RawCurrent!AC21),"",IF(AVERAGE(RawCurrent!AC$7:AC$10)&gt;0,(RawCurrent!AC21+MEDIAN(RawCurrent!AC$7:AC$10)),(RawCurrent!AC21-MEDIAN(RawCurrent!AC$7:AC$10))))</f>
        <v>-285.56954383850103</v>
      </c>
      <c r="AD21">
        <f>IF(ISBLANK(RawCurrent!AD21),"",IF(AVERAGE(RawCurrent!AD$7:AD$10)&gt;0,(RawCurrent!AD21+MEDIAN(RawCurrent!AD$7:AD$10)),(RawCurrent!AD21-MEDIAN(RawCurrent!AD$7:AD$10))))</f>
        <v>-162.19568634033141</v>
      </c>
      <c r="AE21">
        <f>IF(ISBLANK(RawCurrent!AE21),"",IF(AVERAGE(RawCurrent!AE$7:AE$10)&gt;0,(RawCurrent!AE21+MEDIAN(RawCurrent!AE$7:AE$10)),(RawCurrent!AE21-MEDIAN(RawCurrent!AE$7:AE$10))))</f>
        <v>-41.908814430236802</v>
      </c>
      <c r="AF21">
        <f>IF(ISBLANK(RawCurrent!AF21),"",IF(AVERAGE(RawCurrent!AF$7:AF$10)&gt;0,(RawCurrent!AF21+MEDIAN(RawCurrent!AF$7:AF$10)),(RawCurrent!AF21-MEDIAN(RawCurrent!AF$7:AF$10))))</f>
        <v>-125.09411144256549</v>
      </c>
      <c r="AG21">
        <f>IF(ISBLANK(RawCurrent!AG21),"",IF(AVERAGE(RawCurrent!AG$7:AG$10)&gt;0,(RawCurrent!AG21+MEDIAN(RawCurrent!AG$7:AG$10)),(RawCurrent!AG21-MEDIAN(RawCurrent!AG$7:AG$10))))</f>
        <v>-88.233959197997152</v>
      </c>
      <c r="AH21">
        <f>IF(ISBLANK(RawCurrent!AH21),"",IF(AVERAGE(RawCurrent!AH$7:AH$10)&gt;0,(RawCurrent!AH21+MEDIAN(RawCurrent!AH$7:AH$10)),(RawCurrent!AH21-MEDIAN(RawCurrent!AH$7:AH$10))))</f>
        <v>-30.196620941162095</v>
      </c>
      <c r="AI21">
        <f>IF(ISBLANK(RawCurrent!AI21),"",IF(AVERAGE(RawCurrent!AI$7:AI$10)&gt;0,(RawCurrent!AI21+MEDIAN(RawCurrent!AI$7:AI$10)),(RawCurrent!AI21-MEDIAN(RawCurrent!AI$7:AI$10))))</f>
        <v>-21.482311248779304</v>
      </c>
      <c r="AJ21">
        <f>IF(ISBLANK(RawCurrent!AJ21),"",IF(AVERAGE(RawCurrent!AJ$7:AJ$10)&gt;0,(RawCurrent!AJ21+MEDIAN(RawCurrent!AJ$7:AJ$10)),(RawCurrent!AJ21-MEDIAN(RawCurrent!AJ$7:AJ$10))))</f>
        <v>-102.87637138366681</v>
      </c>
      <c r="AK21">
        <f>IF(ISBLANK(RawCurrent!AK21),"",IF(AVERAGE(RawCurrent!AK$7:AK$10)&gt;0,(RawCurrent!AK21+MEDIAN(RawCurrent!AK$7:AK$10)),(RawCurrent!AK21-MEDIAN(RawCurrent!AK$7:AK$10))))</f>
        <v>-44.825424194335895</v>
      </c>
      <c r="AL21">
        <f>IF(ISBLANK(RawCurrent!AL21),"",IF(AVERAGE(RawCurrent!AL$7:AL$10)&gt;0,(RawCurrent!AL21+MEDIAN(RawCurrent!AL$7:AL$10)),(RawCurrent!AL21-MEDIAN(RawCurrent!AL$7:AL$10))))</f>
        <v>-47.795619964599595</v>
      </c>
      <c r="AM21">
        <f>IF(ISBLANK(RawCurrent!AM21),"",IF(AVERAGE(RawCurrent!AM$7:AM$10)&gt;0,(RawCurrent!AM21+MEDIAN(RawCurrent!AM$7:AM$10)),(RawCurrent!AM21-MEDIAN(RawCurrent!AM$7:AM$10))))</f>
        <v>-53.192138671875</v>
      </c>
      <c r="AO21">
        <f>IF(ISBLANK(RawCurrent!AO21),"",IF(AVERAGE(RawCurrent!AO$7:AO$10)&gt;0,(RawCurrent!AO21+MEDIAN(RawCurrent!AO$7:AO$10)),(RawCurrent!AO21-MEDIAN(RawCurrent!AO$7:AO$10))))</f>
        <v>-29.919952392578104</v>
      </c>
      <c r="AP21">
        <f>IF(ISBLANK(RawCurrent!AP21),"",IF(AVERAGE(RawCurrent!AP$7:AP$10)&gt;0,(RawCurrent!AP21+MEDIAN(RawCurrent!AP$7:AP$10)),(RawCurrent!AP21-MEDIAN(RawCurrent!AP$7:AP$10))))</f>
        <v>-1.9574165344237997</v>
      </c>
      <c r="AQ21">
        <f>IF(ISBLANK(RawCurrent!AQ21),"",IF(AVERAGE(RawCurrent!AQ$7:AQ$10)&gt;0,(RawCurrent!AQ21+MEDIAN(RawCurrent!AQ$7:AQ$10)),(RawCurrent!AQ21-MEDIAN(RawCurrent!AQ$7:AQ$10))))</f>
        <v>-51.383630752563448</v>
      </c>
      <c r="AR21">
        <f>IF(ISBLANK(RawCurrent!AR21),"",IF(AVERAGE(RawCurrent!AR$7:AR$10)&gt;0,(RawCurrent!AR21+MEDIAN(RawCurrent!AR$7:AR$10)),(RawCurrent!AR21-MEDIAN(RawCurrent!AR$7:AR$10))))</f>
        <v>-3.3933596611023518</v>
      </c>
      <c r="AS21">
        <f>IF(ISBLANK(RawCurrent!AS21),"",IF(AVERAGE(RawCurrent!AS$7:AS$10)&gt;0,(RawCurrent!AS21+MEDIAN(RawCurrent!AS$7:AS$10)),(RawCurrent!AS21-MEDIAN(RawCurrent!AS$7:AS$10))))</f>
        <v>-61.737275123596149</v>
      </c>
      <c r="AT21">
        <f>IF(ISBLANK(RawCurrent!AT21),"",IF(AVERAGE(RawCurrent!AT$7:AT$10)&gt;0,(RawCurrent!AT21+MEDIAN(RawCurrent!AT$7:AT$10)),(RawCurrent!AT21-MEDIAN(RawCurrent!AT$7:AT$10))))</f>
        <v>-31.636583964029938</v>
      </c>
      <c r="AU21">
        <f>IF(ISBLANK(RawCurrent!AU21),"",IF(AVERAGE(RawCurrent!AU$7:AU$10)&gt;0,(RawCurrent!AU21+MEDIAN(RawCurrent!AU$7:AU$10)),(RawCurrent!AU21-MEDIAN(RawCurrent!AU$7:AU$10))))</f>
        <v>-84.222266197204263</v>
      </c>
      <c r="AV21">
        <f>IF(ISBLANK(RawCurrent!AV21),"",IF(AVERAGE(RawCurrent!AV$7:AV$10)&gt;0,(RawCurrent!AV21+MEDIAN(RawCurrent!AV$7:AV$10)),(RawCurrent!AV21-MEDIAN(RawCurrent!AV$7:AV$10))))</f>
        <v>19.436531352996788</v>
      </c>
      <c r="AW21">
        <f>IF(ISBLANK(RawCurrent!AW21),"",IF(AVERAGE(RawCurrent!AW$7:AW$10)&gt;0,(RawCurrent!AW21+MEDIAN(RawCurrent!AW$7:AW$10)),(RawCurrent!AW21-MEDIAN(RawCurrent!AW$7:AW$10))))</f>
        <v>-266.64581298828108</v>
      </c>
      <c r="AX21">
        <f>IF(ISBLANK(RawCurrent!AX21),"",IF(AVERAGE(RawCurrent!AX$7:AX$10)&gt;0,(RawCurrent!AX21+MEDIAN(RawCurrent!AX$7:AX$10)),(RawCurrent!AX21-MEDIAN(RawCurrent!AX$7:AX$10))))</f>
        <v>-438.32704925537035</v>
      </c>
      <c r="AY21">
        <f>IF(ISBLANK(RawCurrent!AY21),"",IF(AVERAGE(RawCurrent!AY$7:AY$10)&gt;0,(RawCurrent!AY21+MEDIAN(RawCurrent!AY$7:AY$10)),(RawCurrent!AY21-MEDIAN(RawCurrent!AY$7:AY$10))))</f>
        <v>-161.68065802256226</v>
      </c>
      <c r="AZ21">
        <f>IF(ISBLANK(RawCurrent!AZ21),"",IF(AVERAGE(RawCurrent!AZ$7:AZ$10)&gt;0,(RawCurrent!AZ21+MEDIAN(RawCurrent!AZ$7:AZ$10)),(RawCurrent!AZ21-MEDIAN(RawCurrent!AZ$7:AZ$10))))</f>
        <v>-204.61662673950127</v>
      </c>
      <c r="BA21">
        <f>IF(ISBLANK(RawCurrent!BA21),"",IF(AVERAGE(RawCurrent!BA$7:BA$10)&gt;0,(RawCurrent!BA21+MEDIAN(RawCurrent!BA$7:BA$10)),(RawCurrent!BA21-MEDIAN(RawCurrent!BA$7:BA$10))))</f>
        <v>-167.2881704966224</v>
      </c>
      <c r="BB21">
        <v>-60.4776000976562</v>
      </c>
      <c r="BC21">
        <f>IF(ISBLANK(RawCurrent!BC21),"",IF(AVERAGE(RawCurrent!BC$7:BC$10)&gt;0,(RawCurrent!BC21+MEDIAN(RawCurrent!BC$7:BC$10)),(RawCurrent!BC21-MEDIAN(RawCurrent!BC$7:BC$10))))</f>
        <v>-18.717254638671903</v>
      </c>
      <c r="BD21">
        <f>IF(ISBLANK(RawCurrent!BD21),"",IF(AVERAGE(RawCurrent!BD$7:BD$10)&gt;0,(RawCurrent!BD21+MEDIAN(RawCurrent!BD$7:BD$10)),(RawCurrent!BD21-MEDIAN(RawCurrent!BD$7:BD$10))))</f>
        <v>19.809617042541447</v>
      </c>
      <c r="BE21">
        <f>IF(ISBLANK(RawCurrent!BE21),"",IF(AVERAGE(RawCurrent!BE$7:BE$10)&gt;0,(RawCurrent!BE21+MEDIAN(RawCurrent!BE$7:BE$10)),(RawCurrent!BE21-MEDIAN(RawCurrent!BE$7:BE$10))))</f>
        <v>-79.426849365234204</v>
      </c>
      <c r="BG21">
        <f>IF(ISBLANK(RawCurrent!BG21),"",IF(AVERAGE(RawCurrent!BG$7:BG$10)&gt;0,(RawCurrent!BG21+MEDIAN(RawCurrent!BG$7:BG$10)),(RawCurrent!BG21-MEDIAN(RawCurrent!BG$7:BG$10))))</f>
        <v>-156.82997703552195</v>
      </c>
      <c r="BH21">
        <f>IF(ISBLANK(RawCurrent!BH21),"",IF(AVERAGE(RawCurrent!BH$7:BH$10)&gt;0,(RawCurrent!BH21+MEDIAN(RawCurrent!BH$7:BH$10)),(RawCurrent!BH21-MEDIAN(RawCurrent!BH$7:BH$10))))</f>
        <v>-17.456375122070249</v>
      </c>
      <c r="BI21">
        <f>IF(ISBLANK(RawCurrent!BI21),"",IF(AVERAGE(RawCurrent!BI$7:BI$10)&gt;0,(RawCurrent!BI21+MEDIAN(RawCurrent!BI$7:BI$10)),(RawCurrent!BI21-MEDIAN(RawCurrent!BI$7:BI$10))))</f>
        <v>-13.792855262756348</v>
      </c>
      <c r="BJ21">
        <f>IF(ISBLANK(RawCurrent!BJ21),"",IF(AVERAGE(RawCurrent!BJ$7:BJ$10)&gt;0,(RawCurrent!BJ21+MEDIAN(RawCurrent!BJ$7:BJ$10)),(RawCurrent!BJ21-MEDIAN(RawCurrent!BJ$7:BJ$10))))</f>
        <v>-31.158444404602058</v>
      </c>
      <c r="BK21">
        <f>IF(ISBLANK(RawCurrent!BK21),"",IF(AVERAGE(RawCurrent!BK$7:BK$10)&gt;0,(RawCurrent!BK21+MEDIAN(RawCurrent!BK$7:BK$10)),(RawCurrent!BK21-MEDIAN(RawCurrent!BK$7:BK$10))))</f>
        <v>-184.79947693956632</v>
      </c>
      <c r="BL21">
        <f>IF(ISBLANK(RawCurrent!BL21),"",IF(AVERAGE(RawCurrent!BL$7:BL$10)&gt;0,(RawCurrent!BL21+MEDIAN(RawCurrent!BL$7:BL$10)),(RawCurrent!BL21-MEDIAN(RawCurrent!BL$7:BL$10))))</f>
        <v>-41.398471832275341</v>
      </c>
      <c r="BM21">
        <f>IF(ISBLANK(RawCurrent!BM21),"",IF(AVERAGE(RawCurrent!BM$7:BM$10)&gt;0,(RawCurrent!BM21+MEDIAN(RawCurrent!BM$7:BM$10)),(RawCurrent!BM21-MEDIAN(RawCurrent!BM$7:BM$10))))</f>
        <v>-75.661869049072166</v>
      </c>
      <c r="BN21">
        <f>IF(ISBLANK(RawCurrent!BN21),"",IF(AVERAGE(RawCurrent!BN$7:BN$10)&gt;0,(RawCurrent!BN21+MEDIAN(RawCurrent!BN$7:BN$10)),(RawCurrent!BN21-MEDIAN(RawCurrent!BN$7:BN$10))))</f>
        <v>128.89279556274386</v>
      </c>
      <c r="BO21">
        <f>IF(ISBLANK(RawCurrent!BO21),"",IF(AVERAGE(RawCurrent!BO$7:BO$10)&gt;0,(RawCurrent!BO21+MEDIAN(RawCurrent!BO$7:BO$10)),(RawCurrent!BO21-MEDIAN(RawCurrent!BO$7:BO$10))))</f>
        <v>66.625398635864201</v>
      </c>
      <c r="BP21">
        <f>IF(ISBLANK(RawCurrent!BP21),"",IF(AVERAGE(RawCurrent!BP$7:BP$10)&gt;0,(RawCurrent!BP21+MEDIAN(RawCurrent!BP$7:BP$10)),(RawCurrent!BP21-MEDIAN(RawCurrent!BP$7:BP$10))))</f>
        <v>60.212165832519354</v>
      </c>
      <c r="BQ21">
        <f>IF(ISBLANK(RawCurrent!BQ21),"",IF(AVERAGE(RawCurrent!BQ$7:BQ$10)&gt;0,(RawCurrent!BQ21+MEDIAN(RawCurrent!BQ$7:BQ$10)),(RawCurrent!BQ21-MEDIAN(RawCurrent!BQ$7:BQ$10))))</f>
        <v>70.691627502441349</v>
      </c>
      <c r="BR21">
        <f>IF(ISBLANK(RawCurrent!BR21),"",IF(AVERAGE(RawCurrent!BR$7:BR$10)&gt;0,(RawCurrent!BR21+MEDIAN(RawCurrent!BR$7:BR$10)),(RawCurrent!BR21-MEDIAN(RawCurrent!BR$7:BR$10))))</f>
        <v>1.3563556671142516</v>
      </c>
      <c r="BS21">
        <f>IF(ISBLANK(RawCurrent!BS21),"",IF(AVERAGE(RawCurrent!BS$7:BS$10)&gt;0,(RawCurrent!BS21+MEDIAN(RawCurrent!BS$7:BS$10)),(RawCurrent!BS21-MEDIAN(RawCurrent!BS$7:BS$10))))</f>
        <v>-24.445389556884681</v>
      </c>
      <c r="BT21">
        <f>IF(ISBLANK(RawCurrent!BT21),"",IF(AVERAGE(RawCurrent!BT$7:BT$10)&gt;0,(RawCurrent!BT21+MEDIAN(RawCurrent!BT$7:BT$10)),(RawCurrent!BT21-MEDIAN(RawCurrent!BT$7:BT$10))))</f>
        <v>-49.386883576711</v>
      </c>
      <c r="BU21">
        <f>IF(ISBLANK(RawCurrent!BU21),"",IF(AVERAGE(RawCurrent!BU$7:BU$10)&gt;0,(RawCurrent!BU21+MEDIAN(RawCurrent!BU$7:BU$10)),(RawCurrent!BU21-MEDIAN(RawCurrent!BU$7:BU$10))))</f>
        <v>-110.86624145507776</v>
      </c>
      <c r="BV21">
        <f>IF(ISBLANK(RawCurrent!BV21),"",IF(AVERAGE(RawCurrent!BV$7:BV$10)&gt;0,(RawCurrent!BV21+MEDIAN(RawCurrent!BV$7:BV$10)),(RawCurrent!BV21-MEDIAN(RawCurrent!BV$7:BV$10))))</f>
        <v>-21.626069386800129</v>
      </c>
      <c r="BW21">
        <f>IF(ISBLANK(RawCurrent!BW21),"",IF(AVERAGE(RawCurrent!BW$7:BW$10)&gt;0,(RawCurrent!BW21+MEDIAN(RawCurrent!BW$7:BW$10)),(RawCurrent!BW21-MEDIAN(RawCurrent!BW$7:BW$10))))</f>
        <v>-74.625715732574491</v>
      </c>
      <c r="BX21">
        <f>IF(ISBLANK(RawCurrent!BX21),"",IF(AVERAGE(RawCurrent!BX$7:BX$10)&gt;0,(RawCurrent!BX21+MEDIAN(RawCurrent!BX$7:BX$10)),(RawCurrent!BX21-MEDIAN(RawCurrent!BX$7:BX$10))))</f>
        <v>-63.520970916747821</v>
      </c>
      <c r="BZ21">
        <f>IF(ISBLANK(RawCurrent!BZ21),"",IF(AVERAGE(RawCurrent!BZ$7:BZ$10)&gt;0,(RawCurrent!BZ21+MEDIAN(RawCurrent!BZ$7:BZ$10)),(RawCurrent!BZ21-MEDIAN(RawCurrent!BZ$7:BZ$10))))</f>
        <v>-6.9872360229491868</v>
      </c>
      <c r="CA21">
        <f>IF(ISBLANK(RawCurrent!CA21),"",IF(AVERAGE(RawCurrent!CA$7:CA$10)&gt;0,(RawCurrent!CA21+MEDIAN(RawCurrent!CA$7:CA$10)),(RawCurrent!CA21-MEDIAN(RawCurrent!CA$7:CA$10))))</f>
        <v>30.714153289794858</v>
      </c>
      <c r="CB21">
        <f>IF(ISBLANK(RawCurrent!CB21),"",IF(AVERAGE(RawCurrent!CB$7:CB$10)&gt;0,(RawCurrent!CB21+MEDIAN(RawCurrent!CB$7:CB$10)),(RawCurrent!CB21-MEDIAN(RawCurrent!CB$7:CB$10))))</f>
        <v>-17.799721399943003</v>
      </c>
      <c r="CC21">
        <f>IF(ISBLANK(RawCurrent!CC21),"",IF(AVERAGE(RawCurrent!CC$7:CC$10)&gt;0,(RawCurrent!CC21+MEDIAN(RawCurrent!CC$7:CC$10)),(RawCurrent!CC21-MEDIAN(RawCurrent!CC$7:CC$10))))</f>
        <v>-112.1478807926176</v>
      </c>
      <c r="CD21">
        <f>IF(ISBLANK(RawCurrent!CD21),"",IF(AVERAGE(RawCurrent!CD$7:CD$10)&gt;0,(RawCurrent!CD21+MEDIAN(RawCurrent!CD$7:CD$10)),(RawCurrent!CD21-MEDIAN(RawCurrent!CD$7:CD$10))))</f>
        <v>-27.587168693542431</v>
      </c>
      <c r="CE21">
        <f t="shared" si="28"/>
        <v>60</v>
      </c>
      <c r="CF21">
        <f t="shared" si="4"/>
        <v>-196.81273469554628</v>
      </c>
      <c r="CG21">
        <f t="shared" si="5"/>
        <v>52.326416070301619</v>
      </c>
      <c r="CH21">
        <f t="shared" si="6"/>
        <v>-122.81600433740837</v>
      </c>
      <c r="CI21">
        <f t="shared" si="7"/>
        <v>35.797317630261603</v>
      </c>
      <c r="CJ21">
        <f t="shared" si="8"/>
        <v>-23.80845257180442</v>
      </c>
      <c r="CK21">
        <f t="shared" si="9"/>
        <v>17.146011481677501</v>
      </c>
      <c r="CL21">
        <f t="shared" si="10"/>
        <v>-229.49925797203088</v>
      </c>
      <c r="CM21">
        <v>50.377444888367137</v>
      </c>
      <c r="CN21">
        <f t="shared" si="0"/>
        <v>-145.27637244187844</v>
      </c>
      <c r="CO21">
        <v>35.797317630261603</v>
      </c>
      <c r="CP21">
        <f t="shared" si="11"/>
        <v>-36.513030816425314</v>
      </c>
      <c r="CQ21">
        <v>17.146011481677501</v>
      </c>
      <c r="CR21">
        <f>MEDIAN((B21:AQ21,AS21:AU21))</f>
        <v>-100.13281226158134</v>
      </c>
      <c r="CS21">
        <f>_xlfn.QUARTILE.EXC((B21:AQ21,AS21:AU21),3)</f>
        <v>-48.692622661590562</v>
      </c>
      <c r="CT21">
        <f>_xlfn.QUARTILE.EXC((B21:AQ21,AS21:AU21),1)</f>
        <v>-223.16774559020985</v>
      </c>
      <c r="CU21">
        <f t="shared" si="12"/>
        <v>-79.426849365234204</v>
      </c>
      <c r="CV21">
        <f t="shared" si="13"/>
        <v>-18.086814880371076</v>
      </c>
      <c r="CW21">
        <f t="shared" si="14"/>
        <v>-185.95239861806184</v>
      </c>
      <c r="CX21">
        <f t="shared" si="15"/>
        <v>-24.445389556884681</v>
      </c>
      <c r="CY21">
        <f t="shared" si="16"/>
        <v>30.714153289794858</v>
      </c>
      <c r="CZ21">
        <f t="shared" si="17"/>
        <v>-74.625715732574491</v>
      </c>
      <c r="DA21">
        <f t="shared" si="18"/>
        <v>-115.78972673416126</v>
      </c>
      <c r="DB21">
        <f t="shared" si="19"/>
        <v>-64.34953713417049</v>
      </c>
      <c r="DC21">
        <f t="shared" si="20"/>
        <v>-238.82466006278977</v>
      </c>
      <c r="DD21">
        <f t="shared" si="21"/>
        <v>-94.025076627731124</v>
      </c>
      <c r="DE21">
        <f t="shared" si="22"/>
        <v>-32.685042142867999</v>
      </c>
      <c r="DF21">
        <f t="shared" si="23"/>
        <v>-200.55062588055875</v>
      </c>
      <c r="DG21">
        <f t="shared" si="24"/>
        <v>-33.04636864662163</v>
      </c>
      <c r="DH21">
        <f t="shared" si="25"/>
        <v>22.113174200057912</v>
      </c>
      <c r="DI21">
        <f t="shared" si="26"/>
        <v>-83.22669482231143</v>
      </c>
    </row>
    <row r="22" spans="1:113" x14ac:dyDescent="0.2">
      <c r="A22" s="3">
        <f t="shared" si="27"/>
        <v>70</v>
      </c>
      <c r="B22">
        <f>IF(ISBLANK(RawCurrent!B22),"",IF(AVERAGE(RawCurrent!B$7:B$10)&gt;0,(RawCurrent!B22+MEDIAN(RawCurrent!B$7:B$10)),(RawCurrent!B22-MEDIAN(RawCurrent!B$7:B$10))))</f>
        <v>-977.29958343505155</v>
      </c>
      <c r="C22">
        <f>IF(ISBLANK(RawCurrent!C22),"",IF(AVERAGE(RawCurrent!C$7:C$10)&gt;0,(RawCurrent!C22+MEDIAN(RawCurrent!C$7:C$10)),(RawCurrent!C22-MEDIAN(RawCurrent!C$7:C$10))))</f>
        <v>-137.99122810363718</v>
      </c>
      <c r="D22">
        <f>IF(ISBLANK(RawCurrent!D22),"",IF(AVERAGE(RawCurrent!D$7:D$10)&gt;0,(RawCurrent!D22+MEDIAN(RawCurrent!D$7:D$10)),(RawCurrent!D22-MEDIAN(RawCurrent!D$7:D$10))))</f>
        <v>274.37866210937398</v>
      </c>
      <c r="E22">
        <f>IF(ISBLANK(RawCurrent!E22),"",IF(AVERAGE(RawCurrent!E$7:E$10)&gt;0,(RawCurrent!E22+MEDIAN(RawCurrent!E$7:E$10)),(RawCurrent!E22-MEDIAN(RawCurrent!E$7:E$10))))</f>
        <v>289.29504394531165</v>
      </c>
      <c r="F22">
        <f>IF(ISBLANK(RawCurrent!F22),"",IF(AVERAGE(RawCurrent!F$7:F$10)&gt;0,(RawCurrent!F22+MEDIAN(RawCurrent!F$7:F$10)),(RawCurrent!F22-MEDIAN(RawCurrent!F$7:F$10))))</f>
        <v>918.62669372558548</v>
      </c>
      <c r="G22">
        <f>IF(ISBLANK(RawCurrent!G22),"",IF(AVERAGE(RawCurrent!G$7:G$10)&gt;0,(RawCurrent!G22+MEDIAN(RawCurrent!G$7:G$10)),(RawCurrent!G22-MEDIAN(RawCurrent!G$7:G$10))))</f>
        <v>-85.512550354003196</v>
      </c>
      <c r="H22">
        <f>IF(ISBLANK(RawCurrent!H22),"",IF(AVERAGE(RawCurrent!H$7:H$10)&gt;0,(RawCurrent!H22+MEDIAN(RawCurrent!H$7:H$10)),(RawCurrent!H22-MEDIAN(RawCurrent!H$7:H$10))))</f>
        <v>-482.95689392089838</v>
      </c>
      <c r="I22">
        <f>IF(ISBLANK(RawCurrent!I22),"",IF(AVERAGE(RawCurrent!I$7:I$10)&gt;0,(RawCurrent!I22+MEDIAN(RawCurrent!I$7:I$10)),(RawCurrent!I22-MEDIAN(RawCurrent!I$7:I$10))))</f>
        <v>-61.039808273314804</v>
      </c>
      <c r="J22">
        <f>IF(ISBLANK(RawCurrent!J22),"",IF(AVERAGE(RawCurrent!J$7:J$10)&gt;0,(RawCurrent!J22+MEDIAN(RawCurrent!J$7:J$10)),(RawCurrent!J22-MEDIAN(RawCurrent!J$7:J$10))))</f>
        <v>138.26706314086911</v>
      </c>
      <c r="K22">
        <f>IF(ISBLANK(RawCurrent!K22),"",IF(AVERAGE(RawCurrent!K$7:K$10)&gt;0,(RawCurrent!K22+MEDIAN(RawCurrent!K$7:K$10)),(RawCurrent!K22-MEDIAN(RawCurrent!K$7:K$10))))</f>
        <v>-641.43068593740463</v>
      </c>
      <c r="L22">
        <f>IF(ISBLANK(RawCurrent!L22),"",IF(AVERAGE(RawCurrent!L$7:L$10)&gt;0,(RawCurrent!L22+MEDIAN(RawCurrent!L$7:L$10)),(RawCurrent!L22-MEDIAN(RawCurrent!L$7:L$10))))</f>
        <v>89.529426574706946</v>
      </c>
      <c r="M22">
        <f>IF(ISBLANK(RawCurrent!M22),"",IF(AVERAGE(RawCurrent!M$7:M$10)&gt;0,(RawCurrent!M22+MEDIAN(RawCurrent!M$7:M$10)),(RawCurrent!M22-MEDIAN(RawCurrent!M$7:M$10))))</f>
        <v>-303.02659606933594</v>
      </c>
      <c r="N22">
        <f>IF(ISBLANK(RawCurrent!N22),"",IF(AVERAGE(RawCurrent!N$7:N$10)&gt;0,(RawCurrent!N22+MEDIAN(RawCurrent!N$7:N$10)),(RawCurrent!N22-MEDIAN(RawCurrent!N$7:N$10))))</f>
        <v>116.7439422607421</v>
      </c>
      <c r="O22">
        <f>IF(ISBLANK(RawCurrent!O22),"",IF(AVERAGE(RawCurrent!O$7:O$10)&gt;0,(RawCurrent!O22+MEDIAN(RawCurrent!O$7:O$10)),(RawCurrent!O22-MEDIAN(RawCurrent!O$7:O$10))))</f>
        <v>166.07112503051709</v>
      </c>
      <c r="P22">
        <f>IF(ISBLANK(RawCurrent!P22),"",IF(AVERAGE(RawCurrent!P$7:P$10)&gt;0,(RawCurrent!P22+MEDIAN(RawCurrent!P$7:P$10)),(RawCurrent!P22-MEDIAN(RawCurrent!P$7:P$10))))</f>
        <v>168.14093017578034</v>
      </c>
      <c r="Q22">
        <f>IF(ISBLANK(RawCurrent!Q22),"",IF(AVERAGE(RawCurrent!Q$7:Q$10)&gt;0,(RawCurrent!Q22+MEDIAN(RawCurrent!Q$7:Q$10)),(RawCurrent!Q22-MEDIAN(RawCurrent!Q$7:Q$10))))</f>
        <v>172.9388484954832</v>
      </c>
      <c r="R22">
        <f>IF(ISBLANK(RawCurrent!R22),"",IF(AVERAGE(RawCurrent!R$7:R$10)&gt;0,(RawCurrent!R22+MEDIAN(RawCurrent!R$7:R$10)),(RawCurrent!R22-MEDIAN(RawCurrent!R$7:R$10))))</f>
        <v>77.770804405212303</v>
      </c>
      <c r="S22">
        <f>IF(ISBLANK(RawCurrent!S22),"",IF(AVERAGE(RawCurrent!S$7:S$10)&gt;0,(RawCurrent!S22+MEDIAN(RawCurrent!S$7:S$10)),(RawCurrent!S22-MEDIAN(RawCurrent!S$7:S$10))))</f>
        <v>139.07822418212817</v>
      </c>
      <c r="T22">
        <f>IF(ISBLANK(RawCurrent!T22),"",IF(AVERAGE(RawCurrent!T$7:T$10)&gt;0,(RawCurrent!T22+MEDIAN(RawCurrent!T$7:T$10)),(RawCurrent!T22-MEDIAN(RawCurrent!T$7:T$10))))</f>
        <v>59.579322814941293</v>
      </c>
      <c r="U22">
        <f>IF(ISBLANK(RawCurrent!U22),"",IF(AVERAGE(RawCurrent!U$7:U$10)&gt;0,(RawCurrent!U22+MEDIAN(RawCurrent!U$7:U$10)),(RawCurrent!U22-MEDIAN(RawCurrent!U$7:U$10))))</f>
        <v>65.544815063476548</v>
      </c>
      <c r="V22">
        <f>IF(ISBLANK(RawCurrent!V22),"",IF(AVERAGE(RawCurrent!V$7:V$10)&gt;0,(RawCurrent!V22+MEDIAN(RawCurrent!V$7:V$10)),(RawCurrent!V22-MEDIAN(RawCurrent!V$7:V$10))))</f>
        <v>49.44077301025375</v>
      </c>
      <c r="W22">
        <f>IF(ISBLANK(RawCurrent!W22),"",IF(AVERAGE(RawCurrent!W$7:W$10)&gt;0,(RawCurrent!W22+MEDIAN(RawCurrent!W$7:W$10)),(RawCurrent!W22-MEDIAN(RawCurrent!W$7:W$10))))</f>
        <v>64.091308593749901</v>
      </c>
      <c r="X22">
        <f>IF(ISBLANK(RawCurrent!X22),"",IF(AVERAGE(RawCurrent!X$7:X$10)&gt;0,(RawCurrent!X22+MEDIAN(RawCurrent!X$7:X$10)),(RawCurrent!X22-MEDIAN(RawCurrent!X$7:X$10))))</f>
        <v>-10.524696350097653</v>
      </c>
      <c r="Y22">
        <f>IF(ISBLANK(RawCurrent!Y22),"",IF(AVERAGE(RawCurrent!Y$7:Y$10)&gt;0,(RawCurrent!Y22+MEDIAN(RawCurrent!Y$7:Y$10)),(RawCurrent!Y22-MEDIAN(RawCurrent!Y$7:Y$10))))</f>
        <v>93.638137817382741</v>
      </c>
      <c r="Z22">
        <f>IF(ISBLANK(RawCurrent!Z22),"",IF(AVERAGE(RawCurrent!Z$7:Z$10)&gt;0,(RawCurrent!Z22+MEDIAN(RawCurrent!Z$7:Z$10)),(RawCurrent!Z22-MEDIAN(RawCurrent!Z$7:Z$10))))</f>
        <v>55.077227115631104</v>
      </c>
      <c r="AA22">
        <f>IF(ISBLANK(RawCurrent!AA22),"",IF(AVERAGE(RawCurrent!AA$7:AA$10)&gt;0,(RawCurrent!AA22+MEDIAN(RawCurrent!AA$7:AA$10)),(RawCurrent!AA22-MEDIAN(RawCurrent!AA$7:AA$10))))</f>
        <v>99.25287485122675</v>
      </c>
      <c r="AB22">
        <f>IF(ISBLANK(RawCurrent!AB22),"",IF(AVERAGE(RawCurrent!AB$7:AB$10)&gt;0,(RawCurrent!AB22+MEDIAN(RawCurrent!AB$7:AB$10)),(RawCurrent!AB22-MEDIAN(RawCurrent!AB$7:AB$10))))</f>
        <v>37.081784248352001</v>
      </c>
      <c r="AC22">
        <f>IF(ISBLANK(RawCurrent!AC22),"",IF(AVERAGE(RawCurrent!AC$7:AC$10)&gt;0,(RawCurrent!AC22+MEDIAN(RawCurrent!AC$7:AC$10)),(RawCurrent!AC22-MEDIAN(RawCurrent!AC$7:AC$10))))</f>
        <v>-122.04152870178204</v>
      </c>
      <c r="AD22">
        <f>IF(ISBLANK(RawCurrent!AD22),"",IF(AVERAGE(RawCurrent!AD$7:AD$10)&gt;0,(RawCurrent!AD22+MEDIAN(RawCurrent!AD$7:AD$10)),(RawCurrent!AD22-MEDIAN(RawCurrent!AD$7:AD$10))))</f>
        <v>-39.040748596191406</v>
      </c>
      <c r="AE22">
        <f>IF(ISBLANK(RawCurrent!AE22),"",IF(AVERAGE(RawCurrent!AE$7:AE$10)&gt;0,(RawCurrent!AE22+MEDIAN(RawCurrent!AE$7:AE$10)),(RawCurrent!AE22-MEDIAN(RawCurrent!AE$7:AE$10))))</f>
        <v>222.90830135345419</v>
      </c>
      <c r="AF22">
        <f>IF(ISBLANK(RawCurrent!AF22),"",IF(AVERAGE(RawCurrent!AF$7:AF$10)&gt;0,(RawCurrent!AF22+MEDIAN(RawCurrent!AF$7:AF$10)),(RawCurrent!AF22-MEDIAN(RawCurrent!AF$7:AF$10))))</f>
        <v>56.943222999572697</v>
      </c>
      <c r="AG22">
        <f>IF(ISBLANK(RawCurrent!AG22),"",IF(AVERAGE(RawCurrent!AG$7:AG$10)&gt;0,(RawCurrent!AG22+MEDIAN(RawCurrent!AG$7:AG$10)),(RawCurrent!AG22-MEDIAN(RawCurrent!AG$7:AG$10))))</f>
        <v>55.496623992919851</v>
      </c>
      <c r="AH22">
        <f>IF(ISBLANK(RawCurrent!AH22),"",IF(AVERAGE(RawCurrent!AH$7:AH$10)&gt;0,(RawCurrent!AH22+MEDIAN(RawCurrent!AH$7:AH$10)),(RawCurrent!AH22-MEDIAN(RawCurrent!AH$7:AH$10))))</f>
        <v>51.4319648742675</v>
      </c>
      <c r="AI22">
        <f>IF(ISBLANK(RawCurrent!AI22),"",IF(AVERAGE(RawCurrent!AI$7:AI$10)&gt;0,(RawCurrent!AI22+MEDIAN(RawCurrent!AI$7:AI$10)),(RawCurrent!AI22-MEDIAN(RawCurrent!AI$7:AI$10))))</f>
        <v>31.045257568359297</v>
      </c>
      <c r="AJ22">
        <f>IF(ISBLANK(RawCurrent!AJ22),"",IF(AVERAGE(RawCurrent!AJ$7:AJ$10)&gt;0,(RawCurrent!AJ22+MEDIAN(RawCurrent!AJ$7:AJ$10)),(RawCurrent!AJ22-MEDIAN(RawCurrent!AJ$7:AJ$10))))</f>
        <v>59.821344375610295</v>
      </c>
      <c r="AK22">
        <f>IF(ISBLANK(RawCurrent!AK22),"",IF(AVERAGE(RawCurrent!AK$7:AK$10)&gt;0,(RawCurrent!AK22+MEDIAN(RawCurrent!AK$7:AK$10)),(RawCurrent!AK22-MEDIAN(RawCurrent!AK$7:AK$10))))</f>
        <v>-13.9671936035156</v>
      </c>
      <c r="AL22">
        <f>IF(ISBLANK(RawCurrent!AL22),"",IF(AVERAGE(RawCurrent!AL$7:AL$10)&gt;0,(RawCurrent!AL22+MEDIAN(RawCurrent!AL$7:AL$10)),(RawCurrent!AL22-MEDIAN(RawCurrent!AL$7:AL$10))))</f>
        <v>36.320980072021399</v>
      </c>
      <c r="AM22">
        <f>IF(ISBLANK(RawCurrent!AM22),"",IF(AVERAGE(RawCurrent!AM$7:AM$10)&gt;0,(RawCurrent!AM22+MEDIAN(RawCurrent!AM$7:AM$10)),(RawCurrent!AM22-MEDIAN(RawCurrent!AM$7:AM$10))))</f>
        <v>-13.384464263916</v>
      </c>
      <c r="AO22">
        <f>IF(ISBLANK(RawCurrent!AO22),"",IF(AVERAGE(RawCurrent!AO$7:AO$10)&gt;0,(RawCurrent!AO22+MEDIAN(RawCurrent!AO$7:AO$10)),(RawCurrent!AO22-MEDIAN(RawCurrent!AO$7:AO$10))))</f>
        <v>85.721004486083899</v>
      </c>
      <c r="AP22">
        <f>IF(ISBLANK(RawCurrent!AP22),"",IF(AVERAGE(RawCurrent!AP$7:AP$10)&gt;0,(RawCurrent!AP22+MEDIAN(RawCurrent!AP$7:AP$10)),(RawCurrent!AP22-MEDIAN(RawCurrent!AP$7:AP$10))))</f>
        <v>53.573123931884695</v>
      </c>
      <c r="AQ22">
        <f>IF(ISBLANK(RawCurrent!AQ22),"",IF(AVERAGE(RawCurrent!AQ$7:AQ$10)&gt;0,(RawCurrent!AQ22+MEDIAN(RawCurrent!AQ$7:AQ$10)),(RawCurrent!AQ22-MEDIAN(RawCurrent!AQ$7:AQ$10))))</f>
        <v>100.73236656188965</v>
      </c>
      <c r="AR22">
        <f>IF(ISBLANK(RawCurrent!AR22),"",IF(AVERAGE(RawCurrent!AR$7:AR$10)&gt;0,(RawCurrent!AR22+MEDIAN(RawCurrent!AR$7:AR$10)),(RawCurrent!AR22-MEDIAN(RawCurrent!AR$7:AR$10))))</f>
        <v>52.905111789703255</v>
      </c>
      <c r="AS22">
        <f>IF(ISBLANK(RawCurrent!AS22),"",IF(AVERAGE(RawCurrent!AS$7:AS$10)&gt;0,(RawCurrent!AS22+MEDIAN(RawCurrent!AS$7:AS$10)),(RawCurrent!AS22-MEDIAN(RawCurrent!AS$7:AS$10))))</f>
        <v>21.939887046813951</v>
      </c>
      <c r="AT22">
        <f>IF(ISBLANK(RawCurrent!AT22),"",IF(AVERAGE(RawCurrent!AT$7:AT$10)&gt;0,(RawCurrent!AT22+MEDIAN(RawCurrent!AT$7:AT$10)),(RawCurrent!AT22-MEDIAN(RawCurrent!AT$7:AT$10))))</f>
        <v>3.2080307006836026</v>
      </c>
      <c r="AU22">
        <f>IF(ISBLANK(RawCurrent!AU22),"",IF(AVERAGE(RawCurrent!AU$7:AU$10)&gt;0,(RawCurrent!AU22+MEDIAN(RawCurrent!AU$7:AU$10)),(RawCurrent!AU22-MEDIAN(RawCurrent!AU$7:AU$10))))</f>
        <v>59.568698883056541</v>
      </c>
      <c r="AV22">
        <f>IF(ISBLANK(RawCurrent!AV22),"",IF(AVERAGE(RawCurrent!AV$7:AV$10)&gt;0,(RawCurrent!AV22+MEDIAN(RawCurrent!AV$7:AV$10)),(RawCurrent!AV22-MEDIAN(RawCurrent!AV$7:AV$10))))</f>
        <v>60.953910636901767</v>
      </c>
      <c r="AW22">
        <f>IF(ISBLANK(RawCurrent!AW22),"",IF(AVERAGE(RawCurrent!AW$7:AW$10)&gt;0,(RawCurrent!AW22+MEDIAN(RawCurrent!AW$7:AW$10)),(RawCurrent!AW22-MEDIAN(RawCurrent!AW$7:AW$10))))</f>
        <v>220.78318786620994</v>
      </c>
      <c r="AX22">
        <f>IF(ISBLANK(RawCurrent!AX22),"",IF(AVERAGE(RawCurrent!AX$7:AX$10)&gt;0,(RawCurrent!AX22+MEDIAN(RawCurrent!AX$7:AX$10)),(RawCurrent!AX22-MEDIAN(RawCurrent!AX$7:AX$10))))</f>
        <v>-181.04489898681635</v>
      </c>
      <c r="AY22">
        <f>IF(ISBLANK(RawCurrent!AY22),"",IF(AVERAGE(RawCurrent!AY$7:AY$10)&gt;0,(RawCurrent!AY22+MEDIAN(RawCurrent!AY$7:AY$10)),(RawCurrent!AY22-MEDIAN(RawCurrent!AY$7:AY$10))))</f>
        <v>63.559606870015358</v>
      </c>
      <c r="AZ22">
        <f>IF(ISBLANK(RawCurrent!AZ22),"",IF(AVERAGE(RawCurrent!AZ$7:AZ$10)&gt;0,(RawCurrent!AZ22+MEDIAN(RawCurrent!AZ$7:AZ$10)),(RawCurrent!AZ22-MEDIAN(RawCurrent!AZ$7:AZ$10))))</f>
        <v>-81.306095123291044</v>
      </c>
      <c r="BA22">
        <f>IF(ISBLANK(RawCurrent!BA22),"",IF(AVERAGE(RawCurrent!BA$7:BA$10)&gt;0,(RawCurrent!BA22+MEDIAN(RawCurrent!BA$7:BA$10)),(RawCurrent!BA22-MEDIAN(RawCurrent!BA$7:BA$10))))</f>
        <v>-65.965951919555607</v>
      </c>
      <c r="BB22">
        <v>37.701507568359297</v>
      </c>
      <c r="BC22">
        <f>IF(ISBLANK(RawCurrent!BC22),"",IF(AVERAGE(RawCurrent!BC$7:BC$10)&gt;0,(RawCurrent!BC22+MEDIAN(RawCurrent!BC$7:BC$10)),(RawCurrent!BC22-MEDIAN(RawCurrent!BC$7:BC$10))))</f>
        <v>19.814914703369123</v>
      </c>
      <c r="BD22">
        <f>IF(ISBLANK(RawCurrent!BD22),"",IF(AVERAGE(RawCurrent!BD$7:BD$10)&gt;0,(RawCurrent!BD22+MEDIAN(RawCurrent!BD$7:BD$10)),(RawCurrent!BD22-MEDIAN(RawCurrent!BD$7:BD$10))))</f>
        <v>84.247045516967759</v>
      </c>
      <c r="BE22">
        <f>IF(ISBLANK(RawCurrent!BE22),"",IF(AVERAGE(RawCurrent!BE$7:BE$10)&gt;0,(RawCurrent!BE22+MEDIAN(RawCurrent!BE$7:BE$10)),(RawCurrent!BE22-MEDIAN(RawCurrent!BE$7:BE$10))))</f>
        <v>0.4007644653320952</v>
      </c>
      <c r="BF22">
        <f>IF(ISBLANK(RawCurrent!BF22),"",IF(AVERAGE(RawCurrent!BF$7:BF$10)&gt;0,(RawCurrent!BF22+MEDIAN(RawCurrent!BF$7:BF$10)),(RawCurrent!BF22-MEDIAN(RawCurrent!BF$7:BF$10))))</f>
        <v>64.70393753051745</v>
      </c>
      <c r="BG22">
        <f>IF(ISBLANK(RawCurrent!BG22),"",IF(AVERAGE(RawCurrent!BG$7:BG$10)&gt;0,(RawCurrent!BG22+MEDIAN(RawCurrent!BG$7:BG$10)),(RawCurrent!BG22-MEDIAN(RawCurrent!BG$7:BG$10))))</f>
        <v>-50.126791000366246</v>
      </c>
      <c r="BH22">
        <f>IF(ISBLANK(RawCurrent!BH22),"",IF(AVERAGE(RawCurrent!BH$7:BH$10)&gt;0,(RawCurrent!BH22+MEDIAN(RawCurrent!BH$7:BH$10)),(RawCurrent!BH22-MEDIAN(RawCurrent!BH$7:BH$10))))</f>
        <v>33.718780517578054</v>
      </c>
      <c r="BI22">
        <f>IF(ISBLANK(RawCurrent!BI22),"",IF(AVERAGE(RawCurrent!BI$7:BI$10)&gt;0,(RawCurrent!BI22+MEDIAN(RawCurrent!BI$7:BI$10)),(RawCurrent!BI22-MEDIAN(RawCurrent!BI$7:BI$10))))</f>
        <v>42.946570396423247</v>
      </c>
      <c r="BJ22">
        <f>IF(ISBLANK(RawCurrent!BJ22),"",IF(AVERAGE(RawCurrent!BJ$7:BJ$10)&gt;0,(RawCurrent!BJ22+MEDIAN(RawCurrent!BJ$7:BJ$10)),(RawCurrent!BJ22-MEDIAN(RawCurrent!BJ$7:BJ$10))))</f>
        <v>-2.9296874999999609</v>
      </c>
      <c r="BK22">
        <f>IF(ISBLANK(RawCurrent!BK22),"",IF(AVERAGE(RawCurrent!BK$7:BK$10)&gt;0,(RawCurrent!BK22+MEDIAN(RawCurrent!BK$7:BK$10)),(RawCurrent!BK22-MEDIAN(RawCurrent!BK$7:BK$10))))</f>
        <v>56.46001866635855</v>
      </c>
      <c r="BL22">
        <f>IF(ISBLANK(RawCurrent!BL22),"",IF(AVERAGE(RawCurrent!BL$7:BL$10)&gt;0,(RawCurrent!BL22+MEDIAN(RawCurrent!BL$7:BL$10)),(RawCurrent!BL22-MEDIAN(RawCurrent!BL$7:BL$10))))</f>
        <v>47.139156341552656</v>
      </c>
      <c r="BM22">
        <f>IF(ISBLANK(RawCurrent!BM22),"",IF(AVERAGE(RawCurrent!BM$7:BM$10)&gt;0,(RawCurrent!BM22+MEDIAN(RawCurrent!BM$7:BM$10)),(RawCurrent!BM22-MEDIAN(RawCurrent!BM$7:BM$10))))</f>
        <v>-25.651744842529268</v>
      </c>
      <c r="BN22">
        <f>IF(ISBLANK(RawCurrent!BN22),"",IF(AVERAGE(RawCurrent!BN$7:BN$10)&gt;0,(RawCurrent!BN22+MEDIAN(RawCurrent!BN$7:BN$10)),(RawCurrent!BN22-MEDIAN(RawCurrent!BN$7:BN$10))))</f>
        <v>213.50580215454085</v>
      </c>
      <c r="BO22">
        <f>IF(ISBLANK(RawCurrent!BO22),"",IF(AVERAGE(RawCurrent!BO$7:BO$10)&gt;0,(RawCurrent!BO22+MEDIAN(RawCurrent!BO$7:BO$10)),(RawCurrent!BO22-MEDIAN(RawCurrent!BO$7:BO$10))))</f>
        <v>106.7112140655517</v>
      </c>
      <c r="BP22">
        <f>IF(ISBLANK(RawCurrent!BP22),"",IF(AVERAGE(RawCurrent!BP$7:BP$10)&gt;0,(RawCurrent!BP22+MEDIAN(RawCurrent!BP$7:BP$10)),(RawCurrent!BP22-MEDIAN(RawCurrent!BP$7:BP$10))))</f>
        <v>107.05396270751936</v>
      </c>
      <c r="BQ22">
        <f>IF(ISBLANK(RawCurrent!BQ22),"",IF(AVERAGE(RawCurrent!BQ$7:BQ$10)&gt;0,(RawCurrent!BQ22+MEDIAN(RawCurrent!BQ$7:BQ$10)),(RawCurrent!BQ22-MEDIAN(RawCurrent!BQ$7:BQ$10))))</f>
        <v>136.11898040771425</v>
      </c>
      <c r="BR22">
        <f>IF(ISBLANK(RawCurrent!BR22),"",IF(AVERAGE(RawCurrent!BR$7:BR$10)&gt;0,(RawCurrent!BR22+MEDIAN(RawCurrent!BR$7:BR$10)),(RawCurrent!BR22-MEDIAN(RawCurrent!BR$7:BR$10))))</f>
        <v>110.16027514139806</v>
      </c>
      <c r="BS22">
        <f>IF(ISBLANK(RawCurrent!BS22),"",IF(AVERAGE(RawCurrent!BS$7:BS$10)&gt;0,(RawCurrent!BS22+MEDIAN(RawCurrent!BS$7:BS$10)),(RawCurrent!BS22-MEDIAN(RawCurrent!BS$7:BS$10))))</f>
        <v>121.70118484497061</v>
      </c>
      <c r="BT22">
        <f>IF(ISBLANK(RawCurrent!BT22),"",IF(AVERAGE(RawCurrent!BT$7:BT$10)&gt;0,(RawCurrent!BT22+MEDIAN(RawCurrent!BT$7:BT$10)),(RawCurrent!BT22-MEDIAN(RawCurrent!BT$7:BT$10))))</f>
        <v>36.481696287790868</v>
      </c>
      <c r="BU22">
        <f>IF(ISBLANK(RawCurrent!BU22),"",IF(AVERAGE(RawCurrent!BU$7:BU$10)&gt;0,(RawCurrent!BU22+MEDIAN(RawCurrent!BU$7:BU$10)),(RawCurrent!BU22-MEDIAN(RawCurrent!BU$7:BU$10))))</f>
        <v>-81.692337036132756</v>
      </c>
      <c r="BV22">
        <f>IF(ISBLANK(RawCurrent!BV22),"",IF(AVERAGE(RawCurrent!BV$7:BV$10)&gt;0,(RawCurrent!BV22+MEDIAN(RawCurrent!BV$7:BV$10)),(RawCurrent!BV22-MEDIAN(RawCurrent!BV$7:BV$10))))</f>
        <v>32.124226252237868</v>
      </c>
      <c r="BW22">
        <f>IF(ISBLANK(RawCurrent!BW22),"",IF(AVERAGE(RawCurrent!BW$7:BW$10)&gt;0,(RawCurrent!BW22+MEDIAN(RawCurrent!BW$7:BW$10)),(RawCurrent!BW22-MEDIAN(RawCurrent!BW$7:BW$10))))</f>
        <v>-15.732019901275599</v>
      </c>
      <c r="BX22">
        <f>IF(ISBLANK(RawCurrent!BX22),"",IF(AVERAGE(RawCurrent!BX$7:BX$10)&gt;0,(RawCurrent!BX22+MEDIAN(RawCurrent!BX$7:BX$10)),(RawCurrent!BX22-MEDIAN(RawCurrent!BX$7:BX$10))))</f>
        <v>-7.7937696729386303</v>
      </c>
      <c r="BZ22">
        <f>IF(ISBLANK(RawCurrent!BZ22),"",IF(AVERAGE(RawCurrent!BZ$7:BZ$10)&gt;0,(RawCurrent!BZ22+MEDIAN(RawCurrent!BZ$7:BZ$10)),(RawCurrent!BZ22-MEDIAN(RawCurrent!BZ$7:BZ$10))))</f>
        <v>76.277175903320227</v>
      </c>
      <c r="CA22">
        <f>IF(ISBLANK(RawCurrent!CA22),"",IF(AVERAGE(RawCurrent!CA$7:CA$10)&gt;0,(RawCurrent!CA22+MEDIAN(RawCurrent!CA$7:CA$10)),(RawCurrent!CA22-MEDIAN(RawCurrent!CA$7:CA$10))))</f>
        <v>68.447471618652301</v>
      </c>
      <c r="CB22">
        <f>IF(ISBLANK(RawCurrent!CB22),"",IF(AVERAGE(RawCurrent!CB$7:CB$10)&gt;0,(RawCurrent!CB22+MEDIAN(RawCurrent!CB$7:CB$10)),(RawCurrent!CB22-MEDIAN(RawCurrent!CB$7:CB$10))))</f>
        <v>10.354102452595987</v>
      </c>
      <c r="CC22">
        <f>IF(ISBLANK(RawCurrent!CC22),"",IF(AVERAGE(RawCurrent!CC$7:CC$10)&gt;0,(RawCurrent!CC22+MEDIAN(RawCurrent!CC$7:CC$10)),(RawCurrent!CC22-MEDIAN(RawCurrent!CC$7:CC$10))))</f>
        <v>-78.059311151504502</v>
      </c>
      <c r="CD22">
        <f>IF(ISBLANK(RawCurrent!CD22),"",IF(AVERAGE(RawCurrent!CD$7:CD$10)&gt;0,(RawCurrent!CD22+MEDIAN(RawCurrent!CD$7:CD$10)),(RawCurrent!CD22-MEDIAN(RawCurrent!CD$7:CD$10))))</f>
        <v>-6.6727819442748455</v>
      </c>
      <c r="CE22">
        <f t="shared" si="28"/>
        <v>70</v>
      </c>
      <c r="CF22">
        <f t="shared" si="4"/>
        <v>23.29640538177712</v>
      </c>
      <c r="CG22">
        <f t="shared" si="5"/>
        <v>39.792236453463261</v>
      </c>
      <c r="CH22">
        <f t="shared" si="6"/>
        <v>13.321635064624505</v>
      </c>
      <c r="CI22">
        <f t="shared" si="7"/>
        <v>24.87782909396914</v>
      </c>
      <c r="CJ22">
        <f t="shared" si="8"/>
        <v>47.733331699765671</v>
      </c>
      <c r="CK22">
        <f t="shared" si="9"/>
        <v>17.335468113874683</v>
      </c>
      <c r="CL22">
        <f t="shared" si="10"/>
        <v>-9.3901178947074726</v>
      </c>
      <c r="CM22">
        <v>42.636264763283378</v>
      </c>
      <c r="CN22">
        <f t="shared" si="0"/>
        <v>-9.1387330398455511</v>
      </c>
      <c r="CO22">
        <v>24.87782909396914</v>
      </c>
      <c r="CP22">
        <f t="shared" si="11"/>
        <v>35.028753455144781</v>
      </c>
      <c r="CQ22">
        <v>17.335468113874683</v>
      </c>
      <c r="CR22">
        <f>MEDIAN((B22:AQ22,AS22:AU22))</f>
        <v>56.219923496246274</v>
      </c>
      <c r="CS22">
        <f>_xlfn.QUARTILE.EXC((B22:AQ22,AS22:AU22),3)</f>
        <v>100.36249363422392</v>
      </c>
      <c r="CT22">
        <f>_xlfn.QUARTILE.EXC((B22:AQ22,AS22:AU22),1)</f>
        <v>-12.669522285461413</v>
      </c>
      <c r="CU22">
        <f t="shared" si="12"/>
        <v>26.76684761047359</v>
      </c>
      <c r="CV22">
        <f t="shared" si="13"/>
        <v>63.845689535140878</v>
      </c>
      <c r="CW22">
        <f t="shared" si="14"/>
        <v>-54.086581230163588</v>
      </c>
      <c r="CX22">
        <f t="shared" si="15"/>
        <v>47.139156341552656</v>
      </c>
      <c r="CY22">
        <f t="shared" si="16"/>
        <v>107.05396270751936</v>
      </c>
      <c r="CZ22">
        <f t="shared" si="17"/>
        <v>-7.7937696729386303</v>
      </c>
      <c r="DA22">
        <f t="shared" si="18"/>
        <v>40.563009023666353</v>
      </c>
      <c r="DB22">
        <f t="shared" si="19"/>
        <v>84.705579161643996</v>
      </c>
      <c r="DC22">
        <f t="shared" si="20"/>
        <v>-28.326436758041339</v>
      </c>
      <c r="DD22">
        <f t="shared" si="21"/>
        <v>12.168620347976667</v>
      </c>
      <c r="DE22">
        <f t="shared" si="22"/>
        <v>49.247462272643958</v>
      </c>
      <c r="DF22">
        <f t="shared" si="23"/>
        <v>-68.684808492660508</v>
      </c>
      <c r="DG22">
        <f t="shared" si="24"/>
        <v>38.538177251815711</v>
      </c>
      <c r="DH22">
        <f t="shared" si="25"/>
        <v>98.452983617782422</v>
      </c>
      <c r="DI22">
        <f t="shared" si="26"/>
        <v>-16.394748762675576</v>
      </c>
    </row>
    <row r="23" spans="1:113" x14ac:dyDescent="0.2">
      <c r="A23" s="3">
        <f t="shared" si="27"/>
        <v>80</v>
      </c>
      <c r="B23">
        <f>IF(ISBLANK(RawCurrent!B23),"",IF(AVERAGE(RawCurrent!B$7:B$10)&gt;0,(RawCurrent!B23+MEDIAN(RawCurrent!B$7:B$10)),(RawCurrent!B23-MEDIAN(RawCurrent!B$7:B$10))))</f>
        <v>-396.09481048583945</v>
      </c>
      <c r="C23">
        <f>IF(ISBLANK(RawCurrent!C23),"",IF(AVERAGE(RawCurrent!C$7:C$10)&gt;0,(RawCurrent!C23+MEDIAN(RawCurrent!C$7:C$10)),(RawCurrent!C23-MEDIAN(RawCurrent!C$7:C$10))))</f>
        <v>-68.516382217407198</v>
      </c>
      <c r="D23">
        <f>IF(ISBLANK(RawCurrent!D23),"",IF(AVERAGE(RawCurrent!D$7:D$10)&gt;0,(RawCurrent!D23+MEDIAN(RawCurrent!D$7:D$10)),(RawCurrent!D23-MEDIAN(RawCurrent!D$7:D$10))))</f>
        <v>547.96011352538994</v>
      </c>
      <c r="E23">
        <f>IF(ISBLANK(RawCurrent!E23),"",IF(AVERAGE(RawCurrent!E$7:E$10)&gt;0,(RawCurrent!E23+MEDIAN(RawCurrent!E$7:E$10)),(RawCurrent!E23-MEDIAN(RawCurrent!E$7:E$10))))</f>
        <v>719.30101013183571</v>
      </c>
      <c r="F23">
        <f>IF(ISBLANK(RawCurrent!F23),"",IF(AVERAGE(RawCurrent!F$7:F$10)&gt;0,(RawCurrent!F23+MEDIAN(RawCurrent!F$7:F$10)),(RawCurrent!F23-MEDIAN(RawCurrent!F$7:F$10))))</f>
        <v>1571.4188690185545</v>
      </c>
      <c r="G23">
        <f>IF(ISBLANK(RawCurrent!G23),"",IF(AVERAGE(RawCurrent!G$7:G$10)&gt;0,(RawCurrent!G23+MEDIAN(RawCurrent!G$7:G$10)),(RawCurrent!G23-MEDIAN(RawCurrent!G$7:G$10))))</f>
        <v>164.31405639648378</v>
      </c>
      <c r="H23">
        <f>IF(ISBLANK(RawCurrent!H23),"",IF(AVERAGE(RawCurrent!H$7:H$10)&gt;0,(RawCurrent!H23+MEDIAN(RawCurrent!H$7:H$10)),(RawCurrent!H23-MEDIAN(RawCurrent!H$7:H$10))))</f>
        <v>-187.82133483886633</v>
      </c>
      <c r="I23">
        <f>IF(ISBLANK(RawCurrent!I23),"",IF(AVERAGE(RawCurrent!I$7:I$10)&gt;0,(RawCurrent!I23+MEDIAN(RawCurrent!I$7:I$10)),(RawCurrent!I23-MEDIAN(RawCurrent!I$7:I$10))))</f>
        <v>126.98128700256339</v>
      </c>
      <c r="J23">
        <f>IF(ISBLANK(RawCurrent!J23),"",IF(AVERAGE(RawCurrent!J$7:J$10)&gt;0,(RawCurrent!J23+MEDIAN(RawCurrent!J$7:J$10)),(RawCurrent!J23-MEDIAN(RawCurrent!J$7:J$10))))</f>
        <v>447.91430282592717</v>
      </c>
      <c r="K23">
        <f>IF(ISBLANK(RawCurrent!K23),"",IF(AVERAGE(RawCurrent!K$7:K$10)&gt;0,(RawCurrent!K23+MEDIAN(RawCurrent!K$7:K$10)),(RawCurrent!K23-MEDIAN(RawCurrent!K$7:K$10))))</f>
        <v>-193.87869804911315</v>
      </c>
      <c r="L23">
        <f>IF(ISBLANK(RawCurrent!L23),"",IF(AVERAGE(RawCurrent!L$7:L$10)&gt;0,(RawCurrent!L23+MEDIAN(RawCurrent!L$7:L$10)),(RawCurrent!L23-MEDIAN(RawCurrent!L$7:L$10))))</f>
        <v>210.25432586669865</v>
      </c>
      <c r="M23">
        <f>IF(ISBLANK(RawCurrent!M23),"",IF(AVERAGE(RawCurrent!M$7:M$10)&gt;0,(RawCurrent!M23+MEDIAN(RawCurrent!M$7:M$10)),(RawCurrent!M23-MEDIAN(RawCurrent!M$7:M$10))))</f>
        <v>185.14541625976511</v>
      </c>
      <c r="N23">
        <f>IF(ISBLANK(RawCurrent!N23),"",IF(AVERAGE(RawCurrent!N$7:N$10)&gt;0,(RawCurrent!N23+MEDIAN(RawCurrent!N$7:N$10)),(RawCurrent!N23-MEDIAN(RawCurrent!N$7:N$10))))</f>
        <v>332.24581909179665</v>
      </c>
      <c r="O23">
        <f>IF(ISBLANK(RawCurrent!O23),"",IF(AVERAGE(RawCurrent!O$7:O$10)&gt;0,(RawCurrent!O23+MEDIAN(RawCurrent!O$7:O$10)),(RawCurrent!O23-MEDIAN(RawCurrent!O$7:O$10))))</f>
        <v>353.13496780395508</v>
      </c>
      <c r="P23">
        <f>IF(ISBLANK(RawCurrent!P23),"",IF(AVERAGE(RawCurrent!P$7:P$10)&gt;0,(RawCurrent!P23+MEDIAN(RawCurrent!P$7:P$10)),(RawCurrent!P23-MEDIAN(RawCurrent!P$7:P$10))))</f>
        <v>451.90084838867136</v>
      </c>
      <c r="Q23">
        <f>IF(ISBLANK(RawCurrent!Q23),"",IF(AVERAGE(RawCurrent!Q$7:Q$10)&gt;0,(RawCurrent!Q23+MEDIAN(RawCurrent!Q$7:Q$10)),(RawCurrent!Q23-MEDIAN(RawCurrent!Q$7:Q$10))))</f>
        <v>258.12098503112719</v>
      </c>
      <c r="R23">
        <f>IF(ISBLANK(RawCurrent!R23),"",IF(AVERAGE(RawCurrent!R$7:R$10)&gt;0,(RawCurrent!R23+MEDIAN(RawCurrent!R$7:R$10)),(RawCurrent!R23-MEDIAN(RawCurrent!R$7:R$10))))</f>
        <v>154.3787755966184</v>
      </c>
      <c r="S23">
        <f>IF(ISBLANK(RawCurrent!S23),"",IF(AVERAGE(RawCurrent!S$7:S$10)&gt;0,(RawCurrent!S23+MEDIAN(RawCurrent!S$7:S$10)),(RawCurrent!S23-MEDIAN(RawCurrent!S$7:S$10))))</f>
        <v>208.73529815673817</v>
      </c>
      <c r="T23">
        <f>IF(ISBLANK(RawCurrent!T23),"",IF(AVERAGE(RawCurrent!T$7:T$10)&gt;0,(RawCurrent!T23+MEDIAN(RawCurrent!T$7:T$10)),(RawCurrent!T23-MEDIAN(RawCurrent!T$7:T$10))))</f>
        <v>130.0737838745107</v>
      </c>
      <c r="U23">
        <f>IF(ISBLANK(RawCurrent!U23),"",IF(AVERAGE(RawCurrent!U$7:U$10)&gt;0,(RawCurrent!U23+MEDIAN(RawCurrent!U$7:U$10)),(RawCurrent!U23-MEDIAN(RawCurrent!U$7:U$10))))</f>
        <v>207.81501770019526</v>
      </c>
      <c r="V23">
        <f>IF(ISBLANK(RawCurrent!V23),"",IF(AVERAGE(RawCurrent!V$7:V$10)&gt;0,(RawCurrent!V23+MEDIAN(RawCurrent!V$7:V$10)),(RawCurrent!V23-MEDIAN(RawCurrent!V$7:V$10))))</f>
        <v>167.37120819091717</v>
      </c>
      <c r="W23">
        <f>IF(ISBLANK(RawCurrent!W23),"",IF(AVERAGE(RawCurrent!W$7:W$10)&gt;0,(RawCurrent!W23+MEDIAN(RawCurrent!W$7:W$10)),(RawCurrent!W23-MEDIAN(RawCurrent!W$7:W$10))))</f>
        <v>104.939987182617</v>
      </c>
      <c r="X23">
        <f>IF(ISBLANK(RawCurrent!X23),"",IF(AVERAGE(RawCurrent!X$7:X$10)&gt;0,(RawCurrent!X23+MEDIAN(RawCurrent!X$7:X$10)),(RawCurrent!X23-MEDIAN(RawCurrent!X$7:X$10))))</f>
        <v>156.50847625732416</v>
      </c>
      <c r="Y23">
        <f>IF(ISBLANK(RawCurrent!Y23),"",IF(AVERAGE(RawCurrent!Y$7:Y$10)&gt;0,(RawCurrent!Y23+MEDIAN(RawCurrent!Y$7:Y$10)),(RawCurrent!Y23-MEDIAN(RawCurrent!Y$7:Y$10))))</f>
        <v>168.95451354980383</v>
      </c>
      <c r="Z23">
        <f>IF(ISBLANK(RawCurrent!Z23),"",IF(AVERAGE(RawCurrent!Z$7:Z$10)&gt;0,(RawCurrent!Z23+MEDIAN(RawCurrent!Z$7:Z$10)),(RawCurrent!Z23-MEDIAN(RawCurrent!Z$7:Z$10))))</f>
        <v>134.2398133277884</v>
      </c>
      <c r="AA23">
        <f>IF(ISBLANK(RawCurrent!AA23),"",IF(AVERAGE(RawCurrent!AA$7:AA$10)&gt;0,(RawCurrent!AA23+MEDIAN(RawCurrent!AA$7:AA$10)),(RawCurrent!AA23-MEDIAN(RawCurrent!AA$7:AA$10))))</f>
        <v>159.87017679214415</v>
      </c>
      <c r="AB23">
        <f>IF(ISBLANK(RawCurrent!AB23),"",IF(AVERAGE(RawCurrent!AB$7:AB$10)&gt;0,(RawCurrent!AB23+MEDIAN(RawCurrent!AB$7:AB$10)),(RawCurrent!AB23-MEDIAN(RawCurrent!AB$7:AB$10))))</f>
        <v>132.13156604766851</v>
      </c>
      <c r="AC23">
        <f>IF(ISBLANK(RawCurrent!AC23),"",IF(AVERAGE(RawCurrent!AC$7:AC$10)&gt;0,(RawCurrent!AC23+MEDIAN(RawCurrent!AC$7:AC$10)),(RawCurrent!AC23-MEDIAN(RawCurrent!AC$7:AC$10))))</f>
        <v>58.352518081664954</v>
      </c>
      <c r="AD23">
        <f>IF(ISBLANK(RawCurrent!AD23),"",IF(AVERAGE(RawCurrent!AD$7:AD$10)&gt;0,(RawCurrent!AD23+MEDIAN(RawCurrent!AD$7:AD$10)),(RawCurrent!AD23-MEDIAN(RawCurrent!AD$7:AD$10))))</f>
        <v>206.49497222900359</v>
      </c>
      <c r="AE23">
        <f>IF(ISBLANK(RawCurrent!AE23),"",IF(AVERAGE(RawCurrent!AE$7:AE$10)&gt;0,(RawCurrent!AE23+MEDIAN(RawCurrent!AE$7:AE$10)),(RawCurrent!AE23-MEDIAN(RawCurrent!AE$7:AE$10))))</f>
        <v>402.47754573822021</v>
      </c>
      <c r="AF23">
        <f>IF(ISBLANK(RawCurrent!AF23),"",IF(AVERAGE(RawCurrent!AF$7:AF$10)&gt;0,(RawCurrent!AF23+MEDIAN(RawCurrent!AF$7:AF$10)),(RawCurrent!AF23-MEDIAN(RawCurrent!AF$7:AF$10))))</f>
        <v>119.0849351882925</v>
      </c>
      <c r="AG23">
        <f>IF(ISBLANK(RawCurrent!AG23),"",IF(AVERAGE(RawCurrent!AG$7:AG$10)&gt;0,(RawCurrent!AG23+MEDIAN(RawCurrent!AG$7:AG$10)),(RawCurrent!AG23-MEDIAN(RawCurrent!AG$7:AG$10))))</f>
        <v>113.96292495727535</v>
      </c>
      <c r="AH23">
        <f>IF(ISBLANK(RawCurrent!AH23),"",IF(AVERAGE(RawCurrent!AH$7:AH$10)&gt;0,(RawCurrent!AH23+MEDIAN(RawCurrent!AH$7:AH$10)),(RawCurrent!AH23-MEDIAN(RawCurrent!AH$7:AH$10))))</f>
        <v>70.7555122375488</v>
      </c>
      <c r="AI23">
        <f>IF(ISBLANK(RawCurrent!AI23),"",IF(AVERAGE(RawCurrent!AI$7:AI$10)&gt;0,(RawCurrent!AI23+MEDIAN(RawCurrent!AI$7:AI$10)),(RawCurrent!AI23-MEDIAN(RawCurrent!AI$7:AI$10))))</f>
        <v>98.738357543945256</v>
      </c>
      <c r="AJ23">
        <f>IF(ISBLANK(RawCurrent!AJ23),"",IF(AVERAGE(RawCurrent!AJ$7:AJ$10)&gt;0,(RawCurrent!AJ23+MEDIAN(RawCurrent!AJ$7:AJ$10)),(RawCurrent!AJ23-MEDIAN(RawCurrent!AJ$7:AJ$10))))</f>
        <v>68.316308975219698</v>
      </c>
      <c r="AK23">
        <f>IF(ISBLANK(RawCurrent!AK23),"",IF(AVERAGE(RawCurrent!AK$7:AK$10)&gt;0,(RawCurrent!AK23+MEDIAN(RawCurrent!AK$7:AK$10)),(RawCurrent!AK23-MEDIAN(RawCurrent!AK$7:AK$10))))</f>
        <v>51.548873901367102</v>
      </c>
      <c r="AL23">
        <f>IF(ISBLANK(RawCurrent!AL23),"",IF(AVERAGE(RawCurrent!AL$7:AL$10)&gt;0,(RawCurrent!AL23+MEDIAN(RawCurrent!AL$7:AL$10)),(RawCurrent!AL23-MEDIAN(RawCurrent!AL$7:AL$10))))</f>
        <v>84.147121429443303</v>
      </c>
      <c r="AM23">
        <f>IF(ISBLANK(RawCurrent!AM23),"",IF(AVERAGE(RawCurrent!AM$7:AM$10)&gt;0,(RawCurrent!AM23+MEDIAN(RawCurrent!AM$7:AM$10)),(RawCurrent!AM23-MEDIAN(RawCurrent!AM$7:AM$10))))</f>
        <v>51.169795989990206</v>
      </c>
      <c r="AO23">
        <f>IF(ISBLANK(RawCurrent!AO23),"",IF(AVERAGE(RawCurrent!AO$7:AO$10)&gt;0,(RawCurrent!AO23+MEDIAN(RawCurrent!AO$7:AO$10)),(RawCurrent!AO23-MEDIAN(RawCurrent!AO$7:AO$10))))</f>
        <v>112.07966232299799</v>
      </c>
      <c r="AP23">
        <f>IF(ISBLANK(RawCurrent!AP23),"",IF(AVERAGE(RawCurrent!AP$7:AP$10)&gt;0,(RawCurrent!AP23+MEDIAN(RawCurrent!AP$7:AP$10)),(RawCurrent!AP23-MEDIAN(RawCurrent!AP$7:AP$10))))</f>
        <v>76.611034393310504</v>
      </c>
      <c r="AQ23">
        <f>IF(ISBLANK(RawCurrent!AQ23),"",IF(AVERAGE(RawCurrent!AQ$7:AQ$10)&gt;0,(RawCurrent!AQ23+MEDIAN(RawCurrent!AQ$7:AQ$10)),(RawCurrent!AQ23-MEDIAN(RawCurrent!AQ$7:AQ$10))))</f>
        <v>-30.915620803832951</v>
      </c>
      <c r="AR23">
        <f>IF(ISBLANK(RawCurrent!AR23),"",IF(AVERAGE(RawCurrent!AR$7:AR$10)&gt;0,(RawCurrent!AR23+MEDIAN(RawCurrent!AR$7:AR$10)),(RawCurrent!AR23-MEDIAN(RawCurrent!AR$7:AR$10))))</f>
        <v>63.274713993072353</v>
      </c>
      <c r="AS23">
        <f>IF(ISBLANK(RawCurrent!AS23),"",IF(AVERAGE(RawCurrent!AS$7:AS$10)&gt;0,(RawCurrent!AS23+MEDIAN(RawCurrent!AS$7:AS$10)),(RawCurrent!AS23-MEDIAN(RawCurrent!AS$7:AS$10))))</f>
        <v>24.86054897308345</v>
      </c>
      <c r="AT23">
        <f>IF(ISBLANK(RawCurrent!AT23),"",IF(AVERAGE(RawCurrent!AT$7:AT$10)&gt;0,(RawCurrent!AT23+MEDIAN(RawCurrent!AT$7:AT$10)),(RawCurrent!AT23-MEDIAN(RawCurrent!AT$7:AT$10))))</f>
        <v>60.867477416991903</v>
      </c>
      <c r="AU23">
        <f>IF(ISBLANK(RawCurrent!AU23),"",IF(AVERAGE(RawCurrent!AU$7:AU$10)&gt;0,(RawCurrent!AU23+MEDIAN(RawCurrent!AU$7:AU$10)),(RawCurrent!AU23-MEDIAN(RawCurrent!AU$7:AU$10))))</f>
        <v>112.30051803588859</v>
      </c>
      <c r="AV23">
        <f>IF(ISBLANK(RawCurrent!AV23),"",IF(AVERAGE(RawCurrent!AV$7:AV$10)&gt;0,(RawCurrent!AV23+MEDIAN(RawCurrent!AV$7:AV$10)),(RawCurrent!AV23-MEDIAN(RawCurrent!AV$7:AV$10))))</f>
        <v>93.080085086822393</v>
      </c>
      <c r="AW23">
        <f>IF(ISBLANK(RawCurrent!AW23),"",IF(AVERAGE(RawCurrent!AW$7:AW$10)&gt;0,(RawCurrent!AW23+MEDIAN(RawCurrent!AW$7:AW$10)),(RawCurrent!AW23-MEDIAN(RawCurrent!AW$7:AW$10))))</f>
        <v>284.92825317382795</v>
      </c>
      <c r="AX23">
        <f>IF(ISBLANK(RawCurrent!AX23),"",IF(AVERAGE(RawCurrent!AX$7:AX$10)&gt;0,(RawCurrent!AX23+MEDIAN(RawCurrent!AX$7:AX$10)),(RawCurrent!AX23-MEDIAN(RawCurrent!AX$7:AX$10))))</f>
        <v>74.029212951660156</v>
      </c>
      <c r="AY23">
        <f>IF(ISBLANK(RawCurrent!AY23),"",IF(AVERAGE(RawCurrent!AY$7:AY$10)&gt;0,(RawCurrent!AY23+MEDIAN(RawCurrent!AY$7:AY$10)),(RawCurrent!AY23-MEDIAN(RawCurrent!AY$7:AY$10))))</f>
        <v>182.66829522450675</v>
      </c>
      <c r="AZ23">
        <f>IF(ISBLANK(RawCurrent!AZ23),"",IF(AVERAGE(RawCurrent!AZ$7:AZ$10)&gt;0,(RawCurrent!AZ23+MEDIAN(RawCurrent!AZ$7:AZ$10)),(RawCurrent!AZ23-MEDIAN(RawCurrent!AZ$7:AZ$10))))</f>
        <v>58.337154388427649</v>
      </c>
      <c r="BA23">
        <f>IF(ISBLANK(RawCurrent!BA23),"",IF(AVERAGE(RawCurrent!BA$7:BA$10)&gt;0,(RawCurrent!BA23+MEDIAN(RawCurrent!BA$7:BA$10)),(RawCurrent!BA23-MEDIAN(RawCurrent!BA$7:BA$10))))</f>
        <v>75.720819473266374</v>
      </c>
      <c r="BC23">
        <f>IF(ISBLANK(RawCurrent!BC23),"",IF(AVERAGE(RawCurrent!BC$7:BC$10)&gt;0,(RawCurrent!BC23+MEDIAN(RawCurrent!BC$7:BC$10)),(RawCurrent!BC23-MEDIAN(RawCurrent!BC$7:BC$10))))</f>
        <v>51.834368069966629</v>
      </c>
      <c r="BD23">
        <f>IF(ISBLANK(RawCurrent!BD23),"",IF(AVERAGE(RawCurrent!BD$7:BD$10)&gt;0,(RawCurrent!BD23+MEDIAN(RawCurrent!BD$7:BD$10)),(RawCurrent!BD23-MEDIAN(RawCurrent!BD$7:BD$10))))</f>
        <v>117.94954490661586</v>
      </c>
      <c r="BE23">
        <f>IF(ISBLANK(RawCurrent!BE23),"",IF(AVERAGE(RawCurrent!BE$7:BE$10)&gt;0,(RawCurrent!BE23+MEDIAN(RawCurrent!BE$7:BE$10)),(RawCurrent!BE23-MEDIAN(RawCurrent!BE$7:BE$10))))</f>
        <v>-6.6164283752441051</v>
      </c>
      <c r="BF23">
        <f>IF(ISBLANK(RawCurrent!BF23),"",IF(AVERAGE(RawCurrent!BF$7:BF$10)&gt;0,(RawCurrent!BF23+MEDIAN(RawCurrent!BF$7:BF$10)),(RawCurrent!BF23-MEDIAN(RawCurrent!BF$7:BF$10))))</f>
        <v>85.069141387939339</v>
      </c>
      <c r="BG23">
        <f>IF(ISBLANK(RawCurrent!BG23),"",IF(AVERAGE(RawCurrent!BG$7:BG$10)&gt;0,(RawCurrent!BG23+MEDIAN(RawCurrent!BG$7:BG$10)),(RawCurrent!BG23-MEDIAN(RawCurrent!BG$7:BG$10))))</f>
        <v>45.633157730102454</v>
      </c>
      <c r="BH23">
        <f>IF(ISBLANK(RawCurrent!BH23),"",IF(AVERAGE(RawCurrent!BH$7:BH$10)&gt;0,(RawCurrent!BH23+MEDIAN(RawCurrent!BH$7:BH$10)),(RawCurrent!BH23-MEDIAN(RawCurrent!BH$7:BH$10))))</f>
        <v>32.708847045898352</v>
      </c>
      <c r="BJ23">
        <f>IF(ISBLANK(RawCurrent!BJ23),"",IF(AVERAGE(RawCurrent!BJ$7:BJ$10)&gt;0,(RawCurrent!BJ23+MEDIAN(RawCurrent!BJ$7:BJ$10)),(RawCurrent!BJ23-MEDIAN(RawCurrent!BJ$7:BJ$10))))</f>
        <v>27.038572311401239</v>
      </c>
      <c r="BK23">
        <f>IF(ISBLANK(RawCurrent!BK23),"",IF(AVERAGE(RawCurrent!BK$7:BK$10)&gt;0,(RawCurrent!BK23+MEDIAN(RawCurrent!BK$7:BK$10)),(RawCurrent!BK23-MEDIAN(RawCurrent!BK$7:BK$10))))</f>
        <v>248.38176547363446</v>
      </c>
      <c r="BL23">
        <f>IF(ISBLANK(RawCurrent!BL23),"",IF(AVERAGE(RawCurrent!BL$7:BL$10)&gt;0,(RawCurrent!BL23+MEDIAN(RawCurrent!BL$7:BL$10)),(RawCurrent!BL23-MEDIAN(RawCurrent!BL$7:BL$10))))</f>
        <v>100.28147125244135</v>
      </c>
      <c r="BM23">
        <f>IF(ISBLANK(RawCurrent!BM23),"",IF(AVERAGE(RawCurrent!BM$7:BM$10)&gt;0,(RawCurrent!BM23+MEDIAN(RawCurrent!BM$7:BM$10)),(RawCurrent!BM23-MEDIAN(RawCurrent!BM$7:BM$10))))</f>
        <v>-22.699535369872969</v>
      </c>
      <c r="BN23">
        <f>IF(ISBLANK(RawCurrent!BN23),"",IF(AVERAGE(RawCurrent!BN$7:BN$10)&gt;0,(RawCurrent!BN23+MEDIAN(RawCurrent!BN$7:BN$10)),(RawCurrent!BN23-MEDIAN(RawCurrent!BN$7:BN$10))))</f>
        <v>261.50862503051684</v>
      </c>
      <c r="BO23">
        <f>IF(ISBLANK(RawCurrent!BO23),"",IF(AVERAGE(RawCurrent!BO$7:BO$10)&gt;0,(RawCurrent!BO23+MEDIAN(RawCurrent!BO$7:BO$10)),(RawCurrent!BO23-MEDIAN(RawCurrent!BO$7:BO$10))))</f>
        <v>155.14236640930079</v>
      </c>
      <c r="BP23">
        <f>IF(ISBLANK(RawCurrent!BP23),"",IF(AVERAGE(RawCurrent!BP$7:BP$10)&gt;0,(RawCurrent!BP23+MEDIAN(RawCurrent!BP$7:BP$10)),(RawCurrent!BP23-MEDIAN(RawCurrent!BP$7:BP$10))))</f>
        <v>147.69940948486226</v>
      </c>
      <c r="BQ23">
        <f>IF(ISBLANK(RawCurrent!BQ23),"",IF(AVERAGE(RawCurrent!BQ$7:BQ$10)&gt;0,(RawCurrent!BQ23+MEDIAN(RawCurrent!BQ$7:BQ$10)),(RawCurrent!BQ23-MEDIAN(RawCurrent!BQ$7:BQ$10))))</f>
        <v>215.79245758056626</v>
      </c>
      <c r="BR23">
        <f>IF(ISBLANK(RawCurrent!BR23),"",IF(AVERAGE(RawCurrent!BR$7:BR$10)&gt;0,(RawCurrent!BR23+MEDIAN(RawCurrent!BR$7:BR$10)),(RawCurrent!BR23-MEDIAN(RawCurrent!BR$7:BR$10))))</f>
        <v>173.68645413716601</v>
      </c>
      <c r="BS23">
        <f>IF(ISBLANK(RawCurrent!BS23),"",IF(AVERAGE(RawCurrent!BS$7:BS$10)&gt;0,(RawCurrent!BS23+MEDIAN(RawCurrent!BS$7:BS$10)),(RawCurrent!BS23-MEDIAN(RawCurrent!BS$7:BS$10))))</f>
        <v>225.06155776977488</v>
      </c>
      <c r="BT23">
        <f>IF(ISBLANK(RawCurrent!BT23),"",IF(AVERAGE(RawCurrent!BT$7:BT$10)&gt;0,(RawCurrent!BT23+MEDIAN(RawCurrent!BT$7:BT$10)),(RawCurrent!BT23-MEDIAN(RawCurrent!BT$7:BT$10))))</f>
        <v>81.568392912546699</v>
      </c>
      <c r="BU23">
        <f>IF(ISBLANK(RawCurrent!BU23),"",IF(AVERAGE(RawCurrent!BU$7:BU$10)&gt;0,(RawCurrent!BU23+MEDIAN(RawCurrent!BU$7:BU$10)),(RawCurrent!BU23-MEDIAN(RawCurrent!BU$7:BU$10))))</f>
        <v>27.388717651367148</v>
      </c>
      <c r="BV23">
        <f>IF(ISBLANK(RawCurrent!BV23),"",IF(AVERAGE(RawCurrent!BV$7:BV$10)&gt;0,(RawCurrent!BV23+MEDIAN(RawCurrent!BV$7:BV$10)),(RawCurrent!BV23-MEDIAN(RawCurrent!BV$7:BV$10))))</f>
        <v>37.283617655436167</v>
      </c>
      <c r="BW23">
        <f>IF(ISBLANK(RawCurrent!BW23),"",IF(AVERAGE(RawCurrent!BW$7:BW$10)&gt;0,(RawCurrent!BW23+MEDIAN(RawCurrent!BW$7:BW$10)),(RawCurrent!BW23-MEDIAN(RawCurrent!BW$7:BW$10))))</f>
        <v>59.269692897796503</v>
      </c>
      <c r="BX23">
        <f>IF(ISBLANK(RawCurrent!BX23),"",IF(AVERAGE(RawCurrent!BX$7:BX$10)&gt;0,(RawCurrent!BX23+MEDIAN(RawCurrent!BX$7:BX$10)),(RawCurrent!BX23-MEDIAN(RawCurrent!BX$7:BX$10))))</f>
        <v>10.342842047555152</v>
      </c>
      <c r="BZ23">
        <f>IF(ISBLANK(RawCurrent!BZ23),"",IF(AVERAGE(RawCurrent!BZ$7:BZ$10)&gt;0,(RawCurrent!BZ23+MEDIAN(RawCurrent!BZ$7:BZ$10)),(RawCurrent!BZ23-MEDIAN(RawCurrent!BZ$7:BZ$10))))</f>
        <v>63.132843017578011</v>
      </c>
      <c r="CA23">
        <f>IF(ISBLANK(RawCurrent!CA23),"",IF(AVERAGE(RawCurrent!CA$7:CA$10)&gt;0,(RawCurrent!CA23+MEDIAN(RawCurrent!CA$7:CA$10)),(RawCurrent!CA23-MEDIAN(RawCurrent!CA$7:CA$10))))</f>
        <v>98.619163513183466</v>
      </c>
      <c r="CB23">
        <f>IF(ISBLANK(RawCurrent!CB23),"",IF(AVERAGE(RawCurrent!CB$7:CB$10)&gt;0,(RawCurrent!CB23+MEDIAN(RawCurrent!CB$7:CB$10)),(RawCurrent!CB23-MEDIAN(RawCurrent!CB$7:CB$10))))</f>
        <v>12.722203572591098</v>
      </c>
      <c r="CC23">
        <f>IF(ISBLANK(RawCurrent!CC23),"",IF(AVERAGE(RawCurrent!CC$7:CC$10)&gt;0,(RawCurrent!CC23+MEDIAN(RawCurrent!CC$7:CC$10)),(RawCurrent!CC23-MEDIAN(RawCurrent!CC$7:CC$10))))</f>
        <v>-39.581455469131498</v>
      </c>
      <c r="CD23">
        <f>IF(ISBLANK(RawCurrent!CD23),"",IF(AVERAGE(RawCurrent!CD$7:CD$10)&gt;0,(RawCurrent!CD23+MEDIAN(RawCurrent!CD$7:CD$10)),(RawCurrent!CD23-MEDIAN(RawCurrent!CD$7:CD$10))))</f>
        <v>12.041361808776841</v>
      </c>
      <c r="CE23">
        <f t="shared" si="28"/>
        <v>80</v>
      </c>
      <c r="CF23">
        <f t="shared" si="4"/>
        <v>180.18754270541547</v>
      </c>
      <c r="CG23">
        <f t="shared" si="5"/>
        <v>43.040953977121788</v>
      </c>
      <c r="CH23">
        <f t="shared" si="6"/>
        <v>85.775078190697386</v>
      </c>
      <c r="CI23">
        <f t="shared" si="7"/>
        <v>22.804074675357612</v>
      </c>
      <c r="CJ23">
        <f t="shared" si="8"/>
        <v>98.296944809267885</v>
      </c>
      <c r="CK23">
        <f t="shared" si="9"/>
        <v>21.516841602220573</v>
      </c>
      <c r="CL23">
        <f t="shared" si="10"/>
        <v>147.50101942893087</v>
      </c>
      <c r="CM23">
        <v>51.217252267782904</v>
      </c>
      <c r="CN23">
        <f t="shared" ref="CN23" si="29">IF(AVERAGE(CH$7:CH$10)&gt;0,(CH23-MEDIAN(CH$7:CH$10)),(CH23+MEDIAN(CH$7:CH$10)))</f>
        <v>63.314710086227329</v>
      </c>
      <c r="CO23">
        <v>22.804074675357612</v>
      </c>
      <c r="CP23">
        <f t="shared" si="11"/>
        <v>85.592366564646994</v>
      </c>
      <c r="CQ23">
        <v>21.516841602220573</v>
      </c>
      <c r="CR23">
        <f>MEDIAN((B23:AQ23,AS23:AU23))</f>
        <v>131.1026749610896</v>
      </c>
      <c r="CS23">
        <f>_xlfn.QUARTILE.EXC((B23:AQ23,AS23:AU23),3)</f>
        <v>208.50522804260243</v>
      </c>
      <c r="CT23">
        <f>_xlfn.QUARTILE.EXC((B23:AQ23,AS23:AU23),1)</f>
        <v>68.926109790801974</v>
      </c>
      <c r="CU23">
        <f t="shared" si="12"/>
        <v>66.183183670043903</v>
      </c>
      <c r="CV23">
        <f t="shared" si="13"/>
        <v>109.72944402694672</v>
      </c>
      <c r="CW23">
        <f t="shared" si="14"/>
        <v>35.939924716949378</v>
      </c>
      <c r="CX23">
        <f t="shared" si="15"/>
        <v>81.568392912546699</v>
      </c>
      <c r="CY23">
        <f t="shared" si="16"/>
        <v>173.68645413716601</v>
      </c>
      <c r="CZ23">
        <f t="shared" si="17"/>
        <v>12.722203572591098</v>
      </c>
      <c r="DA23">
        <f t="shared" si="18"/>
        <v>115.44576048850968</v>
      </c>
      <c r="DB23">
        <f t="shared" si="19"/>
        <v>192.8483135700225</v>
      </c>
      <c r="DC23">
        <f t="shared" si="20"/>
        <v>53.269195318222046</v>
      </c>
      <c r="DD23">
        <f t="shared" si="21"/>
        <v>51.584956407546983</v>
      </c>
      <c r="DE23">
        <f t="shared" si="22"/>
        <v>95.131216764449803</v>
      </c>
      <c r="DF23">
        <f t="shared" si="23"/>
        <v>21.341697454452454</v>
      </c>
      <c r="DG23">
        <f t="shared" si="24"/>
        <v>72.96741382280976</v>
      </c>
      <c r="DH23">
        <f t="shared" si="25"/>
        <v>165.08547504742907</v>
      </c>
      <c r="DI23">
        <f>IF(AVERAGE($CX$7:$CX$10)&gt;0,(CZ23-MEDIAN($CX$7:$CX$10)),(CZ23+MEDIAN($CX$7:$CX$10)))</f>
        <v>4.1212244828541529</v>
      </c>
    </row>
    <row r="24" spans="1:113" x14ac:dyDescent="0.2">
      <c r="A24" s="3">
        <f t="shared" si="27"/>
        <v>90</v>
      </c>
      <c r="B24">
        <f>IF(ISBLANK(RawCurrent!B24),"",IF(AVERAGE(RawCurrent!B$7:B$10)&gt;0,(RawCurrent!B24+MEDIAN(RawCurrent!B$7:B$10)),(RawCurrent!B24-MEDIAN(RawCurrent!B$7:B$10))))</f>
        <v>1013.0916519165035</v>
      </c>
      <c r="C24">
        <f>IF(ISBLANK(RawCurrent!C24),"",IF(AVERAGE(RawCurrent!C$7:C$10)&gt;0,(RawCurrent!C24+MEDIAN(RawCurrent!C$7:C$10)),(RawCurrent!C24-MEDIAN(RawCurrent!C$7:C$10))))</f>
        <v>48.141042709350501</v>
      </c>
      <c r="K24">
        <f>IF(ISBLANK(RawCurrent!K24),"",IF(AVERAGE(RawCurrent!K$7:K$10)&gt;0,(RawCurrent!K24+MEDIAN(RawCurrent!K$7:K$10)),(RawCurrent!K24-MEDIAN(RawCurrent!K$7:K$10))))</f>
        <v>167.01911810040463</v>
      </c>
      <c r="M24">
        <f>IF(ISBLANK(RawCurrent!M24),"",IF(AVERAGE(RawCurrent!M$7:M$10)&gt;0,(RawCurrent!M24+MEDIAN(RawCurrent!M$7:M$10)),(RawCurrent!M24-MEDIAN(RawCurrent!M$7:M$10))))</f>
        <v>331.81361389160111</v>
      </c>
    </row>
    <row r="25" spans="1:113" x14ac:dyDescent="0.2">
      <c r="A25" s="3">
        <f>A24+10</f>
        <v>100</v>
      </c>
      <c r="B25">
        <f>IF(ISBLANK(RawCurrent!B25),"",IF(AVERAGE(RawCurrent!B$7:B$10)&gt;0,(RawCurrent!B25+MEDIAN(RawCurrent!B$7:B$10)),(RawCurrent!B25-MEDIAN(RawCurrent!B$7:B$10))))</f>
        <v>1679.3420181274385</v>
      </c>
      <c r="C25">
        <f>IF(ISBLANK(RawCurrent!C25),"",IF(AVERAGE(RawCurrent!C$7:C$10)&gt;0,(RawCurrent!C25+MEDIAN(RawCurrent!C$7:C$10)),(RawCurrent!C25-MEDIAN(RawCurrent!C$7:C$10))))</f>
        <v>91.383451461791907</v>
      </c>
      <c r="K25">
        <f>IF(ISBLANK(RawCurrent!K25),"",IF(AVERAGE(RawCurrent!K$7:K$10)&gt;0,(RawCurrent!K25+MEDIAN(RawCurrent!K$7:K$10)),(RawCurrent!K25-MEDIAN(RawCurrent!K$7:K$10))))</f>
        <v>424.95780292153302</v>
      </c>
      <c r="M25">
        <f>IF(ISBLANK(RawCurrent!M25),"",IF(AVERAGE(RawCurrent!M$7:M$10)&gt;0,(RawCurrent!M25+MEDIAN(RawCurrent!M$7:M$10)),(RawCurrent!M25-MEDIAN(RawCurrent!M$7:M$10))))</f>
        <v>582.21726989746003</v>
      </c>
    </row>
    <row r="26" spans="1:113" x14ac:dyDescent="0.2">
      <c r="A26" s="3">
        <f t="shared" si="27"/>
        <v>110</v>
      </c>
      <c r="B26">
        <f>IF(ISBLANK(RawCurrent!B26),"",IF(AVERAGE(RawCurrent!B$7:B$10)&gt;0,(RawCurrent!B26+MEDIAN(RawCurrent!B$7:B$10)),(RawCurrent!B26-MEDIAN(RawCurrent!B$7:B$10))))</f>
        <v>2128.7267837524387</v>
      </c>
      <c r="C26">
        <f>IF(ISBLANK(RawCurrent!C26),"",IF(AVERAGE(RawCurrent!C$7:C$10)&gt;0,(RawCurrent!C26+MEDIAN(RawCurrent!C$7:C$10)),(RawCurrent!C26-MEDIAN(RawCurrent!C$7:C$10))))</f>
        <v>137.0855541229248</v>
      </c>
      <c r="K26">
        <f>IF(ISBLANK(RawCurrent!K26),"",IF(AVERAGE(RawCurrent!K$7:K$10)&gt;0,(RawCurrent!K26+MEDIAN(RawCurrent!K$7:K$10)),(RawCurrent!K26-MEDIAN(RawCurrent!K$7:K$10))))</f>
        <v>639.44939257204453</v>
      </c>
      <c r="M26">
        <f>IF(ISBLANK(RawCurrent!M26),"",IF(AVERAGE(RawCurrent!M$7:M$10)&gt;0,(RawCurrent!M26+MEDIAN(RawCurrent!M$7:M$10)),(RawCurrent!M26-MEDIAN(RawCurrent!M$7:M$10))))</f>
        <v>699.99565124511707</v>
      </c>
    </row>
    <row r="27" spans="1:113" x14ac:dyDescent="0.2">
      <c r="A27" s="3">
        <f t="shared" si="27"/>
        <v>120</v>
      </c>
      <c r="B27">
        <f>IF(ISBLANK(RawCurrent!B27),"",IF(AVERAGE(RawCurrent!B$7:B$10)&gt;0,(RawCurrent!B27+MEDIAN(RawCurrent!B$7:B$10)),(RawCurrent!B27-MEDIAN(RawCurrent!B$7:B$10))))</f>
        <v>2430.2942886352484</v>
      </c>
    </row>
    <row r="28" spans="1:113" x14ac:dyDescent="0.2">
      <c r="A28" s="3">
        <v>130</v>
      </c>
      <c r="B28">
        <f>IF(ISBLANK(RawCurrent!B28),"",IF(AVERAGE(RawCurrent!B$7:B$10)&gt;0,(RawCurrent!B28+MEDIAN(RawCurrent!B$7:B$10)),(RawCurrent!B28-MEDIAN(RawCurrent!B$7:B$10))))</f>
        <v>2597.3526382446285</v>
      </c>
    </row>
    <row r="29" spans="1:113" x14ac:dyDescent="0.2">
      <c r="A29" s="3" t="s">
        <v>79</v>
      </c>
    </row>
    <row r="30" spans="1:113" ht="21" x14ac:dyDescent="0.25">
      <c r="B30"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D34"/>
  <sheetViews>
    <sheetView workbookViewId="0"/>
  </sheetViews>
  <sheetFormatPr baseColWidth="10" defaultColWidth="8.83203125" defaultRowHeight="15" x14ac:dyDescent="0.2"/>
  <cols>
    <col min="1" max="1" width="21.6640625" style="3" bestFit="1" customWidth="1"/>
  </cols>
  <sheetData>
    <row r="1" spans="1:82" x14ac:dyDescent="0.2">
      <c r="A1" s="2" t="s">
        <v>4</v>
      </c>
      <c r="B1" t="str">
        <f>RawCurrent!B1</f>
        <v>REdC</v>
      </c>
      <c r="C1" t="str">
        <f>RawCurrent!C1</f>
        <v>REdC</v>
      </c>
      <c r="D1" t="str">
        <f>RawCurrent!D1</f>
        <v>REdC</v>
      </c>
      <c r="E1" t="str">
        <f>RawCurrent!E1</f>
        <v>REdC</v>
      </c>
      <c r="F1" t="str">
        <f>RawCurrent!F1</f>
        <v>REdC</v>
      </c>
      <c r="G1" t="str">
        <f>RawCurrent!G1</f>
        <v>REdC</v>
      </c>
      <c r="H1" t="str">
        <f>RawCurrent!H1</f>
        <v>REdC</v>
      </c>
      <c r="I1" t="str">
        <f>RawCurrent!I1</f>
        <v>REdC</v>
      </c>
      <c r="J1" t="str">
        <f>RawCurrent!J1</f>
        <v>REdC</v>
      </c>
      <c r="K1" t="str">
        <f>RawCurrent!K1</f>
        <v>REdC</v>
      </c>
      <c r="L1" t="str">
        <f>RawCurrent!L1</f>
        <v>REdC</v>
      </c>
      <c r="M1" t="str">
        <f>RawCurrent!M1</f>
        <v>REdC</v>
      </c>
      <c r="N1" t="str">
        <f>RawCurrent!N1</f>
        <v>REdC</v>
      </c>
      <c r="O1" t="str">
        <f>RawCurrent!O1</f>
        <v>REdC</v>
      </c>
      <c r="P1" t="str">
        <f>RawCurrent!P1</f>
        <v>REdC</v>
      </c>
      <c r="Q1" t="str">
        <f>RawCurrent!Q1</f>
        <v>REdC</v>
      </c>
      <c r="R1" t="str">
        <f>RawCurrent!R1</f>
        <v>REdC</v>
      </c>
      <c r="S1" t="str">
        <f>RawCurrent!S1</f>
        <v>REdC</v>
      </c>
      <c r="T1" t="str">
        <f>RawCurrent!T1</f>
        <v>REdC</v>
      </c>
      <c r="U1" t="str">
        <f>RawCurrent!U1</f>
        <v>REdC</v>
      </c>
      <c r="V1" t="str">
        <f>RawCurrent!V1</f>
        <v>REdC</v>
      </c>
      <c r="W1" t="str">
        <f>RawCurrent!W1</f>
        <v>REdC</v>
      </c>
      <c r="X1" t="str">
        <f>RawCurrent!X1</f>
        <v>REdC</v>
      </c>
      <c r="Y1" t="str">
        <f>RawCurrent!Y1</f>
        <v>REdC</v>
      </c>
      <c r="Z1" t="str">
        <f>RawCurrent!Z1</f>
        <v>REdC</v>
      </c>
      <c r="AA1" t="str">
        <f>RawCurrent!AA1</f>
        <v>REdC</v>
      </c>
      <c r="AB1" t="str">
        <f>RawCurrent!AB1</f>
        <v>REdC</v>
      </c>
      <c r="AC1" t="str">
        <f>RawCurrent!AC1</f>
        <v>REdC</v>
      </c>
      <c r="AD1" t="str">
        <f>RawCurrent!AD1</f>
        <v>REdC</v>
      </c>
      <c r="AE1" t="str">
        <f>RawCurrent!AE1</f>
        <v>REdC</v>
      </c>
      <c r="AF1" t="str">
        <f>RawCurrent!AF1</f>
        <v>REdC</v>
      </c>
      <c r="AG1" t="str">
        <f>RawCurrent!AG1</f>
        <v>REdC</v>
      </c>
      <c r="AH1" t="str">
        <f>RawCurrent!AH1</f>
        <v>REdC</v>
      </c>
      <c r="AI1" t="str">
        <f>RawCurrent!AI1</f>
        <v>REdC</v>
      </c>
      <c r="AJ1" t="str">
        <f>RawCurrent!AJ1</f>
        <v>REdC</v>
      </c>
      <c r="AK1" t="str">
        <f>RawCurrent!AK1</f>
        <v>REdC</v>
      </c>
      <c r="AL1" t="str">
        <f>RawCurrent!AL1</f>
        <v>REdC</v>
      </c>
      <c r="AM1" t="str">
        <f>RawCurrent!AM1</f>
        <v>REdC</v>
      </c>
      <c r="AN1" t="str">
        <f>RawCurrent!AN1</f>
        <v>REdC</v>
      </c>
      <c r="AO1" t="str">
        <f>RawCurrent!AO1</f>
        <v>REdC</v>
      </c>
      <c r="AP1" t="str">
        <f>RawCurrent!AP1</f>
        <v>REdC</v>
      </c>
      <c r="AQ1" t="str">
        <f>RawCurrent!AQ1</f>
        <v>REdC</v>
      </c>
      <c r="AR1" t="str">
        <f>RawCurrent!AR1</f>
        <v>REdC</v>
      </c>
      <c r="AS1" t="str">
        <f>RawCurrent!AS1</f>
        <v>REdC</v>
      </c>
      <c r="AT1" t="str">
        <f>RawCurrent!AT1</f>
        <v>REdC</v>
      </c>
      <c r="AU1" t="str">
        <f>RawCurrent!AU1</f>
        <v>REdC</v>
      </c>
      <c r="AV1" t="str">
        <f>RawCurrent!AV1</f>
        <v>REdC</v>
      </c>
      <c r="AW1" t="str">
        <f>RawCurrent!AW1</f>
        <v>REdC</v>
      </c>
      <c r="AX1" t="str">
        <f>RawCurrent!AX1</f>
        <v>REdC</v>
      </c>
      <c r="AY1" t="str">
        <f>RawCurrent!AY1</f>
        <v>REdC</v>
      </c>
      <c r="AZ1" t="str">
        <f>RawCurrent!AZ1</f>
        <v>REdC</v>
      </c>
      <c r="BA1" t="str">
        <f>RawCurrent!BA1</f>
        <v>REdC</v>
      </c>
      <c r="BB1" t="str">
        <f>RawCurrent!BB1</f>
        <v>REdC</v>
      </c>
      <c r="BC1" t="str">
        <f>RawCurrent!BC1</f>
        <v>REdC</v>
      </c>
      <c r="BD1" t="str">
        <f>RawCurrent!BD1</f>
        <v>REdC</v>
      </c>
      <c r="BE1" t="str">
        <f>RawCurrent!BE1</f>
        <v>REdC</v>
      </c>
      <c r="BF1" t="str">
        <f>RawCurrent!BF1</f>
        <v>REdC</v>
      </c>
      <c r="BG1" t="str">
        <f>RawCurrent!BG1</f>
        <v>REdC</v>
      </c>
      <c r="BH1" t="str">
        <f>RawCurrent!BH1</f>
        <v>REdC</v>
      </c>
      <c r="BI1" t="str">
        <f>RawCurrent!BI1</f>
        <v>REdC</v>
      </c>
      <c r="BJ1" t="str">
        <f>RawCurrent!BJ1</f>
        <v>REdC</v>
      </c>
      <c r="BK1" t="str">
        <f>RawCurrent!BK1</f>
        <v>REdC</v>
      </c>
      <c r="BL1" t="str">
        <f>RawCurrent!BL1</f>
        <v>REdC</v>
      </c>
      <c r="BM1" t="str">
        <f>RawCurrent!BM1</f>
        <v>REdC</v>
      </c>
      <c r="BN1" t="str">
        <f>RawCurrent!BN1</f>
        <v>REdC</v>
      </c>
      <c r="BO1" t="str">
        <f>RawCurrent!BO1</f>
        <v>REdC</v>
      </c>
      <c r="BP1" t="str">
        <f>RawCurrent!BP1</f>
        <v>REdC</v>
      </c>
      <c r="BQ1" t="str">
        <f>RawCurrent!BQ1</f>
        <v>REdC</v>
      </c>
      <c r="BR1" t="str">
        <f>RawCurrent!BR1</f>
        <v>REdC</v>
      </c>
      <c r="BS1" t="str">
        <f>RawCurrent!BS1</f>
        <v>REdC</v>
      </c>
      <c r="BT1" t="str">
        <f>RawCurrent!BT1</f>
        <v>REdC</v>
      </c>
      <c r="BU1" t="str">
        <f>RawCurrent!BU1</f>
        <v>REdC</v>
      </c>
      <c r="BV1" t="str">
        <f>RawCurrent!BV1</f>
        <v>REdC</v>
      </c>
      <c r="BW1" t="str">
        <f>RawCurrent!BW1</f>
        <v>REdC</v>
      </c>
      <c r="BX1" t="str">
        <f>RawCurrent!BX1</f>
        <v>REdC</v>
      </c>
      <c r="BY1" t="str">
        <f>RawCurrent!BY1</f>
        <v>REdC</v>
      </c>
      <c r="BZ1" t="str">
        <f>RawCurrent!BZ1</f>
        <v>REdC</v>
      </c>
      <c r="CA1" t="str">
        <f>RawCurrent!CA1</f>
        <v>REdC</v>
      </c>
      <c r="CB1" t="str">
        <f>RawCurrent!CB1</f>
        <v>REdC</v>
      </c>
      <c r="CC1" t="str">
        <f>RawCurrent!CC1</f>
        <v>REdC</v>
      </c>
      <c r="CD1" t="str">
        <f>RawCurrent!CD1</f>
        <v>REdC</v>
      </c>
    </row>
    <row r="2" spans="1:82" x14ac:dyDescent="0.2">
      <c r="A2" s="2" t="s">
        <v>3</v>
      </c>
      <c r="B2" t="str">
        <f>RawCurrent!B2</f>
        <v>WT1_REdC_IV_18704034</v>
      </c>
      <c r="C2" t="str">
        <f>RawCurrent!C2</f>
        <v>WT2_REdC_IV_1.26.2018 WT cell 5 IV'</v>
      </c>
      <c r="D2" t="str">
        <f>RawCurrent!D2</f>
        <v>WT3_REdC_IV_17728035 Final</v>
      </c>
      <c r="E2" t="str">
        <f>RawCurrent!E2</f>
        <v>WT4_REdC_IV_18705015</v>
      </c>
      <c r="F2" t="str">
        <f>RawCurrent!F2</f>
        <v>WT5_REdC_IV_17728025 Final</v>
      </c>
      <c r="G2" t="str">
        <f>RawCurrent!G2</f>
        <v>WT6_REdC_IV_wt iv final</v>
      </c>
      <c r="H2" t="str">
        <f>RawCurrent!H2</f>
        <v>WT7_REdC_IV_1.26.2018</v>
      </c>
      <c r="I2" t="str">
        <f>RawCurrent!I2</f>
        <v>WT8_REdC_IV</v>
      </c>
      <c r="J2" t="str">
        <f>RawCurrent!J2</f>
        <v>WT9_REdC_IV_17504013 Final</v>
      </c>
      <c r="K2" t="str">
        <f>RawCurrent!K2</f>
        <v>WT10_REdC_IV_1.26.2018 WT cell 2 IV' -120 conditioning</v>
      </c>
      <c r="L2" t="str">
        <f>RawCurrent!L2</f>
        <v>WT11_REdC_IV_17723017</v>
      </c>
      <c r="M2" t="str">
        <f>RawCurrent!M2</f>
        <v>WT12_REdC_IV_17721049 Final filtered</v>
      </c>
      <c r="N2" t="str">
        <f>RawCurrent!N2</f>
        <v>WT13_REdC_IV_17723001</v>
      </c>
      <c r="O2" t="str">
        <f>RawCurrent!O2</f>
        <v>WT14_REdC_IV_19n15007</v>
      </c>
      <c r="P2" t="str">
        <f>RawCurrent!P2</f>
        <v>WT15_REdC_IV_19825000</v>
      </c>
      <c r="Q2" t="str">
        <f>RawCurrent!Q2</f>
        <v>WT16_REdC_IV_18705033</v>
      </c>
      <c r="R2" t="str">
        <f>RawCurrent!R2</f>
        <v>WT17_REdC_IV_17721059</v>
      </c>
      <c r="S2" t="str">
        <f>RawCurrent!S2</f>
        <v>WT19_REdC_IV_19n23000 (-80:-10); WT19_REdC_IV_19n23009 (0:+80)</v>
      </c>
      <c r="T2" t="str">
        <f>RawCurrent!T2</f>
        <v>WT20_REdC_IV_18115016</v>
      </c>
      <c r="U2" t="str">
        <f>RawCurrent!U2</f>
        <v>WT21_REdC_IV_19o30001 (-80:0),WT21_REdC_IV_19o30004(10:+80)</v>
      </c>
      <c r="V2" t="str">
        <f>RawCurrent!V2</f>
        <v>WT23_REdC_1.19.2018 IV cell 2 WT leak</v>
      </c>
      <c r="W2" t="str">
        <f>RawCurrent!W2</f>
        <v>WT24_REdC_IV_18705003(-80:10),WT24_REdC_IV_18705002(20:+80)</v>
      </c>
      <c r="X2" t="str">
        <f>RawCurrent!X2</f>
        <v>WT25_REdC_IV_18704045</v>
      </c>
      <c r="Y2" t="str">
        <f>RawCurrent!Y2</f>
        <v>WT26_REdC_IV_17809014</v>
      </c>
      <c r="Z2" t="str">
        <f>RawCurrent!Z2</f>
        <v>WT27_REdC_IV_1.23.2018 IV cell 1 WT</v>
      </c>
      <c r="AA2" t="str">
        <f>RawCurrent!AA2</f>
        <v>WT28_REdC_IV_1.23.2018 IV cell 1 WT</v>
      </c>
      <c r="AB2" t="str">
        <f>RawCurrent!AB2</f>
        <v>WT29_REdC_IV_18o19010</v>
      </c>
      <c r="AC2" t="str">
        <f>RawCurrent!AC2</f>
        <v>WT30_REdC_IV_1.26.2018 WT cell 1 IV p8 20 sweeps</v>
      </c>
      <c r="AD2" t="str">
        <f>RawCurrent!AD2</f>
        <v>WT31_REdC_IV_18o07001</v>
      </c>
      <c r="AE2" t="str">
        <f>RawCurrent!AE2</f>
        <v>WT33_REdC_IV_17728018</v>
      </c>
      <c r="AF2" t="str">
        <f>RawCurrent!AF2</f>
        <v>WT38_REdC_IV_19o21015</v>
      </c>
      <c r="AG2" t="str">
        <f>RawCurrent!AG2</f>
        <v>WT39_REdC_IV_17429002</v>
      </c>
      <c r="AH2" t="str">
        <f>RawCurrent!AH2</f>
        <v>WT40_REdC_IV_17810003</v>
      </c>
      <c r="AI2" t="str">
        <f>RawCurrent!AI2</f>
        <v>WT43_REdC_IV_1.26.2018 WT cell 4 IV</v>
      </c>
      <c r="AJ2" t="str">
        <f>RawCurrent!AJ2</f>
        <v>WT44_REdC_IV_1.14.2018 IV cell 2 NaV1.4 wt</v>
      </c>
      <c r="AK2" t="str">
        <f>RawCurrent!AK2</f>
        <v>WT47_REdC_IV_19911011</v>
      </c>
      <c r="AL2" t="str">
        <f>RawCurrent!AL2</f>
        <v>WT48_REdC_IV_19n06031</v>
      </c>
      <c r="AM2" t="str">
        <f>RawCurrent!AM2</f>
        <v>WT50_REdC_IV_19n06011</v>
      </c>
      <c r="AN2" t="str">
        <f>RawCurrent!AN2</f>
        <v>WT53_REdC_IV_17504004</v>
      </c>
      <c r="AO2" t="str">
        <f>RawCurrent!AO2</f>
        <v>WT54_REdC_IV_1.19.2018 IV cell 1 WT</v>
      </c>
      <c r="AP2" t="str">
        <f>RawCurrent!AP2</f>
        <v>WT63_REdC_IV_19n07011</v>
      </c>
      <c r="AQ2" t="str">
        <f>RawCurrent!AQ2</f>
        <v>WT66_REdC_IV_18704009</v>
      </c>
      <c r="AR2" t="str">
        <f>RawCurrent!AR2</f>
        <v>WT69_REdC_IV_18o18036</v>
      </c>
      <c r="AS2" t="str">
        <f>RawCurrent!AS2</f>
        <v>WT71_REdC_IV_17722009</v>
      </c>
      <c r="AT2" t="str">
        <f>RawCurrent!AT2</f>
        <v>WT74_REdC_IV_0003.abf</v>
      </c>
      <c r="AU2" t="str">
        <f>RawCurrent!AU2</f>
        <v>WT75_REdC_IV_0015.abf</v>
      </c>
      <c r="AV2" t="str">
        <f>RawCurrent!AV2</f>
        <v>WT76_REdC_IV_0012.abf</v>
      </c>
      <c r="AW2" t="str">
        <f>RawCurrent!AW2</f>
        <v>EPN1_REdC_IV_17725093.abf</v>
      </c>
      <c r="AX2" t="str">
        <f>RawCurrent!AX2</f>
        <v>EPN2_REdC_IV_17725017.abf</v>
      </c>
      <c r="AY2" t="str">
        <f>RawCurrent!AY2</f>
        <v>EPN3_REdC_IV_18115045.abf</v>
      </c>
      <c r="AZ2" t="str">
        <f>RawCurrent!AZ2</f>
        <v>EPN4_REdC_IV_IV cell 2 NaV1.4 EPN.abf</v>
      </c>
      <c r="BA2" t="str">
        <f>RawCurrent!BA2</f>
        <v>EPN5_REdC_IV_17725043.abf</v>
      </c>
      <c r="BB2" t="str">
        <f>RawCurrent!BB2</f>
        <v>EPN6_REdC_IV_1.14.2018 IV cell 1 NaV1.4 EPN.abf</v>
      </c>
      <c r="BC2" t="str">
        <f>RawCurrent!BC2</f>
        <v>EPN7_REdC_IV_17718015.abf</v>
      </c>
      <c r="BD2" t="str">
        <f>RawCurrent!BD2</f>
        <v>EPN9_REdC_IV_17725067.abf</v>
      </c>
      <c r="BE2" t="str">
        <f>RawCurrent!BE2</f>
        <v>EPN10_REdC_IV_2016_09_30_0029.abf</v>
      </c>
      <c r="BF2" t="str">
        <f>RawCurrent!BF2</f>
        <v>EPN11_REdC_IV_17725020.abf</v>
      </c>
      <c r="BG2" t="str">
        <f>RawCurrent!BG2</f>
        <v>EPN12_REdC_IV_1.19.2018 IV cell 1 EPN'.abf</v>
      </c>
      <c r="BH2" t="str">
        <f>RawCurrent!BH2</f>
        <v>EPN13_REdC_IV_2016_09_30_0015.abf</v>
      </c>
      <c r="BI2" t="str">
        <f>RawCurrent!BI2</f>
        <v>EPN14_REdC_IV_17725071.abf</v>
      </c>
      <c r="BJ2" t="str">
        <f>RawCurrent!BJ2</f>
        <v>EPN18_REdC_IV_0012.abf</v>
      </c>
      <c r="BK2" t="str">
        <f>RawCurrent!BK2</f>
        <v>LVNV1_REdC_IV_17724088.abf</v>
      </c>
      <c r="BL2" t="str">
        <f>RawCurrent!BL2</f>
        <v>LVNV2_REdC_IV_17724059.abf;LVNV2_REdC_IV_17724048.abf;LVNV2_REdC_IV_17724046.abf</v>
      </c>
      <c r="BM2" t="str">
        <f>RawCurrent!BM2</f>
        <v>LVNV3_REdC_IV_17726022.abf</v>
      </c>
      <c r="BN2" t="str">
        <f>RawCurrent!BN2</f>
        <v>LVNV4_REdC_IV_17429000.abf</v>
      </c>
      <c r="BO2" t="str">
        <f>RawCurrent!BO2</f>
        <v>LVNV4_REdC_IV_17429001.abf</v>
      </c>
      <c r="BP2" t="str">
        <f>RawCurrent!BP2</f>
        <v>LVNV4_REdC_IV_17429002.abf</v>
      </c>
      <c r="BQ2" t="str">
        <f>RawCurrent!BQ2</f>
        <v>LVNV5_REdC_IV_17724073.abf</v>
      </c>
      <c r="BR2" t="str">
        <f>RawCurrent!BR2</f>
        <v>LVNV6_REdC_IV_19915011.abf</v>
      </c>
      <c r="BS2" t="str">
        <f>RawCurrent!BS2</f>
        <v>LVNV7_REdC_IV_19d06007.abf</v>
      </c>
      <c r="BT2" t="str">
        <f>RawCurrent!BT2</f>
        <v>LVNV8_REdC_IV_17724003.abf;LVNV8_REdC_IV_17724001.abf</v>
      </c>
      <c r="BU2" t="str">
        <f>RawCurrent!BU2</f>
        <v>LVNV9_REdC_IV_17724034.abf</v>
      </c>
      <c r="BV2" t="str">
        <f>RawCurrent!BV2</f>
        <v>LVNV10_REdC_IV_17726060.abf;LVNV10_REdC_IV_17726061.abf</v>
      </c>
      <c r="BW2" t="str">
        <f>RawCurrent!BW2</f>
        <v>LVNV12_REdC_IV_19912002.abf</v>
      </c>
      <c r="BX2" t="str">
        <f>RawCurrent!BX2</f>
        <v>LVNV14_REdC_IV_17726099.abf;LVNV14_REdC_IV_17726072.abf;LVNV14_REdC_IV_17726074.abf;LVNV14_REdC_IV_17726083.abf;LVNV14_REdC_IV_17726088.abf;LVNV14_REdC_IV_17726095.abf;LVNV14_REdC_IV_17726098.abf;LVNV14_REdC_IV_17726100.abf</v>
      </c>
      <c r="BY2" t="str">
        <f>RawCurrent!BY2</f>
        <v>LVNV15_REdC_IV_17724016.abf</v>
      </c>
      <c r="BZ2" t="str">
        <f>RawCurrent!BZ2</f>
        <v>LVNV16_REdC_IV_17726035.abf</v>
      </c>
      <c r="CA2" t="str">
        <f>RawCurrent!CA2</f>
        <v>LVNV18_REdC_IV_19911028.abf;LVNV18_REdC_IV_19911026.abf;LVNV18_REdC_IV_19911027.abf;LVNV18_REdC_IV_19911029.abf</v>
      </c>
      <c r="CB2" t="str">
        <f>RawCurrent!CB2</f>
        <v>LVNV19_REdC_IV_17714002.abf;LVNV19_REdC_IV_17714003.abf</v>
      </c>
      <c r="CC2" t="str">
        <f>RawCurrent!CC2</f>
        <v>LVNV20_REdC_IV_17726011.abf</v>
      </c>
      <c r="CD2" t="str">
        <f>RawCurrent!CD2</f>
        <v>LVNV21_REdC_IV_17615002.abf;LVNV4_REdC_IV_17615007.abf</v>
      </c>
    </row>
    <row r="3" spans="1:82" x14ac:dyDescent="0.2">
      <c r="A3" s="2" t="s">
        <v>2</v>
      </c>
      <c r="B3">
        <f>RawCurrent!B3</f>
        <v>6.391800536699999</v>
      </c>
      <c r="C3">
        <f>RawCurrent!C3</f>
        <v>3.1770135480600001</v>
      </c>
      <c r="D3">
        <f>RawCurrent!D3</f>
        <v>12.816808360899998</v>
      </c>
      <c r="E3">
        <f>RawCurrent!E3</f>
        <v>6.4393644018000007</v>
      </c>
      <c r="F3">
        <f>RawCurrent!F3</f>
        <v>4.1415547519999993</v>
      </c>
      <c r="G3">
        <f>RawCurrent!G3</f>
        <v>6.7330414951999993</v>
      </c>
      <c r="H3">
        <f>RawCurrent!H3</f>
        <v>6.1017497671000003</v>
      </c>
      <c r="I3">
        <f>RawCurrent!I3</f>
        <v>5.2679979476000014</v>
      </c>
      <c r="J3">
        <f>RawCurrent!J3</f>
        <v>1.9426925711999996</v>
      </c>
      <c r="K3">
        <f>RawCurrent!K3</f>
        <v>7.2663764387999992</v>
      </c>
      <c r="L3">
        <f>RawCurrent!L3</f>
        <v>9.8133792090527017</v>
      </c>
      <c r="M3">
        <f>RawCurrent!M3</f>
        <v>5.9634416576470928</v>
      </c>
      <c r="N3">
        <f>RawCurrent!N3</f>
        <v>8.621972916599999</v>
      </c>
      <c r="O3">
        <f>RawCurrent!O3</f>
        <v>6.9784064186600006</v>
      </c>
      <c r="P3">
        <f>RawCurrent!P3</f>
        <v>5.9439750680000003</v>
      </c>
      <c r="Q3">
        <f>RawCurrent!Q3</f>
        <v>9.3769842030999975</v>
      </c>
      <c r="R3">
        <f>RawCurrent!R3</f>
        <v>5.7659015617000007</v>
      </c>
      <c r="S3">
        <f>RawCurrent!S3</f>
        <v>4.9435101709999989</v>
      </c>
      <c r="T3">
        <f>RawCurrent!T3</f>
        <v>6.3687977963999991</v>
      </c>
      <c r="U3">
        <f>RawCurrent!U3</f>
        <v>4.2012945678399998</v>
      </c>
      <c r="V3">
        <f>RawCurrent!V3</f>
        <v>1.94224344706537</v>
      </c>
      <c r="W3">
        <f>RawCurrent!W3</f>
        <v>5.6914977681000014</v>
      </c>
      <c r="X3">
        <f>RawCurrent!X3</f>
        <v>3.5272978020000001</v>
      </c>
      <c r="Y3">
        <f>RawCurrent!Y3</f>
        <v>3.3474243279999998</v>
      </c>
      <c r="Z3">
        <f>RawCurrent!Z3</f>
        <v>1.9251146577599998</v>
      </c>
      <c r="AA3">
        <f>RawCurrent!AA3</f>
        <v>1.9583813354699993</v>
      </c>
      <c r="AB3">
        <f>RawCurrent!AB3</f>
        <v>12.688791656000001</v>
      </c>
      <c r="AC3">
        <f>RawCurrent!AC3</f>
        <v>4.3809950771999997</v>
      </c>
      <c r="AD3">
        <f>RawCurrent!AD3</f>
        <v>6.8273253735999999</v>
      </c>
      <c r="AE3">
        <f>RawCurrent!AE3</f>
        <v>2.3971099300000001</v>
      </c>
      <c r="AF3">
        <f>RawCurrent!AF3</f>
        <v>3.900568452299999</v>
      </c>
      <c r="AG3">
        <f>RawCurrent!AG3</f>
        <v>4.0726768946000007</v>
      </c>
      <c r="AH3">
        <f>RawCurrent!AH3</f>
        <v>7.5345529800000008</v>
      </c>
      <c r="AI3">
        <f>RawCurrent!AI3</f>
        <v>4.4405213595999999</v>
      </c>
      <c r="AJ3">
        <f>RawCurrent!AJ3</f>
        <v>2.5034119380000006</v>
      </c>
      <c r="AK3">
        <f>RawCurrent!AK3</f>
        <v>5.8217415102857135</v>
      </c>
      <c r="AL3">
        <f>RawCurrent!AL3</f>
        <v>5.4120773374000004</v>
      </c>
      <c r="AM3">
        <f>RawCurrent!AM3</f>
        <v>3.1308680299499994</v>
      </c>
      <c r="AN3">
        <f>RawCurrent!AN3</f>
        <v>2.1530791841999997</v>
      </c>
      <c r="AO3">
        <f>RawCurrent!AO3</f>
        <v>4.6828832297511145</v>
      </c>
      <c r="AP3">
        <f>RawCurrent!AP3</f>
        <v>4.5696121390500002</v>
      </c>
      <c r="AQ3">
        <f>RawCurrent!AQ3</f>
        <v>5.4771448991999998</v>
      </c>
      <c r="AR3">
        <f>RawCurrent!AR3</f>
        <v>4.5332182904499998</v>
      </c>
      <c r="AS3">
        <f>RawCurrent!AS3</f>
        <v>6.2772916932000005</v>
      </c>
      <c r="AT3">
        <f>RawCurrent!AT3</f>
        <v>7.2507659897804499</v>
      </c>
      <c r="AU3">
        <f>RawCurrent!AU3</f>
        <v>5.2424940364182175</v>
      </c>
      <c r="AV3">
        <f>RawCurrent!AV3</f>
        <v>7.8035580797046311</v>
      </c>
      <c r="AW3">
        <f>RawCurrent!AW3</f>
        <v>4.3081732437999998</v>
      </c>
      <c r="AX3">
        <f>RawCurrent!AX3</f>
        <v>5.9116515077315306</v>
      </c>
      <c r="AY3">
        <f>RawCurrent!AY3</f>
        <v>6.3690267548859678</v>
      </c>
      <c r="AZ3">
        <f>RawCurrent!AZ3</f>
        <v>1.9958043233230687</v>
      </c>
      <c r="BA3">
        <f>RawCurrent!BA3</f>
        <v>5.0152046884003711</v>
      </c>
      <c r="BB3">
        <f>RawCurrent!BB3</f>
        <v>2.8197356420516986</v>
      </c>
      <c r="BC3">
        <f>RawCurrent!BC3</f>
        <v>6.8148693932681876</v>
      </c>
      <c r="BD3">
        <f>RawCurrent!BD3</f>
        <v>5.2707788291051818</v>
      </c>
      <c r="BE3">
        <f>RawCurrent!BE3</f>
        <v>3.9566496721089051</v>
      </c>
      <c r="BF3">
        <f>RawCurrent!BF3</f>
        <v>5.5692706669773777</v>
      </c>
      <c r="BG3">
        <f>RawCurrent!BG3</f>
        <v>4.7930427101559818</v>
      </c>
      <c r="BH3">
        <f>RawCurrent!BH3</f>
        <v>4.9504883473366341</v>
      </c>
      <c r="BI3">
        <f>RawCurrent!BI3</f>
        <v>10.871165677992973</v>
      </c>
      <c r="BJ3">
        <f>RawCurrent!BJ3</f>
        <v>7.4679808898985423</v>
      </c>
      <c r="BK3">
        <f>RawCurrent!BK3</f>
        <v>19.946134186819162</v>
      </c>
      <c r="BL3">
        <f>RawCurrent!BL3</f>
        <v>6.4223087544769069</v>
      </c>
      <c r="BM3">
        <f>RawCurrent!BM3</f>
        <v>3.6916910040154773</v>
      </c>
      <c r="BN3">
        <f>RawCurrent!BN3</f>
        <v>3.9347221929654719</v>
      </c>
      <c r="BO3">
        <f>RawCurrent!BO3</f>
        <v>3.9347221929654719</v>
      </c>
      <c r="BP3">
        <f>RawCurrent!BP3</f>
        <v>3.9347221929654719</v>
      </c>
      <c r="BQ3">
        <f>RawCurrent!BQ3</f>
        <v>3.6236144062996232</v>
      </c>
      <c r="BR3">
        <f>RawCurrent!BR3</f>
        <v>4.5734651714511285</v>
      </c>
      <c r="BS3">
        <f>RawCurrent!BS3</f>
        <v>6.030428868010616</v>
      </c>
      <c r="BT3">
        <f>RawCurrent!BT3</f>
        <v>6.5530017198397887</v>
      </c>
      <c r="BU3">
        <f>RawCurrent!BU3</f>
        <v>3.777933176509281</v>
      </c>
      <c r="BV3">
        <f>RawCurrent!BV3</f>
        <v>21.360497201093356</v>
      </c>
      <c r="BW3">
        <f>RawCurrent!BW3</f>
        <v>5.1578729531264251</v>
      </c>
      <c r="BX3">
        <f>RawCurrent!BX3</f>
        <v>7.618925827711827</v>
      </c>
      <c r="BY3">
        <f>RawCurrent!BY3</f>
        <v>3.010194052165716</v>
      </c>
      <c r="BZ3">
        <f>RawCurrent!BZ3</f>
        <v>4.5653243432231205</v>
      </c>
      <c r="CA3">
        <f>RawCurrent!CA3</f>
        <v>2.6636050095151971</v>
      </c>
      <c r="CB3">
        <f>RawCurrent!CB3</f>
        <v>4.3495176746170765</v>
      </c>
      <c r="CC3">
        <f>RawCurrent!CC3</f>
        <v>4.424043523818284</v>
      </c>
      <c r="CD3">
        <f>RawCurrent!CD3</f>
        <v>1.5789424310550071</v>
      </c>
    </row>
    <row r="4" spans="1:82" x14ac:dyDescent="0.2">
      <c r="A4" s="3" t="s">
        <v>1</v>
      </c>
      <c r="B4" t="str">
        <f>RawCurrent!B4</f>
        <v>WT</v>
      </c>
      <c r="C4" t="str">
        <f>RawCurrent!C4</f>
        <v>WT</v>
      </c>
      <c r="D4" t="str">
        <f>RawCurrent!D4</f>
        <v>WT</v>
      </c>
      <c r="E4" t="str">
        <f>RawCurrent!E4</f>
        <v>WT</v>
      </c>
      <c r="F4" t="str">
        <f>RawCurrent!F4</f>
        <v>WT</v>
      </c>
      <c r="G4" t="str">
        <f>RawCurrent!G4</f>
        <v>WT</v>
      </c>
      <c r="H4" t="str">
        <f>RawCurrent!H4</f>
        <v>WT</v>
      </c>
      <c r="I4" t="str">
        <f>RawCurrent!I4</f>
        <v>WT</v>
      </c>
      <c r="J4" t="str">
        <f>RawCurrent!J4</f>
        <v>WT</v>
      </c>
      <c r="K4" t="str">
        <f>RawCurrent!K4</f>
        <v>WT</v>
      </c>
      <c r="L4" t="str">
        <f>RawCurrent!L4</f>
        <v>WT</v>
      </c>
      <c r="M4" t="str">
        <f>RawCurrent!M4</f>
        <v>WT</v>
      </c>
      <c r="N4" t="str">
        <f>RawCurrent!N4</f>
        <v>WT</v>
      </c>
      <c r="O4" t="str">
        <f>RawCurrent!O4</f>
        <v>WT</v>
      </c>
      <c r="P4" t="str">
        <f>RawCurrent!P4</f>
        <v>WT</v>
      </c>
      <c r="Q4" t="str">
        <f>RawCurrent!Q4</f>
        <v>WT</v>
      </c>
      <c r="R4" t="str">
        <f>RawCurrent!R4</f>
        <v>WT</v>
      </c>
      <c r="S4" t="str">
        <f>RawCurrent!S4</f>
        <v>WT</v>
      </c>
      <c r="T4" t="str">
        <f>RawCurrent!T4</f>
        <v>WT</v>
      </c>
      <c r="U4" t="str">
        <f>RawCurrent!U4</f>
        <v>WT</v>
      </c>
      <c r="V4" t="str">
        <f>RawCurrent!V4</f>
        <v>WT</v>
      </c>
      <c r="W4" t="str">
        <f>RawCurrent!W4</f>
        <v>WT</v>
      </c>
      <c r="X4" t="str">
        <f>RawCurrent!X4</f>
        <v>WT</v>
      </c>
      <c r="Y4" t="str">
        <f>RawCurrent!Y4</f>
        <v>WT</v>
      </c>
      <c r="Z4" t="str">
        <f>RawCurrent!Z4</f>
        <v>WT</v>
      </c>
      <c r="AA4" t="str">
        <f>RawCurrent!AA4</f>
        <v>WT</v>
      </c>
      <c r="AB4" t="str">
        <f>RawCurrent!AB4</f>
        <v>WT</v>
      </c>
      <c r="AC4" t="str">
        <f>RawCurrent!AC4</f>
        <v>WT</v>
      </c>
      <c r="AD4" t="str">
        <f>RawCurrent!AD4</f>
        <v>WT</v>
      </c>
      <c r="AE4" t="str">
        <f>RawCurrent!AE4</f>
        <v>WT</v>
      </c>
      <c r="AF4" t="str">
        <f>RawCurrent!AF4</f>
        <v>WT</v>
      </c>
      <c r="AG4" t="str">
        <f>RawCurrent!AG4</f>
        <v>WT</v>
      </c>
      <c r="AH4" t="str">
        <f>RawCurrent!AH4</f>
        <v>WT</v>
      </c>
      <c r="AI4" t="str">
        <f>RawCurrent!AI4</f>
        <v>WT</v>
      </c>
      <c r="AJ4" t="str">
        <f>RawCurrent!AJ4</f>
        <v>WT</v>
      </c>
      <c r="AK4" t="str">
        <f>RawCurrent!AK4</f>
        <v>WT</v>
      </c>
      <c r="AL4" t="str">
        <f>RawCurrent!AL4</f>
        <v>WT</v>
      </c>
      <c r="AM4" t="str">
        <f>RawCurrent!AM4</f>
        <v>WT</v>
      </c>
      <c r="AN4" t="str">
        <f>RawCurrent!AN4</f>
        <v>WT</v>
      </c>
      <c r="AO4" t="str">
        <f>RawCurrent!AO4</f>
        <v>WT</v>
      </c>
      <c r="AP4" t="str">
        <f>RawCurrent!AP4</f>
        <v>WT</v>
      </c>
      <c r="AQ4" t="str">
        <f>RawCurrent!AQ4</f>
        <v>WT</v>
      </c>
      <c r="AR4" t="str">
        <f>RawCurrent!AR4</f>
        <v>WT</v>
      </c>
      <c r="AS4" t="str">
        <f>RawCurrent!AS4</f>
        <v>WT</v>
      </c>
      <c r="AT4" t="str">
        <f>RawCurrent!AT4</f>
        <v>WT</v>
      </c>
      <c r="AU4" t="str">
        <f>RawCurrent!AU4</f>
        <v>WT</v>
      </c>
      <c r="AV4" t="str">
        <f>RawCurrent!AV4</f>
        <v>WT</v>
      </c>
      <c r="AW4" t="str">
        <f>RawCurrent!AW4</f>
        <v>EPN</v>
      </c>
      <c r="AX4" t="str">
        <f>RawCurrent!AX4</f>
        <v>EPN</v>
      </c>
      <c r="AY4" t="str">
        <f>RawCurrent!AY4</f>
        <v>EPN</v>
      </c>
      <c r="AZ4" t="str">
        <f>RawCurrent!AZ4</f>
        <v>EPN</v>
      </c>
      <c r="BA4" t="str">
        <f>RawCurrent!BA4</f>
        <v>EPN</v>
      </c>
      <c r="BB4" t="str">
        <f>RawCurrent!BB4</f>
        <v>EPN</v>
      </c>
      <c r="BC4" t="str">
        <f>RawCurrent!BC4</f>
        <v>EPN</v>
      </c>
      <c r="BD4" t="str">
        <f>RawCurrent!BD4</f>
        <v>EPN</v>
      </c>
      <c r="BE4" t="str">
        <f>RawCurrent!BE4</f>
        <v>EPN</v>
      </c>
      <c r="BF4" t="str">
        <f>RawCurrent!BF4</f>
        <v>EPN</v>
      </c>
      <c r="BG4" t="str">
        <f>RawCurrent!BG4</f>
        <v>EPN</v>
      </c>
      <c r="BH4" t="str">
        <f>RawCurrent!BH4</f>
        <v>EPN</v>
      </c>
      <c r="BI4" t="str">
        <f>RawCurrent!BI4</f>
        <v>EPN</v>
      </c>
      <c r="BJ4" t="str">
        <f>RawCurrent!BJ4</f>
        <v>EPN</v>
      </c>
      <c r="BK4" t="str">
        <f>RawCurrent!BK4</f>
        <v>LVNV</v>
      </c>
      <c r="BL4" t="str">
        <f>RawCurrent!BL4</f>
        <v>LVNV</v>
      </c>
      <c r="BM4" t="str">
        <f>RawCurrent!BM4</f>
        <v>LVNV</v>
      </c>
      <c r="BN4" t="str">
        <f>RawCurrent!BN4</f>
        <v>LVNV</v>
      </c>
      <c r="BO4" t="str">
        <f>RawCurrent!BO4</f>
        <v>LVNV</v>
      </c>
      <c r="BP4" t="str">
        <f>RawCurrent!BP4</f>
        <v>LVNV</v>
      </c>
      <c r="BQ4" t="str">
        <f>RawCurrent!BQ4</f>
        <v>LVNV</v>
      </c>
      <c r="BR4" t="str">
        <f>RawCurrent!BR4</f>
        <v>LVNV</v>
      </c>
      <c r="BS4" t="str">
        <f>RawCurrent!BS4</f>
        <v>LVNV</v>
      </c>
      <c r="BT4" t="str">
        <f>RawCurrent!BT4</f>
        <v>LVNV</v>
      </c>
      <c r="BU4" t="str">
        <f>RawCurrent!BU4</f>
        <v>LVNV</v>
      </c>
      <c r="BV4" t="str">
        <f>RawCurrent!BV4</f>
        <v>LVNV</v>
      </c>
      <c r="BW4" t="str">
        <f>RawCurrent!BW4</f>
        <v>LVNV</v>
      </c>
      <c r="BX4" t="str">
        <f>RawCurrent!BX4</f>
        <v>LVNV</v>
      </c>
      <c r="BY4" t="str">
        <f>RawCurrent!BY4</f>
        <v>LVNV</v>
      </c>
      <c r="BZ4" t="str">
        <f>RawCurrent!BZ4</f>
        <v>LVNV</v>
      </c>
      <c r="CA4" t="str">
        <f>RawCurrent!CA4</f>
        <v>LVNV</v>
      </c>
      <c r="CB4" t="str">
        <f>RawCurrent!CB4</f>
        <v>LVNV</v>
      </c>
      <c r="CC4" t="str">
        <f>RawCurrent!CC4</f>
        <v>LVNV</v>
      </c>
      <c r="CD4" t="str">
        <f>RawCurrent!CD4</f>
        <v>LVNV</v>
      </c>
    </row>
    <row r="5" spans="1:82" x14ac:dyDescent="0.2">
      <c r="A5" s="3" t="s">
        <v>0</v>
      </c>
      <c r="B5" t="str">
        <f>RawCurrent!B5</f>
        <v>WT1</v>
      </c>
      <c r="C5" t="str">
        <f>RawCurrent!C5</f>
        <v>WT2</v>
      </c>
      <c r="D5" t="str">
        <f>RawCurrent!D5</f>
        <v>WT3</v>
      </c>
      <c r="E5" t="str">
        <f>RawCurrent!E5</f>
        <v>WT4</v>
      </c>
      <c r="F5" t="str">
        <f>RawCurrent!F5</f>
        <v>WT5</v>
      </c>
      <c r="G5" t="str">
        <f>RawCurrent!G5</f>
        <v>WT6</v>
      </c>
      <c r="H5" t="str">
        <f>RawCurrent!H5</f>
        <v>WT7</v>
      </c>
      <c r="I5" t="str">
        <f>RawCurrent!I5</f>
        <v>WT8</v>
      </c>
      <c r="J5" t="str">
        <f>RawCurrent!J5</f>
        <v>WT9</v>
      </c>
      <c r="K5" t="str">
        <f>RawCurrent!K5</f>
        <v>WT10</v>
      </c>
      <c r="L5" t="str">
        <f>RawCurrent!L5</f>
        <v>WT11</v>
      </c>
      <c r="M5" t="str">
        <f>RawCurrent!M5</f>
        <v>WT12</v>
      </c>
      <c r="N5" t="str">
        <f>RawCurrent!N5</f>
        <v>WT13</v>
      </c>
      <c r="O5" t="str">
        <f>RawCurrent!O5</f>
        <v>WT14</v>
      </c>
      <c r="P5" t="str">
        <f>RawCurrent!P5</f>
        <v>WT15</v>
      </c>
      <c r="Q5" t="str">
        <f>RawCurrent!Q5</f>
        <v>WT16</v>
      </c>
      <c r="R5" t="str">
        <f>RawCurrent!R5</f>
        <v>WT17</v>
      </c>
      <c r="S5" t="str">
        <f>RawCurrent!S5</f>
        <v>WT19</v>
      </c>
      <c r="T5" t="str">
        <f>RawCurrent!T5</f>
        <v>WT20</v>
      </c>
      <c r="U5" t="str">
        <f>RawCurrent!U5</f>
        <v>WT21</v>
      </c>
      <c r="V5" t="str">
        <f>RawCurrent!V5</f>
        <v>WT23</v>
      </c>
      <c r="W5" t="str">
        <f>RawCurrent!W5</f>
        <v>WT24</v>
      </c>
      <c r="X5" t="str">
        <f>RawCurrent!X5</f>
        <v>WT25</v>
      </c>
      <c r="Y5" t="str">
        <f>RawCurrent!Y5</f>
        <v>WT26</v>
      </c>
      <c r="Z5" t="str">
        <f>RawCurrent!Z5</f>
        <v>WT27</v>
      </c>
      <c r="AA5" t="str">
        <f>RawCurrent!AA5</f>
        <v>WT28</v>
      </c>
      <c r="AB5" t="str">
        <f>RawCurrent!AB5</f>
        <v>WT29</v>
      </c>
      <c r="AC5" t="str">
        <f>RawCurrent!AC5</f>
        <v>WT30</v>
      </c>
      <c r="AD5" t="str">
        <f>RawCurrent!AD5</f>
        <v>WT31</v>
      </c>
      <c r="AE5" t="str">
        <f>RawCurrent!AE5</f>
        <v>WT33</v>
      </c>
      <c r="AF5" t="str">
        <f>RawCurrent!AF5</f>
        <v>WT38</v>
      </c>
      <c r="AG5" t="str">
        <f>RawCurrent!AG5</f>
        <v>WT39</v>
      </c>
      <c r="AH5" t="str">
        <f>RawCurrent!AH5</f>
        <v>WT40</v>
      </c>
      <c r="AI5" t="str">
        <f>RawCurrent!AI5</f>
        <v>WT43</v>
      </c>
      <c r="AJ5" t="str">
        <f>RawCurrent!AJ5</f>
        <v>WT44</v>
      </c>
      <c r="AK5" t="str">
        <f>RawCurrent!AK5</f>
        <v>WT47</v>
      </c>
      <c r="AL5" t="str">
        <f>RawCurrent!AL5</f>
        <v>WT48</v>
      </c>
      <c r="AM5" t="str">
        <f>RawCurrent!AM5</f>
        <v>WT50</v>
      </c>
      <c r="AN5" t="str">
        <f>RawCurrent!AN5</f>
        <v>WT53</v>
      </c>
      <c r="AO5" t="str">
        <f>RawCurrent!AO5</f>
        <v>WT54</v>
      </c>
      <c r="AP5" t="str">
        <f>RawCurrent!AP5</f>
        <v>WT63</v>
      </c>
      <c r="AQ5" t="str">
        <f>RawCurrent!AQ5</f>
        <v>WT66</v>
      </c>
      <c r="AR5" t="str">
        <f>RawCurrent!AR5</f>
        <v>WT69</v>
      </c>
      <c r="AS5" t="str">
        <f>RawCurrent!AS5</f>
        <v>WT71</v>
      </c>
      <c r="AT5" t="str">
        <f>RawCurrent!AT5</f>
        <v>WT74</v>
      </c>
      <c r="AU5" t="str">
        <f>RawCurrent!AU5</f>
        <v>WT75</v>
      </c>
      <c r="AV5" t="str">
        <f>RawCurrent!AV5</f>
        <v>WT76</v>
      </c>
      <c r="AW5" t="str">
        <f>RawCurrent!AW5</f>
        <v>EPN1</v>
      </c>
      <c r="AX5" t="str">
        <f>RawCurrent!AX5</f>
        <v>EPN2</v>
      </c>
      <c r="AY5" t="str">
        <f>RawCurrent!AY5</f>
        <v>EPN3</v>
      </c>
      <c r="AZ5" t="str">
        <f>RawCurrent!AZ5</f>
        <v>EPN4</v>
      </c>
      <c r="BA5" t="str">
        <f>RawCurrent!BA5</f>
        <v>EPN5</v>
      </c>
      <c r="BB5" t="str">
        <f>RawCurrent!BB5</f>
        <v>EPN6</v>
      </c>
      <c r="BC5" t="str">
        <f>RawCurrent!BC5</f>
        <v>EPN7</v>
      </c>
      <c r="BD5" t="str">
        <f>RawCurrent!BD5</f>
        <v>EPN9</v>
      </c>
      <c r="BE5" t="str">
        <f>RawCurrent!BE5</f>
        <v>EPN10</v>
      </c>
      <c r="BF5" t="str">
        <f>RawCurrent!BF5</f>
        <v>EPN11</v>
      </c>
      <c r="BG5" t="str">
        <f>RawCurrent!BG5</f>
        <v>EPN12</v>
      </c>
      <c r="BH5" t="str">
        <f>RawCurrent!BH5</f>
        <v>EPN13</v>
      </c>
      <c r="BI5" t="str">
        <f>RawCurrent!BI5</f>
        <v>EPN14</v>
      </c>
      <c r="BJ5" t="str">
        <f>RawCurrent!BJ5</f>
        <v>EPN18</v>
      </c>
      <c r="BK5" t="str">
        <f>RawCurrent!BK5</f>
        <v>LVNV1</v>
      </c>
      <c r="BL5" t="str">
        <f>RawCurrent!BL5</f>
        <v>LVNV2</v>
      </c>
      <c r="BM5" t="str">
        <f>RawCurrent!BM5</f>
        <v>LVNV3</v>
      </c>
      <c r="BN5" t="str">
        <f>RawCurrent!BN5</f>
        <v>LVNV4</v>
      </c>
      <c r="BO5" t="str">
        <f>RawCurrent!BO5</f>
        <v>LVNV4</v>
      </c>
      <c r="BP5" t="str">
        <f>RawCurrent!BP5</f>
        <v>LVNV4</v>
      </c>
      <c r="BQ5" t="str">
        <f>RawCurrent!BQ5</f>
        <v>LVNV5</v>
      </c>
      <c r="BR5" t="str">
        <f>RawCurrent!BR5</f>
        <v>LVNV6</v>
      </c>
      <c r="BS5" t="str">
        <f>RawCurrent!BS5</f>
        <v>LVNV7</v>
      </c>
      <c r="BT5" t="str">
        <f>RawCurrent!BT5</f>
        <v>LVNV8</v>
      </c>
      <c r="BU5" t="str">
        <f>RawCurrent!BU5</f>
        <v>LVNV9</v>
      </c>
      <c r="BV5" t="str">
        <f>RawCurrent!BV5</f>
        <v>LVNV10</v>
      </c>
      <c r="BW5" t="str">
        <f>RawCurrent!BW5</f>
        <v>LVNV12</v>
      </c>
      <c r="BX5" t="str">
        <f>RawCurrent!BX5</f>
        <v>LVNV14</v>
      </c>
      <c r="BY5" t="str">
        <f>RawCurrent!BY5</f>
        <v>LVNV15</v>
      </c>
      <c r="BZ5" t="str">
        <f>RawCurrent!BZ5</f>
        <v>LVNV16</v>
      </c>
      <c r="CA5" t="str">
        <f>RawCurrent!CA5</f>
        <v>LVNV18</v>
      </c>
      <c r="CB5" t="str">
        <f>RawCurrent!CB5</f>
        <v>LVNV19</v>
      </c>
      <c r="CC5" t="str">
        <f>RawCurrent!CC5</f>
        <v>LVNV20</v>
      </c>
      <c r="CD5" t="str">
        <f>RawCurrent!CD5</f>
        <v>LVNV21</v>
      </c>
    </row>
    <row r="6" spans="1:82" x14ac:dyDescent="0.2">
      <c r="A6" s="3" t="s">
        <v>5</v>
      </c>
    </row>
    <row r="7" spans="1:82" x14ac:dyDescent="0.2">
      <c r="A7" s="3">
        <v>-80</v>
      </c>
      <c r="B7">
        <f>IF(ISBLANK(BLcorrectedCurrent!B7),"",BLcorrectedCurrent!B7/BLcorrectedCurrent!B$3)</f>
        <v>56.019757457662429</v>
      </c>
      <c r="C7">
        <f>IF(ISBLANK(BLcorrectedCurrent!C7),"",BLcorrectedCurrent!C7/BLcorrectedCurrent!C$3)</f>
        <v>-11.191260042467004</v>
      </c>
      <c r="D7">
        <f>IF(ISBLANK(BLcorrectedCurrent!D7),"",BLcorrectedCurrent!D7/BLcorrectedCurrent!D$3)</f>
        <v>18.559072855050154</v>
      </c>
      <c r="E7">
        <f>IF(ISBLANK(BLcorrectedCurrent!E7),"",BLcorrectedCurrent!E7/BLcorrectedCurrent!E$3)</f>
        <v>-5.602848181389537</v>
      </c>
      <c r="F7">
        <f>IF(ISBLANK(BLcorrectedCurrent!F7),"",BLcorrectedCurrent!F7/BLcorrectedCurrent!F$3)</f>
        <v>73.389162864326792</v>
      </c>
      <c r="G7">
        <f>IF(ISBLANK(BLcorrectedCurrent!G7),"",BLcorrectedCurrent!G7/BLcorrectedCurrent!G$3)</f>
        <v>5.4431615517148488</v>
      </c>
      <c r="H7">
        <f>IF(ISBLANK(BLcorrectedCurrent!H7),"",BLcorrectedCurrent!H7/BLcorrectedCurrent!H$3)</f>
        <v>0.29757890748147331</v>
      </c>
      <c r="I7">
        <f>IF(ISBLANK(BLcorrectedCurrent!I7),"",BLcorrectedCurrent!I7/BLcorrectedCurrent!I$3)</f>
        <v>15.362428742903802</v>
      </c>
      <c r="J7">
        <f>IF(ISBLANK(BLcorrectedCurrent!J7),"",BLcorrectedCurrent!J7/BLcorrectedCurrent!J$3)</f>
        <v>45.152331118402905</v>
      </c>
      <c r="K7">
        <f>IF(ISBLANK(BLcorrectedCurrent!K7),"",BLcorrectedCurrent!K7/BLcorrectedCurrent!K$3)</f>
        <v>6.1940945234325921</v>
      </c>
      <c r="L7">
        <f>IF(ISBLANK(BLcorrectedCurrent!L7),"",BLcorrectedCurrent!L7/BLcorrectedCurrent!L$3)</f>
        <v>3.0804469680296651</v>
      </c>
      <c r="M7">
        <f>IF(ISBLANK(BLcorrectedCurrent!M7),"",BLcorrectedCurrent!M7/BLcorrectedCurrent!M$3)</f>
        <v>-0.29968135277921432</v>
      </c>
      <c r="N7">
        <f>IF(ISBLANK(BLcorrectedCurrent!N7),"",BLcorrectedCurrent!N7/BLcorrectedCurrent!N$3)</f>
        <v>7.3033055423609294</v>
      </c>
      <c r="O7">
        <f>IF(ISBLANK(BLcorrectedCurrent!O7),"",BLcorrectedCurrent!O7/BLcorrectedCurrent!O$3)</f>
        <v>-5.1044498939000116</v>
      </c>
      <c r="P7">
        <f>IF(ISBLANK(BLcorrectedCurrent!P7),"",BLcorrectedCurrent!P7/BLcorrectedCurrent!P$3)</f>
        <v>9.4711629098596077</v>
      </c>
      <c r="Q7">
        <f>IF(ISBLANK(BLcorrectedCurrent!Q7),"",BLcorrectedCurrent!Q7/BLcorrectedCurrent!Q$3)</f>
        <v>7.5655754757024267</v>
      </c>
      <c r="R7">
        <f>IF(ISBLANK(BLcorrectedCurrent!R7),"",BLcorrectedCurrent!R7/BLcorrectedCurrent!R$3)</f>
        <v>8.6527320828971543</v>
      </c>
      <c r="S7">
        <f>IF(ISBLANK(BLcorrectedCurrent!S7),"",BLcorrectedCurrent!S7/BLcorrectedCurrent!S$3)</f>
        <v>-9.5487614015238378E-2</v>
      </c>
      <c r="T7">
        <f>IF(ISBLANK(BLcorrectedCurrent!T7),"",BLcorrectedCurrent!T7/BLcorrectedCurrent!T$3)</f>
        <v>6.1954411434068284</v>
      </c>
      <c r="U7">
        <f>IF(ISBLANK(BLcorrectedCurrent!U7),"",BLcorrectedCurrent!U7/BLcorrectedCurrent!U$3)</f>
        <v>9.3283102079784435</v>
      </c>
      <c r="V7">
        <f>IF(ISBLANK(BLcorrectedCurrent!V7),"",BLcorrectedCurrent!V7/BLcorrectedCurrent!V$3)</f>
        <v>11.172307391794236</v>
      </c>
      <c r="W7">
        <f>IF(ISBLANK(BLcorrectedCurrent!W7),"",BLcorrectedCurrent!W7/BLcorrectedCurrent!W$3)</f>
        <v>2.9225612647618</v>
      </c>
      <c r="X7">
        <f>IF(ISBLANK(BLcorrectedCurrent!X7),"",BLcorrectedCurrent!X7/BLcorrectedCurrent!X$3)</f>
        <v>0.19277032495535479</v>
      </c>
      <c r="Y7">
        <f>IF(ISBLANK(BLcorrectedCurrent!Y7),"",BLcorrectedCurrent!Y7/BLcorrectedCurrent!Y$3)</f>
        <v>6.4106787163871175</v>
      </c>
      <c r="Z7">
        <f>IF(ISBLANK(BLcorrectedCurrent!Z7),"",BLcorrectedCurrent!Z7/BLcorrectedCurrent!Z$3)</f>
        <v>6.8632177146553497</v>
      </c>
      <c r="AA7">
        <f>IF(ISBLANK(BLcorrectedCurrent!AA7),"",BLcorrectedCurrent!AA7/BLcorrectedCurrent!AA$3)</f>
        <v>4.3671553676307422</v>
      </c>
      <c r="AB7">
        <f>IF(ISBLANK(BLcorrectedCurrent!AB7),"",BLcorrectedCurrent!AB7/BLcorrectedCurrent!AB$3)</f>
        <v>-3.1466684691973636</v>
      </c>
      <c r="AC7">
        <f>IF(ISBLANK(BLcorrectedCurrent!AC7),"",BLcorrectedCurrent!AC7/BLcorrectedCurrent!AC$3)</f>
        <v>0.31476599304295477</v>
      </c>
      <c r="AD7">
        <f>IF(ISBLANK(BLcorrectedCurrent!AD7),"",BLcorrectedCurrent!AD7/BLcorrectedCurrent!AD$3)</f>
        <v>9.9219039406351524</v>
      </c>
      <c r="AE7">
        <f>IF(ISBLANK(BLcorrectedCurrent!AE7),"",BLcorrectedCurrent!AE7/BLcorrectedCurrent!AE$3)</f>
        <v>6.9336542082407207E-2</v>
      </c>
      <c r="AF7">
        <f>IF(ISBLANK(BLcorrectedCurrent!AF7),"",BLcorrectedCurrent!AF7/BLcorrectedCurrent!AF$3)</f>
        <v>-6.9132096399799945</v>
      </c>
      <c r="AG7">
        <f>IF(ISBLANK(BLcorrectedCurrent!AG7),"",BLcorrectedCurrent!AG7/BLcorrectedCurrent!AG$3)</f>
        <v>8.9687847147179252</v>
      </c>
      <c r="AH7">
        <f>IF(ISBLANK(BLcorrectedCurrent!AH7),"",BLcorrectedCurrent!AH7/BLcorrectedCurrent!AH$3)</f>
        <v>-4.8629511954975717</v>
      </c>
      <c r="AI7">
        <f>IF(ISBLANK(BLcorrectedCurrent!AI7),"",BLcorrectedCurrent!AI7/BLcorrectedCurrent!AI$3)</f>
        <v>0.43340439501051337</v>
      </c>
      <c r="AJ7">
        <f>IF(ISBLANK(BLcorrectedCurrent!AJ7),"",BLcorrectedCurrent!AJ7/BLcorrectedCurrent!AJ$3)</f>
        <v>-1.0383038653825027</v>
      </c>
      <c r="AK7">
        <f>IF(ISBLANK(BLcorrectedCurrent!AK7),"",BLcorrectedCurrent!AK7/BLcorrectedCurrent!AK$3)</f>
        <v>-0.22133303220270631</v>
      </c>
      <c r="AL7">
        <f>IF(ISBLANK(BLcorrectedCurrent!AL7),"",BLcorrectedCurrent!AL7/BLcorrectedCurrent!AL$3)</f>
        <v>-1.8523410411549635</v>
      </c>
      <c r="AM7">
        <f>IF(ISBLANK(BLcorrectedCurrent!AM7),"",BLcorrectedCurrent!AM7/BLcorrectedCurrent!AM$3)</f>
        <v>3.3837742255083141</v>
      </c>
      <c r="AN7">
        <f>IF(ISBLANK(BLcorrectedCurrent!AN7),"",BLcorrectedCurrent!AN7/BLcorrectedCurrent!AN$3)</f>
        <v>14.001978936026491</v>
      </c>
      <c r="AO7">
        <f>IF(ISBLANK(BLcorrectedCurrent!AO7),"",BLcorrectedCurrent!AO7/BLcorrectedCurrent!AO$3)</f>
        <v>0.16526205226508081</v>
      </c>
      <c r="AP7">
        <f>IF(ISBLANK(BLcorrectedCurrent!AP7),"",BLcorrectedCurrent!AP7/BLcorrectedCurrent!AP$3)</f>
        <v>3.7712985720056809</v>
      </c>
      <c r="AQ7">
        <f>IF(ISBLANK(BLcorrectedCurrent!AQ7),"",BLcorrectedCurrent!AQ7/BLcorrectedCurrent!AQ$3)</f>
        <v>2.6771233456976185</v>
      </c>
      <c r="AR7">
        <f>IF(ISBLANK(BLcorrectedCurrent!AR7),"",BLcorrectedCurrent!AR7/BLcorrectedCurrent!AR$3)</f>
        <v>-0.40384689847272287</v>
      </c>
      <c r="AS7">
        <f>IF(ISBLANK(BLcorrectedCurrent!AS7),"",BLcorrectedCurrent!AS7/BLcorrectedCurrent!AS$3)</f>
        <v>-3.0050707465936672</v>
      </c>
      <c r="AT7">
        <f>IF(ISBLANK(BLcorrectedCurrent!AT7),"",BLcorrectedCurrent!AT7/BLcorrectedCurrent!AT$3)</f>
        <v>-2.3400006149576114</v>
      </c>
      <c r="AU7">
        <f>IF(ISBLANK(BLcorrectedCurrent!AU7),"",BLcorrectedCurrent!AU7/BLcorrectedCurrent!AU$3)</f>
        <v>4.5948380987829252</v>
      </c>
      <c r="AV7">
        <f>IF(ISBLANK(BLcorrectedCurrent!AV7),"",BLcorrectedCurrent!AV7/BLcorrectedCurrent!AV$3)</f>
        <v>2.5197266198620398</v>
      </c>
      <c r="AW7">
        <f>IF(ISBLANK(BLcorrectedCurrent!AW7),"",BLcorrectedCurrent!AW7/BLcorrectedCurrent!AW$3)</f>
        <v>22.820542324987258</v>
      </c>
      <c r="AX7">
        <f>IF(ISBLANK(BLcorrectedCurrent!AX7),"",BLcorrectedCurrent!AX7/BLcorrectedCurrent!AX$3)</f>
        <v>-6.5984744049161961</v>
      </c>
      <c r="AY7">
        <f>IF(ISBLANK(BLcorrectedCurrent!AY7),"",BLcorrectedCurrent!AY7/BLcorrectedCurrent!AY$3)</f>
        <v>4.6940755227566386</v>
      </c>
      <c r="AZ7">
        <f>IF(ISBLANK(BLcorrectedCurrent!AZ7),"",BLcorrectedCurrent!AZ7/BLcorrectedCurrent!AZ$3)</f>
        <v>11.802513595466863</v>
      </c>
      <c r="BA7">
        <f>IF(ISBLANK(BLcorrectedCurrent!BA7),"",BLcorrectedCurrent!BA7/BLcorrectedCurrent!BA$3)</f>
        <v>0.14733574921384343</v>
      </c>
      <c r="BB7" t="str">
        <f>IF(ISBLANK(BLcorrectedCurrent!BB7),"",BLcorrectedCurrent!BB7/BLcorrectedCurrent!BB$3)</f>
        <v/>
      </c>
      <c r="BC7">
        <f>IF(ISBLANK(BLcorrectedCurrent!BC7),"",BLcorrectedCurrent!BC7/BLcorrectedCurrent!BC$3)</f>
        <v>0.38922636699230051</v>
      </c>
      <c r="BD7">
        <f>IF(ISBLANK(BLcorrectedCurrent!BD7),"",BLcorrectedCurrent!BD7/BLcorrectedCurrent!BD$3)</f>
        <v>7.4496466765706852</v>
      </c>
      <c r="BE7" t="str">
        <f>IF(ISBLANK(BLcorrectedCurrent!BE7),"",BLcorrectedCurrent!BE7/BLcorrectedCurrent!BE$3)</f>
        <v/>
      </c>
      <c r="BF7">
        <f>IF(ISBLANK(BLcorrectedCurrent!BF7),"",BLcorrectedCurrent!BF7/BLcorrectedCurrent!BF$3)</f>
        <v>4.7608644228528973</v>
      </c>
      <c r="BG7">
        <f>IF(ISBLANK(BLcorrectedCurrent!BG7),"",BLcorrectedCurrent!BG7/BLcorrectedCurrent!BG$3)</f>
        <v>13.102560921568168</v>
      </c>
      <c r="BH7">
        <f>IF(ISBLANK(BLcorrectedCurrent!BH7),"",BLcorrectedCurrent!BH7/BLcorrectedCurrent!BH$3)</f>
        <v>0.4184918843192344</v>
      </c>
      <c r="BI7">
        <f>IF(ISBLANK(BLcorrectedCurrent!BI7),"",BLcorrectedCurrent!BI7/BLcorrectedCurrent!BI$3)</f>
        <v>4.5440253429609703</v>
      </c>
      <c r="BJ7">
        <f>IF(ISBLANK(BLcorrectedCurrent!BJ7),"",BLcorrectedCurrent!BJ7/BLcorrectedCurrent!BJ$3)</f>
        <v>0.2737925772066106</v>
      </c>
      <c r="BK7">
        <f>IF(ISBLANK(BLcorrectedCurrent!BK7),"",BLcorrectedCurrent!BK7/BLcorrectedCurrent!BK$3)</f>
        <v>-0.66398353533522114</v>
      </c>
      <c r="BL7">
        <f>IF(ISBLANK(BLcorrectedCurrent!BL7),"",BLcorrectedCurrent!BL7/BLcorrectedCurrent!BL$3)</f>
        <v>1.3593176401680884</v>
      </c>
      <c r="BM7">
        <f>IF(ISBLANK(BLcorrectedCurrent!BM7),"",BLcorrectedCurrent!BM7/BLcorrectedCurrent!BM$3)</f>
        <v>-2.4519985602168148</v>
      </c>
      <c r="BN7">
        <f>IF(ISBLANK(BLcorrectedCurrent!BN7),"",BLcorrectedCurrent!BN7/BLcorrectedCurrent!BN$3)</f>
        <v>11.228466608905734</v>
      </c>
      <c r="BO7">
        <f>IF(ISBLANK(BLcorrectedCurrent!BO7),"",BLcorrectedCurrent!BO7/BLcorrectedCurrent!BO$3)</f>
        <v>12.893788722745311</v>
      </c>
      <c r="BP7">
        <f>IF(ISBLANK(BLcorrectedCurrent!BP7),"",BLcorrectedCurrent!BP7/BLcorrectedCurrent!BP$3)</f>
        <v>8.8455560643745983</v>
      </c>
      <c r="BQ7">
        <f>IF(ISBLANK(BLcorrectedCurrent!BQ7),"",BLcorrectedCurrent!BQ7/BLcorrectedCurrent!BQ$3)</f>
        <v>11.790804596877409</v>
      </c>
      <c r="BR7">
        <f>IF(ISBLANK(BLcorrectedCurrent!BR7),"",BLcorrectedCurrent!BR7/BLcorrectedCurrent!BR$3)</f>
        <v>2.2422051010828308</v>
      </c>
      <c r="BS7">
        <f>IF(ISBLANK(BLcorrectedCurrent!BS7),"",BLcorrectedCurrent!BS7/BLcorrectedCurrent!BS$3)</f>
        <v>0.25180145515273761</v>
      </c>
      <c r="BT7">
        <f>IF(ISBLANK(BLcorrectedCurrent!BT7),"",BLcorrectedCurrent!BT7/BLcorrectedCurrent!BT$3)</f>
        <v>3.333544121845732</v>
      </c>
      <c r="BU7">
        <f>IF(ISBLANK(BLcorrectedCurrent!BU7),"",BLcorrectedCurrent!BU7/BLcorrectedCurrent!BU$3)</f>
        <v>0</v>
      </c>
      <c r="BV7">
        <f>IF(ISBLANK(BLcorrectedCurrent!BV7),"",BLcorrectedCurrent!BV7/BLcorrectedCurrent!BV$3)</f>
        <v>-0.25259870150303909</v>
      </c>
      <c r="BW7">
        <f>IF(ISBLANK(BLcorrectedCurrent!BW7),"",BLcorrectedCurrent!BW7/BLcorrectedCurrent!BW$3)</f>
        <v>4.3984632532386883</v>
      </c>
      <c r="BX7">
        <f>IF(ISBLANK(BLcorrectedCurrent!BX7),"",BLcorrectedCurrent!BX7/BLcorrectedCurrent!BX$3)</f>
        <v>2.3572008709636116E-2</v>
      </c>
      <c r="BY7">
        <f>IF(ISBLANK(BLcorrectedCurrent!BY7),"",BLcorrectedCurrent!BY7/BLcorrectedCurrent!BY$3)</f>
        <v>0.46815610496683985</v>
      </c>
      <c r="BZ7">
        <f>IF(ISBLANK(BLcorrectedCurrent!BZ7),"",BLcorrectedCurrent!BZ7/BLcorrectedCurrent!BZ$3)</f>
        <v>5.7055953894789422</v>
      </c>
      <c r="CA7">
        <f>IF(ISBLANK(BLcorrectedCurrent!CA7),"",BLcorrectedCurrent!CA7/BLcorrectedCurrent!CA$3)</f>
        <v>1.7088110207613951</v>
      </c>
      <c r="CB7">
        <f>IF(ISBLANK(BLcorrectedCurrent!CB7),"",BLcorrectedCurrent!CB7/BLcorrectedCurrent!CB$3)</f>
        <v>7.9723479581689211E-2</v>
      </c>
      <c r="CC7">
        <f>IF(ISBLANK(BLcorrectedCurrent!CC7),"",BLcorrectedCurrent!CC7/BLcorrectedCurrent!CC$3)</f>
        <v>-2.3587615754603113</v>
      </c>
      <c r="CD7">
        <f>IF(ISBLANK(BLcorrectedCurrent!CD7),"",BLcorrectedCurrent!CD7/BLcorrectedCurrent!CD$3)</f>
        <v>2.272171735967492</v>
      </c>
    </row>
    <row r="8" spans="1:82" x14ac:dyDescent="0.2">
      <c r="A8" s="3">
        <f>A7+10</f>
        <v>-70</v>
      </c>
      <c r="B8">
        <f>IF(ISBLANK(BLcorrectedCurrent!B8),"",BLcorrectedCurrent!B8/BLcorrectedCurrent!B$3)</f>
        <v>-0.68343580026620021</v>
      </c>
      <c r="C8">
        <f>IF(ISBLANK(BLcorrectedCurrent!C8),"",BLcorrectedCurrent!C8/BLcorrectedCurrent!C$3)</f>
        <v>11.191260042467</v>
      </c>
      <c r="D8">
        <f>IF(ISBLANK(BLcorrectedCurrent!D8),"",BLcorrectedCurrent!D8/BLcorrectedCurrent!D$3)</f>
        <v>18.861850115448117</v>
      </c>
      <c r="E8">
        <f>IF(ISBLANK(BLcorrectedCurrent!E8),"",BLcorrectedCurrent!E8/BLcorrectedCurrent!E$3)</f>
        <v>-1.2963075747433392</v>
      </c>
      <c r="F8">
        <f>IF(ISBLANK(BLcorrectedCurrent!F8),"",BLcorrectedCurrent!F8/BLcorrectedCurrent!F$3)</f>
        <v>74.575077293839811</v>
      </c>
      <c r="G8">
        <f>IF(ISBLANK(BLcorrectedCurrent!G8),"",BLcorrectedCurrent!G8/BLcorrectedCurrent!G$3)</f>
        <v>4.9263772222326727</v>
      </c>
      <c r="H8">
        <f>IF(ISBLANK(BLcorrectedCurrent!H8),"",BLcorrectedCurrent!H8/BLcorrectedCurrent!H$3)</f>
        <v>-0.29757890748147275</v>
      </c>
      <c r="I8">
        <f>IF(ISBLANK(BLcorrectedCurrent!I8),"",BLcorrectedCurrent!I8/BLcorrectedCurrent!I$3)</f>
        <v>18.101795198855115</v>
      </c>
      <c r="J8">
        <f>IF(ISBLANK(BLcorrectedCurrent!J8),"",BLcorrectedCurrent!J8/BLcorrectedCurrent!J$3)</f>
        <v>-2.3871393464439081</v>
      </c>
      <c r="K8">
        <f>IF(ISBLANK(BLcorrectedCurrent!K8),"",BLcorrectedCurrent!K8/BLcorrectedCurrent!K$3)</f>
        <v>6.7293103391664966</v>
      </c>
      <c r="L8">
        <f>IF(ISBLANK(BLcorrectedCurrent!L8),"",BLcorrectedCurrent!L8/BLcorrectedCurrent!L$3)</f>
        <v>3.28957967370807</v>
      </c>
      <c r="M8">
        <f>IF(ISBLANK(BLcorrectedCurrent!M8),"",BLcorrectedCurrent!M8/BLcorrectedCurrent!M$3)</f>
        <v>19.208683894100904</v>
      </c>
      <c r="N8">
        <f>IF(ISBLANK(BLcorrectedCurrent!N8),"",BLcorrectedCurrent!N8/BLcorrectedCurrent!N$3)</f>
        <v>7.6661267775399864</v>
      </c>
      <c r="O8">
        <f>IF(ISBLANK(BLcorrectedCurrent!O8),"",BLcorrectedCurrent!O8/BLcorrectedCurrent!O$3)</f>
        <v>4.2315642822033706</v>
      </c>
      <c r="P8">
        <f>IF(ISBLANK(BLcorrectedCurrent!P8),"",BLcorrectedCurrent!P8/BLcorrectedCurrent!P$3)</f>
        <v>8.5704387690803721</v>
      </c>
      <c r="Q8">
        <f>IF(ISBLANK(BLcorrectedCurrent!Q8),"",BLcorrectedCurrent!Q8/BLcorrectedCurrent!Q$3)</f>
        <v>8.8193486095501523</v>
      </c>
      <c r="R8">
        <f>IF(ISBLANK(BLcorrectedCurrent!R8),"",BLcorrectedCurrent!R8/BLcorrectedCurrent!R$3)</f>
        <v>8.5299458242958419</v>
      </c>
      <c r="S8">
        <f>IF(ISBLANK(BLcorrectedCurrent!S8),"",BLcorrectedCurrent!S8/BLcorrectedCurrent!S$3)</f>
        <v>-0.1329226540368644</v>
      </c>
      <c r="T8">
        <f>IF(ISBLANK(BLcorrectedCurrent!T8),"",BLcorrectedCurrent!T8/BLcorrectedCurrent!T$3)</f>
        <v>6.771371503586022</v>
      </c>
      <c r="U8">
        <f>IF(ISBLANK(BLcorrectedCurrent!U8),"",BLcorrectedCurrent!U8/BLcorrectedCurrent!U$3)</f>
        <v>8.6656436007619764</v>
      </c>
      <c r="V8">
        <f>IF(ISBLANK(BLcorrectedCurrent!V8),"",BLcorrectedCurrent!V8/BLcorrectedCurrent!V$3)</f>
        <v>11.478749062158057</v>
      </c>
      <c r="W8">
        <f>IF(ISBLANK(BLcorrectedCurrent!W8),"",BLcorrectedCurrent!W8/BLcorrectedCurrent!W$3)</f>
        <v>-2.9225612647618</v>
      </c>
      <c r="X8">
        <f>IF(ISBLANK(BLcorrectedCurrent!X8),"",BLcorrectedCurrent!X8/BLcorrectedCurrent!X$3)</f>
        <v>0.3689096712285333</v>
      </c>
      <c r="Y8">
        <f>IF(ISBLANK(BLcorrectedCurrent!Y8),"",BLcorrectedCurrent!Y8/BLcorrectedCurrent!Y$3)</f>
        <v>2.8689223191338864</v>
      </c>
      <c r="Z8">
        <f>IF(ISBLANK(BLcorrectedCurrent!Z8),"",BLcorrectedCurrent!Z8/BLcorrectedCurrent!Z$3)</f>
        <v>-5.6580988111770143</v>
      </c>
      <c r="AA8">
        <f>IF(ISBLANK(BLcorrectedCurrent!AA8),"",BLcorrectedCurrent!AA8/BLcorrectedCurrent!AA$3)</f>
        <v>-4.7602877821605363</v>
      </c>
      <c r="AB8">
        <f>IF(ISBLANK(BLcorrectedCurrent!AB8),"",BLcorrectedCurrent!AB8/BLcorrectedCurrent!AB$3)</f>
        <v>2.355226344416534</v>
      </c>
      <c r="AC8">
        <f>IF(ISBLANK(BLcorrectedCurrent!AC8),"",BLcorrectedCurrent!AC8/BLcorrectedCurrent!AC$3)</f>
        <v>14.877535016707746</v>
      </c>
      <c r="AD8">
        <f>IF(ISBLANK(BLcorrectedCurrent!AD8),"",BLcorrectedCurrent!AD8/BLcorrectedCurrent!AD$3)</f>
        <v>9.0084953876678817</v>
      </c>
      <c r="AE8">
        <f>IF(ISBLANK(BLcorrectedCurrent!AE8),"",BLcorrectedCurrent!AE8/BLcorrectedCurrent!AE$3)</f>
        <v>26.436506797704308</v>
      </c>
      <c r="AF8">
        <f>IF(ISBLANK(BLcorrectedCurrent!AF8),"",BLcorrectedCurrent!AF8/BLcorrectedCurrent!AF$3)</f>
        <v>9.2329400780310475</v>
      </c>
      <c r="AG8">
        <f>IF(ISBLANK(BLcorrectedCurrent!AG8),"",BLcorrectedCurrent!AG8/BLcorrectedCurrent!AG$3)</f>
        <v>7.811928377441987</v>
      </c>
      <c r="AH8">
        <f>IF(ISBLANK(BLcorrectedCurrent!AH8),"",BLcorrectedCurrent!AH8/BLcorrectedCurrent!AH$3)</f>
        <v>4.7789064289700036</v>
      </c>
      <c r="AI8">
        <f>IF(ISBLANK(BLcorrectedCurrent!AI8),"",BLcorrectedCurrent!AI8/BLcorrectedCurrent!AI$3)</f>
        <v>-1.4272577567915137</v>
      </c>
      <c r="AJ8">
        <f>IF(ISBLANK(BLcorrectedCurrent!AJ8),"",BLcorrectedCurrent!AJ8/BLcorrectedCurrent!AJ$3)</f>
        <v>1.0383038653825014</v>
      </c>
      <c r="AK8">
        <f>IF(ISBLANK(BLcorrectedCurrent!AK8),"",BLcorrectedCurrent!AK8/BLcorrectedCurrent!AK$3)</f>
        <v>4.8008818939869808</v>
      </c>
      <c r="AL8">
        <f>IF(ISBLANK(BLcorrectedCurrent!AL8),"",BLcorrectedCurrent!AL8/BLcorrectedCurrent!AL$3)</f>
        <v>4.3301206739199163</v>
      </c>
      <c r="AM8">
        <f>IF(ISBLANK(BLcorrectedCurrent!AM8),"",BLcorrectedCurrent!AM8/BLcorrectedCurrent!AM$3)</f>
        <v>-3.2574976719048667</v>
      </c>
      <c r="AN8">
        <f>IF(ISBLANK(BLcorrectedCurrent!AN8),"",BLcorrectedCurrent!AN8/BLcorrectedCurrent!AN$3)</f>
        <v>15.363270828953427</v>
      </c>
      <c r="AO8">
        <f>IF(ISBLANK(BLcorrectedCurrent!AO8),"",BLcorrectedCurrent!AO8/BLcorrectedCurrent!AO$3)</f>
        <v>7.3866233109828414</v>
      </c>
      <c r="AP8">
        <f>IF(ISBLANK(BLcorrectedCurrent!AP8),"",BLcorrectedCurrent!AP8/BLcorrectedCurrent!AP$3)</f>
        <v>4.7110709894673723</v>
      </c>
      <c r="AQ8">
        <f>IF(ISBLANK(BLcorrectedCurrent!AQ8),"",BLcorrectedCurrent!AQ8/BLcorrectedCurrent!AQ$3)</f>
        <v>3.6343230645480289</v>
      </c>
      <c r="AR8">
        <f>IF(ISBLANK(BLcorrectedCurrent!AR8),"",BLcorrectedCurrent!AR8/BLcorrectedCurrent!AR$3)</f>
        <v>5.3534302902406194</v>
      </c>
      <c r="AS8">
        <f>IF(ISBLANK(BLcorrectedCurrent!AS8),"",BLcorrectedCurrent!AS8/BLcorrectedCurrent!AS$3)</f>
        <v>2.3290569172410671</v>
      </c>
      <c r="AT8">
        <f>IF(ISBLANK(BLcorrectedCurrent!AT8),"",BLcorrectedCurrent!AT8/BLcorrectedCurrent!AT$3)</f>
        <v>1.5067851300001096</v>
      </c>
      <c r="AU8">
        <f>IF(ISBLANK(BLcorrectedCurrent!AU8),"",BLcorrectedCurrent!AU8/BLcorrectedCurrent!AU$3)</f>
        <v>6.6953226775562493</v>
      </c>
      <c r="AV8">
        <f>IF(ISBLANK(BLcorrectedCurrent!AV8),"",BLcorrectedCurrent!AV8/BLcorrectedCurrent!AV$3)</f>
        <v>2.7468166174312776</v>
      </c>
      <c r="AW8">
        <f>IF(ISBLANK(BLcorrectedCurrent!AW8),"",BLcorrectedCurrent!AW8/BLcorrectedCurrent!AW$3)</f>
        <v>26.984387904096742</v>
      </c>
      <c r="AX8">
        <f>IF(ISBLANK(BLcorrectedCurrent!AX8),"",BLcorrectedCurrent!AX8/BLcorrectedCurrent!AX$3)</f>
        <v>8.8093869792157093</v>
      </c>
      <c r="AY8">
        <f>IF(ISBLANK(BLcorrectedCurrent!AY8),"",BLcorrectedCurrent!AY8/BLcorrectedCurrent!AY$3)</f>
        <v>2.7378953229498086</v>
      </c>
      <c r="AZ8">
        <f>IF(ISBLANK(BLcorrectedCurrent!AZ8),"",BLcorrectedCurrent!AZ8/BLcorrectedCurrent!AZ$3)</f>
        <v>13.505128680593838</v>
      </c>
      <c r="BA8">
        <f>IF(ISBLANK(BLcorrectedCurrent!BA8),"",BLcorrectedCurrent!BA8/BLcorrectedCurrent!BA$3)</f>
        <v>-0.14733574921384343</v>
      </c>
      <c r="BB8" t="str">
        <f>IF(ISBLANK(BLcorrectedCurrent!BB8),"",BLcorrectedCurrent!BB8/BLcorrectedCurrent!BB$3)</f>
        <v/>
      </c>
      <c r="BC8">
        <f>IF(ISBLANK(BLcorrectedCurrent!BC8),"",BLcorrectedCurrent!BC8/BLcorrectedCurrent!BC$3)</f>
        <v>-0.16128614042396014</v>
      </c>
      <c r="BD8">
        <f>IF(ISBLANK(BLcorrectedCurrent!BD8),"",BLcorrectedCurrent!BD8/BLcorrectedCurrent!BD$3)</f>
        <v>-2.0883003838301635</v>
      </c>
      <c r="BE8">
        <f>IF(ISBLANK(BLcorrectedCurrent!BE8),"",BLcorrectedCurrent!BE8/BLcorrectedCurrent!BE$3)</f>
        <v>0.80026650548905209</v>
      </c>
      <c r="BF8">
        <f>IF(ISBLANK(BLcorrectedCurrent!BF8),"",BLcorrectedCurrent!BF8/BLcorrectedCurrent!BF$3)</f>
        <v>6.1065314338653227</v>
      </c>
      <c r="BG8">
        <f>IF(ISBLANK(BLcorrectedCurrent!BG8),"",BLcorrectedCurrent!BG8/BLcorrectedCurrent!BG$3)</f>
        <v>-1.353448578097322</v>
      </c>
      <c r="BH8">
        <f>IF(ISBLANK(BLcorrectedCurrent!BH8),"",BLcorrectedCurrent!BH8/BLcorrectedCurrent!BH$3)</f>
        <v>3.9084846005373999E-2</v>
      </c>
      <c r="BI8">
        <f>IF(ISBLANK(BLcorrectedCurrent!BI8),"",BLcorrectedCurrent!BI8/BLcorrectedCurrent!BI$3)</f>
        <v>2.9015832696633512</v>
      </c>
      <c r="BJ8">
        <f>IF(ISBLANK(BLcorrectedCurrent!BJ8),"",BLcorrectedCurrent!BJ8/BLcorrectedCurrent!BJ$3)</f>
        <v>-0.19206344968224032</v>
      </c>
      <c r="BK8">
        <f>IF(ISBLANK(BLcorrectedCurrent!BK8),"",BLcorrectedCurrent!BK8/BLcorrectedCurrent!BK$3)</f>
        <v>-0.43049389793958937</v>
      </c>
      <c r="BL8">
        <f>IF(ISBLANK(BLcorrectedCurrent!BL8),"",BLcorrectedCurrent!BL8/BLcorrectedCurrent!BL$3)</f>
        <v>1.3083426198363848</v>
      </c>
      <c r="BM8">
        <f>IF(ISBLANK(BLcorrectedCurrent!BM8),"",BLcorrectedCurrent!BM8/BLcorrectedCurrent!BM$3)</f>
        <v>2.6572943970354879</v>
      </c>
      <c r="BN8">
        <f>IF(ISBLANK(BLcorrectedCurrent!BN8),"",BLcorrectedCurrent!BN8/BLcorrectedCurrent!BN$3)</f>
        <v>13.732009596615601</v>
      </c>
      <c r="BO8">
        <f>IF(ISBLANK(BLcorrectedCurrent!BO8),"",BLcorrectedCurrent!BO8/BLcorrectedCurrent!BO$3)</f>
        <v>1.7354302446142529</v>
      </c>
      <c r="BP8">
        <f>IF(ISBLANK(BLcorrectedCurrent!BP8),"",BLcorrectedCurrent!BP8/BLcorrectedCurrent!BP$3)</f>
        <v>9.5851903484244065</v>
      </c>
      <c r="BQ8">
        <f>IF(ISBLANK(BLcorrectedCurrent!BQ8),"",BLcorrectedCurrent!BQ8/BLcorrectedCurrent!BQ$3)</f>
        <v>16.845910809975713</v>
      </c>
      <c r="BR8">
        <f>IF(ISBLANK(BLcorrectedCurrent!BR8),"",BLcorrectedCurrent!BR8/BLcorrectedCurrent!BR$3)</f>
        <v>-4.5854791106463884</v>
      </c>
      <c r="BS8">
        <f>IF(ISBLANK(BLcorrectedCurrent!BS8),"",BLcorrectedCurrent!BS8/BLcorrectedCurrent!BS$3)</f>
        <v>-3.2002985850655383</v>
      </c>
      <c r="BT8">
        <f>IF(ISBLANK(BLcorrectedCurrent!BT8),"",BLcorrectedCurrent!BT8/BLcorrectedCurrent!BT$3)</f>
        <v>3.6068244002744674</v>
      </c>
      <c r="BU8">
        <f>IF(ISBLANK(BLcorrectedCurrent!BU8),"",BLcorrectedCurrent!BU8/BLcorrectedCurrent!BU$3)</f>
        <v>-8.1259214491419769</v>
      </c>
      <c r="BV8">
        <f>IF(ISBLANK(BLcorrectedCurrent!BV8),"",BLcorrectedCurrent!BV8/BLcorrectedCurrent!BV$3)</f>
        <v>0.1463309079932158</v>
      </c>
      <c r="BW8">
        <f>IF(ISBLANK(BLcorrectedCurrent!BW8),"",BLcorrectedCurrent!BW8/BLcorrectedCurrent!BW$3)</f>
        <v>4.9101243454396375</v>
      </c>
      <c r="BX8">
        <f>IF(ISBLANK(BLcorrectedCurrent!BX8),"",BLcorrectedCurrent!BX8/BLcorrectedCurrent!BX$3)</f>
        <v>-1.8850158175390739E-2</v>
      </c>
      <c r="BY8">
        <f>IF(ISBLANK(BLcorrectedCurrent!BY8),"",BLcorrectedCurrent!BY8/BLcorrectedCurrent!BY$3)</f>
        <v>-1.8390623170154978</v>
      </c>
      <c r="BZ8">
        <f>IF(ISBLANK(BLcorrectedCurrent!BZ8),"",BLcorrectedCurrent!BZ8/BLcorrectedCurrent!BZ$3)</f>
        <v>4.1360997826924599</v>
      </c>
      <c r="CA8">
        <f>IF(ISBLANK(BLcorrectedCurrent!CA8),"",BLcorrectedCurrent!CA8/BLcorrectedCurrent!CA$3)</f>
        <v>3.8371434292765003</v>
      </c>
      <c r="CB8">
        <f>IF(ISBLANK(BLcorrectedCurrent!CB8),"",BLcorrectedCurrent!CB8/BLcorrectedCurrent!CB$3)</f>
        <v>-0.12353246194937698</v>
      </c>
      <c r="CC8">
        <f>IF(ISBLANK(BLcorrectedCurrent!CC8),"",BLcorrectedCurrent!CC8/BLcorrectedCurrent!CC$3)</f>
        <v>7.2692792183683519</v>
      </c>
      <c r="CD8">
        <f>IF(ISBLANK(BLcorrectedCurrent!CD8),"",BLcorrectedCurrent!CD8/BLcorrectedCurrent!CD$3)</f>
        <v>2.1858728414364905</v>
      </c>
    </row>
    <row r="9" spans="1:82" x14ac:dyDescent="0.2">
      <c r="A9" s="3">
        <f t="shared" ref="A9:A28" si="0">A8+10</f>
        <v>-60</v>
      </c>
      <c r="B9">
        <f>IF(ISBLANK(BLcorrectedCurrent!B9),"",BLcorrectedCurrent!B9/BLcorrectedCurrent!B$3)</f>
        <v>0.68343580026620465</v>
      </c>
      <c r="C9">
        <f>IF(ISBLANK(BLcorrectedCurrent!C9),"",BLcorrectedCurrent!C9/BLcorrectedCurrent!C$3)</f>
        <v>15.302919419671522</v>
      </c>
      <c r="D9">
        <f>IF(ISBLANK(BLcorrectedCurrent!D9),"",BLcorrectedCurrent!D9/BLcorrectedCurrent!D$3)</f>
        <v>20.601880481371602</v>
      </c>
      <c r="E9">
        <f>IF(ISBLANK(BLcorrectedCurrent!E9),"",BLcorrectedCurrent!E9/BLcorrectedCurrent!E$3)</f>
        <v>1.2963075747433381</v>
      </c>
      <c r="F9">
        <f>IF(ISBLANK(BLcorrectedCurrent!F9),"",BLcorrectedCurrent!F9/BLcorrectedCurrent!F$3)</f>
        <v>-1.7153982789008628</v>
      </c>
      <c r="G9">
        <f>IF(ISBLANK(BLcorrectedCurrent!G9),"",BLcorrectedCurrent!G9/BLcorrectedCurrent!G$3)</f>
        <v>5.8669195121662492</v>
      </c>
      <c r="H9">
        <f>IF(ISBLANK(BLcorrectedCurrent!H9),"",BLcorrectedCurrent!H9/BLcorrectedCurrent!H$3)</f>
        <v>6.094154399527465</v>
      </c>
      <c r="I9">
        <f>IF(ISBLANK(BLcorrectedCurrent!I9),"",BLcorrectedCurrent!I9/BLcorrectedCurrent!I$3)</f>
        <v>20.365680599887497</v>
      </c>
      <c r="J9">
        <f>IF(ISBLANK(BLcorrectedCurrent!J9),"",BLcorrectedCurrent!J9/BLcorrectedCurrent!J$3)</f>
        <v>-0.97949358928068009</v>
      </c>
      <c r="K9">
        <f>IF(ISBLANK(BLcorrectedCurrent!K9),"",BLcorrectedCurrent!K9/BLcorrectedCurrent!K$3)</f>
        <v>6.2622975935535514</v>
      </c>
      <c r="L9">
        <f>IF(ISBLANK(BLcorrectedCurrent!L9),"",BLcorrectedCurrent!L9/BLcorrectedCurrent!L$3)</f>
        <v>3.4561553478713942</v>
      </c>
      <c r="M9">
        <f>IF(ISBLANK(BLcorrectedCurrent!M9),"",BLcorrectedCurrent!M9/BLcorrectedCurrent!M$3)</f>
        <v>-0.57194855859415583</v>
      </c>
      <c r="N9">
        <f>IF(ISBLANK(BLcorrectedCurrent!N9),"",BLcorrectedCurrent!N9/BLcorrectedCurrent!N$3)</f>
        <v>8.6639002172091679</v>
      </c>
      <c r="O9">
        <f>IF(ISBLANK(BLcorrectedCurrent!O9),"",BLcorrectedCurrent!O9/BLcorrectedCurrent!O$3)</f>
        <v>3.3714870634647114</v>
      </c>
      <c r="P9">
        <f>IF(ISBLANK(BLcorrectedCurrent!P9),"",BLcorrectedCurrent!P9/BLcorrectedCurrent!P$3)</f>
        <v>-1.9411653638165376</v>
      </c>
      <c r="Q9">
        <f>IF(ISBLANK(BLcorrectedCurrent!Q9),"",BLcorrectedCurrent!Q9/BLcorrectedCurrent!Q$3)</f>
        <v>10.656307232433491</v>
      </c>
      <c r="R9">
        <f>IF(ISBLANK(BLcorrectedCurrent!R9),"",BLcorrectedCurrent!R9/BLcorrectedCurrent!R$3)</f>
        <v>7.3642444805103784</v>
      </c>
      <c r="S9">
        <f>IF(ISBLANK(BLcorrectedCurrent!S9),"",BLcorrectedCurrent!S9/BLcorrectedCurrent!S$3)</f>
        <v>0.54510704126125831</v>
      </c>
      <c r="T9">
        <f>IF(ISBLANK(BLcorrectedCurrent!T9),"",BLcorrectedCurrent!T9/BLcorrectedCurrent!T$3)</f>
        <v>6.2700076953957513</v>
      </c>
      <c r="U9">
        <f>IF(ISBLANK(BLcorrectedCurrent!U9),"",BLcorrectedCurrent!U9/BLcorrectedCurrent!U$3)</f>
        <v>9.4175175632117565</v>
      </c>
      <c r="V9">
        <f>IF(ISBLANK(BLcorrectedCurrent!V9),"",BLcorrectedCurrent!V9/BLcorrectedCurrent!V$3)</f>
        <v>10.203244825904383</v>
      </c>
      <c r="W9">
        <f>IF(ISBLANK(BLcorrectedCurrent!W9),"",BLcorrectedCurrent!W9/BLcorrectedCurrent!W$3)</f>
        <v>-3.2993488101514021</v>
      </c>
      <c r="X9">
        <f>IF(ISBLANK(BLcorrectedCurrent!X9),"",BLcorrectedCurrent!X9/BLcorrectedCurrent!X$3)</f>
        <v>-0.19277032495535579</v>
      </c>
      <c r="Y9">
        <f>IF(ISBLANK(BLcorrectedCurrent!Y9),"",BLcorrectedCurrent!Y9/BLcorrectedCurrent!Y$3)</f>
        <v>-6.2017530809450019</v>
      </c>
      <c r="Z9">
        <f>IF(ISBLANK(BLcorrectedCurrent!Z9),"",BLcorrectedCurrent!Z9/BLcorrectedCurrent!Z$3)</f>
        <v>-5.1657042272685603</v>
      </c>
      <c r="AA9">
        <f>IF(ISBLANK(BLcorrectedCurrent!AA9),"",BLcorrectedCurrent!AA9/BLcorrectedCurrent!AA$3)</f>
        <v>-5.7015880098895089</v>
      </c>
      <c r="AB9">
        <f>IF(ISBLANK(BLcorrectedCurrent!AB9),"",BLcorrectedCurrent!AB9/BLcorrectedCurrent!AB$3)</f>
        <v>-2.2584198597358069</v>
      </c>
      <c r="AC9">
        <f>IF(ISBLANK(BLcorrectedCurrent!AC9),"",BLcorrectedCurrent!AC9/BLcorrectedCurrent!AC$3)</f>
        <v>17.336168071083485</v>
      </c>
      <c r="AD9">
        <f>IF(ISBLANK(BLcorrectedCurrent!AD9),"",BLcorrectedCurrent!AD9/BLcorrectedCurrent!AD$3)</f>
        <v>8.419908164075931</v>
      </c>
      <c r="AE9">
        <f>IF(ISBLANK(BLcorrectedCurrent!AE9),"",BLcorrectedCurrent!AE9/BLcorrectedCurrent!AE$3)</f>
        <v>-2.4006414585152531</v>
      </c>
      <c r="AF9">
        <f>IF(ISBLANK(BLcorrectedCurrent!AF9),"",BLcorrectedCurrent!AF9/BLcorrectedCurrent!AF$3)</f>
        <v>-7.9700431659214201</v>
      </c>
      <c r="AG9">
        <f>IF(ISBLANK(BLcorrectedCurrent!AG9),"",BLcorrectedCurrent!AG9/BLcorrectedCurrent!AG$3)</f>
        <v>10.278272894467522</v>
      </c>
      <c r="AH9">
        <f>IF(ISBLANK(BLcorrectedCurrent!AH9),"",BLcorrectedCurrent!AH9/BLcorrectedCurrent!AH$3)</f>
        <v>-4.7789064289700027</v>
      </c>
      <c r="AI9">
        <f>IF(ISBLANK(BLcorrectedCurrent!AI9),"",BLcorrectedCurrent!AI9/BLcorrectedCurrent!AI$3)</f>
        <v>-0.43340439501051337</v>
      </c>
      <c r="AJ9">
        <f>IF(ISBLANK(BLcorrectedCurrent!AJ9),"",BLcorrectedCurrent!AJ9/BLcorrectedCurrent!AJ$3)</f>
        <v>-1.1500410177255465</v>
      </c>
      <c r="AK9">
        <f>IF(ISBLANK(BLcorrectedCurrent!AK9),"",BLcorrectedCurrent!AK9/BLcorrectedCurrent!AK$3)</f>
        <v>-1.5867538746127927E-2</v>
      </c>
      <c r="AL9">
        <f>IF(ISBLANK(BLcorrectedCurrent!AL9),"",BLcorrectedCurrent!AL9/BLcorrectedCurrent!AL$3)</f>
        <v>4.532185373764019</v>
      </c>
      <c r="AM9">
        <f>IF(ISBLANK(BLcorrectedCurrent!AM9),"",BLcorrectedCurrent!AM9/BLcorrectedCurrent!AM$3)</f>
        <v>-3.2927025613280283</v>
      </c>
      <c r="AN9">
        <f>IF(ISBLANK(BLcorrectedCurrent!AN9),"",BLcorrectedCurrent!AN9/BLcorrectedCurrent!AN$3)</f>
        <v>15.602016384486024</v>
      </c>
      <c r="AO9">
        <f>IF(ISBLANK(BLcorrectedCurrent!AO9),"",BLcorrectedCurrent!AO9/BLcorrectedCurrent!AO$3)</f>
        <v>7.5724818208002347</v>
      </c>
      <c r="AP9">
        <f>IF(ISBLANK(BLcorrectedCurrent!AP9),"",BLcorrectedCurrent!AP9/BLcorrectedCurrent!AP$3)</f>
        <v>5.5245804016960509</v>
      </c>
      <c r="AQ9">
        <f>IF(ISBLANK(BLcorrectedCurrent!AQ9),"",BLcorrectedCurrent!AQ9/BLcorrectedCurrent!AQ$3)</f>
        <v>-3.5137339024717491</v>
      </c>
      <c r="AR9">
        <f>IF(ISBLANK(BLcorrectedCurrent!AR9),"",BLcorrectedCurrent!AR9/BLcorrectedCurrent!AR$3)</f>
        <v>0.29450718657210789</v>
      </c>
      <c r="AS9">
        <f>IF(ISBLANK(BLcorrectedCurrent!AS9),"",BLcorrectedCurrent!AS9/BLcorrectedCurrent!AS$3)</f>
        <v>2.046341552065833</v>
      </c>
      <c r="AT9">
        <f>IF(ISBLANK(BLcorrectedCurrent!AT9),"",BLcorrectedCurrent!AT9/BLcorrectedCurrent!AT$3)</f>
        <v>1.5645261797305385</v>
      </c>
      <c r="AU9">
        <f>IF(ISBLANK(BLcorrectedCurrent!AU9),"",BLcorrectedCurrent!AU9/BLcorrectedCurrent!AU$3)</f>
        <v>7.1527084925079487</v>
      </c>
      <c r="AV9">
        <f>IF(ISBLANK(BLcorrectedCurrent!AV9),"",BLcorrectedCurrent!AV9/BLcorrectedCurrent!AV$3)</f>
        <v>3.7299772854822386</v>
      </c>
      <c r="AW9">
        <f>IF(ISBLANK(BLcorrectedCurrent!AW9),"",BLcorrectedCurrent!AW9/BLcorrectedCurrent!AW$3)</f>
        <v>26.667306158884593</v>
      </c>
      <c r="AX9">
        <f>IF(ISBLANK(BLcorrectedCurrent!AX9),"",BLcorrectedCurrent!AX9/BLcorrectedCurrent!AX$3)</f>
        <v>-6.5781014817300454</v>
      </c>
      <c r="AY9">
        <f>IF(ISBLANK(BLcorrectedCurrent!AY9),"",BLcorrectedCurrent!AY9/BLcorrectedCurrent!AY$3)</f>
        <v>5.592533977063578</v>
      </c>
      <c r="AZ9">
        <f>IF(ISBLANK(BLcorrectedCurrent!AZ9),"",BLcorrectedCurrent!AZ9/BLcorrectedCurrent!AZ$3)</f>
        <v>15.457508607225126</v>
      </c>
      <c r="BA9">
        <f>IF(ISBLANK(BLcorrectedCurrent!BA9),"",BLcorrectedCurrent!BA9/BLcorrectedCurrent!BA$3)</f>
        <v>-0.4623141986753444</v>
      </c>
      <c r="BB9" t="str">
        <f>IF(ISBLANK(BLcorrectedCurrent!BB9),"",BLcorrectedCurrent!BB9/BLcorrectedCurrent!BB$3)</f>
        <v/>
      </c>
      <c r="BD9">
        <f>IF(ISBLANK(BLcorrectedCurrent!BD9),"",BLcorrectedCurrent!BD9/BLcorrectedCurrent!BD$3)</f>
        <v>-3.0950344318256366</v>
      </c>
      <c r="BE9">
        <f>IF(ISBLANK(BLcorrectedCurrent!BE9),"",BLcorrectedCurrent!BE9/BLcorrectedCurrent!BE$3)</f>
        <v>0</v>
      </c>
      <c r="BF9">
        <f>IF(ISBLANK(BLcorrectedCurrent!BF9),"",BLcorrectedCurrent!BF9/BLcorrectedCurrent!BF$3)</f>
        <v>6.1532919108652742</v>
      </c>
      <c r="BG9">
        <f>IF(ISBLANK(BLcorrectedCurrent!BG9),"",BLcorrectedCurrent!BG9/BLcorrectedCurrent!BG$3)</f>
        <v>0.92782949317910968</v>
      </c>
      <c r="BH9">
        <f>IF(ISBLANK(BLcorrectedCurrent!BH9),"",BLcorrectedCurrent!BH9/BLcorrectedCurrent!BH$3)</f>
        <v>-3.9084846005373645E-2</v>
      </c>
      <c r="BI9">
        <f>IF(ISBLANK(BLcorrectedCurrent!BI9),"",BLcorrectedCurrent!BI9/BLcorrectedCurrent!BI$3)</f>
        <v>3.2825281130405668</v>
      </c>
      <c r="BJ9">
        <f>IF(ISBLANK(BLcorrectedCurrent!BJ9),"",BLcorrectedCurrent!BJ9/BLcorrectedCurrent!BJ$3)</f>
        <v>0.51897995977967926</v>
      </c>
      <c r="BK9">
        <f>IF(ISBLANK(BLcorrectedCurrent!BK9),"",BLcorrectedCurrent!BK9/BLcorrectedCurrent!BK$3)</f>
        <v>0.43049389793958937</v>
      </c>
      <c r="BL9">
        <f>IF(ISBLANK(BLcorrectedCurrent!BL9),"",BLcorrectedCurrent!BL9/BLcorrectedCurrent!BL$3)</f>
        <v>1.4575018729906306</v>
      </c>
      <c r="BM9">
        <f>IF(ISBLANK(BLcorrectedCurrent!BM9),"",BLcorrectedCurrent!BM9/BLcorrectedCurrent!BM$3)</f>
        <v>-3.9265820252278338</v>
      </c>
      <c r="BN9">
        <f>IF(ISBLANK(BLcorrectedCurrent!BN9),"",BLcorrectedCurrent!BN9/BLcorrectedCurrent!BN$3)</f>
        <v>-0.20616719365208036</v>
      </c>
      <c r="BO9">
        <f>IF(ISBLANK(BLcorrectedCurrent!BO9),"",BLcorrectedCurrent!BO9/BLcorrectedCurrent!BO$3)</f>
        <v>11.893339666325957</v>
      </c>
      <c r="BP9">
        <f>IF(ISBLANK(BLcorrectedCurrent!BP9),"",BLcorrectedCurrent!BP9/BLcorrectedCurrent!BP$3)</f>
        <v>11.261571017919611</v>
      </c>
      <c r="BQ9">
        <f>IF(ISBLANK(BLcorrectedCurrent!BQ9),"",BLcorrectedCurrent!BQ9/BLcorrectedCurrent!BQ$3)</f>
        <v>5.7462815315406601</v>
      </c>
      <c r="BR9">
        <f>IF(ISBLANK(BLcorrectedCurrent!BR9),"",BLcorrectedCurrent!BR9/BLcorrectedCurrent!BR$3)</f>
        <v>-2.2422051010828312</v>
      </c>
      <c r="BS9">
        <f>IF(ISBLANK(BLcorrectedCurrent!BS9),"",BLcorrectedCurrent!BS9/BLcorrectedCurrent!BS$3)</f>
        <v>2.0012912177616093</v>
      </c>
      <c r="BT9">
        <f>IF(ISBLANK(BLcorrectedCurrent!BT9),"",BLcorrectedCurrent!BT9/BLcorrectedCurrent!BT$3)</f>
        <v>4.4958846835069135</v>
      </c>
      <c r="BU9">
        <f>IF(ISBLANK(BLcorrectedCurrent!BU9),"",BLcorrectedCurrent!BU9/BLcorrectedCurrent!BU$3)</f>
        <v>2.4386666138305153</v>
      </c>
      <c r="BV9">
        <f>IF(ISBLANK(BLcorrectedCurrent!BV9),"",BLcorrectedCurrent!BV9/BLcorrectedCurrent!BV$3)</f>
        <v>-0.14176386978573746</v>
      </c>
      <c r="BW9">
        <f>IF(ISBLANK(BLcorrectedCurrent!BW9),"",BLcorrectedCurrent!BW9/BLcorrectedCurrent!BW$3)</f>
        <v>4.9054189062210369</v>
      </c>
      <c r="BX9">
        <f>IF(ISBLANK(BLcorrectedCurrent!BX9),"",BLcorrectedCurrent!BX9/BLcorrectedCurrent!BX$3)</f>
        <v>-6.7975281476842092E-2</v>
      </c>
      <c r="BY9">
        <f>IF(ISBLANK(BLcorrectedCurrent!BY9),"",BLcorrectedCurrent!BY9/BLcorrectedCurrent!BY$3)</f>
        <v>19.216472163834133</v>
      </c>
      <c r="BZ9">
        <f>IF(ISBLANK(BLcorrectedCurrent!BZ9),"",BLcorrectedCurrent!BZ9/BLcorrectedCurrent!BZ$3)</f>
        <v>-0.42062133657576511</v>
      </c>
      <c r="CA9">
        <f>IF(ISBLANK(BLcorrectedCurrent!CA9),"",BLcorrectedCurrent!CA9/BLcorrectedCurrent!CA$3)</f>
        <v>5.6044623094374044</v>
      </c>
      <c r="CB9">
        <f>IF(ISBLANK(BLcorrectedCurrent!CB9),"",BLcorrectedCurrent!CB9/BLcorrectedCurrent!CB$3)</f>
        <v>0.67799993531144354</v>
      </c>
      <c r="CC9">
        <f>IF(ISBLANK(BLcorrectedCurrent!CC9),"",BLcorrectedCurrent!CC9/BLcorrectedCurrent!CC$3)</f>
        <v>2.7754922417572945</v>
      </c>
      <c r="CD9">
        <f>IF(ISBLANK(BLcorrectedCurrent!CD9),"",BLcorrectedCurrent!CD9/BLcorrectedCurrent!CD$3)</f>
        <v>6.2145224349690444</v>
      </c>
    </row>
    <row r="10" spans="1:82" x14ac:dyDescent="0.2">
      <c r="A10" s="3">
        <f t="shared" si="0"/>
        <v>-50</v>
      </c>
      <c r="B10">
        <f>IF(ISBLANK(BLcorrectedCurrent!B10),"",BLcorrectedCurrent!B10/BLcorrectedCurrent!B$3)</f>
        <v>-9.3097070799977661</v>
      </c>
      <c r="C10">
        <f>IF(ISBLANK(BLcorrectedCurrent!C10),"",BLcorrectedCurrent!C10/BLcorrectedCurrent!C$3)</f>
        <v>-16.477721095327869</v>
      </c>
      <c r="D10">
        <f>IF(ISBLANK(BLcorrectedCurrent!D10),"",BLcorrectedCurrent!D10/BLcorrectedCurrent!D$3)</f>
        <v>20.800373901292279</v>
      </c>
      <c r="E10">
        <f>IF(ISBLANK(BLcorrectedCurrent!E10),"",BLcorrectedCurrent!E10/BLcorrectedCurrent!E$3)</f>
        <v>20.451271788797659</v>
      </c>
      <c r="F10">
        <f>IF(ISBLANK(BLcorrectedCurrent!F10),"",BLcorrectedCurrent!F10/BLcorrectedCurrent!F$3)</f>
        <v>69.83143431304407</v>
      </c>
      <c r="G10">
        <f>IF(ISBLANK(BLcorrectedCurrent!G10),"",BLcorrectedCurrent!G10/BLcorrectedCurrent!G$3)</f>
        <v>5.869624287528036</v>
      </c>
      <c r="H10">
        <f>IF(ISBLANK(BLcorrectedCurrent!H10),"",BLcorrectedCurrent!H10/BLcorrectedCurrent!H$3)</f>
        <v>-0.3846556628679727</v>
      </c>
      <c r="I10">
        <f>IF(ISBLANK(BLcorrectedCurrent!I10),"",BLcorrectedCurrent!I10/BLcorrectedCurrent!I$3)</f>
        <v>22.930835238239922</v>
      </c>
      <c r="J10">
        <f>IF(ISBLANK(BLcorrectedCurrent!J10),"",BLcorrectedCurrent!J10/BLcorrectedCurrent!J$3)</f>
        <v>0.97949358928068009</v>
      </c>
      <c r="K10">
        <f>IF(ISBLANK(BLcorrectedCurrent!K10),"",BLcorrectedCurrent!K10/BLcorrectedCurrent!K$3)</f>
        <v>-0.66645815185261426</v>
      </c>
      <c r="L10">
        <f>IF(ISBLANK(BLcorrectedCurrent!L10),"",BLcorrectedCurrent!L10/BLcorrectedCurrent!L$3)</f>
        <v>3.6088965247180687</v>
      </c>
      <c r="M10">
        <f>IF(ISBLANK(BLcorrectedCurrent!M10),"",BLcorrectedCurrent!M10/BLcorrectedCurrent!M$3)</f>
        <v>0.29968135277921432</v>
      </c>
      <c r="N10">
        <f>IF(ISBLANK(BLcorrectedCurrent!N10),"",BLcorrectedCurrent!N10/BLcorrectedCurrent!N$3)</f>
        <v>-2.8597161226318417</v>
      </c>
      <c r="O10">
        <f>IF(ISBLANK(BLcorrectedCurrent!O10),"",BLcorrectedCurrent!O10/BLcorrectedCurrent!O$3)</f>
        <v>-3.3714870634647114</v>
      </c>
      <c r="P10">
        <f>IF(ISBLANK(BLcorrectedCurrent!P10),"",BLcorrectedCurrent!P10/BLcorrectedCurrent!P$3)</f>
        <v>8.7776449575112938</v>
      </c>
      <c r="Q10">
        <f>IF(ISBLANK(BLcorrectedCurrent!Q10),"",BLcorrectedCurrent!Q10/BLcorrectedCurrent!Q$3)</f>
        <v>10.75219676830246</v>
      </c>
      <c r="R10">
        <f>IF(ISBLANK(BLcorrectedCurrent!R10),"",BLcorrectedCurrent!R10/BLcorrectedCurrent!R$3)</f>
        <v>8.0568732763424276</v>
      </c>
      <c r="S10">
        <f>IF(ISBLANK(BLcorrectedCurrent!S10),"",BLcorrectedCurrent!S10/BLcorrectedCurrent!S$3)</f>
        <v>9.5487614015237657E-2</v>
      </c>
      <c r="T10">
        <f>IF(ISBLANK(BLcorrectedCurrent!T10),"",BLcorrectedCurrent!T10/BLcorrectedCurrent!T$3)</f>
        <v>-3.8354228304307916E-2</v>
      </c>
      <c r="U10">
        <f>IF(ISBLANK(BLcorrectedCurrent!U10),"",BLcorrectedCurrent!U10/BLcorrectedCurrent!U$3)</f>
        <v>-1.248873917862136</v>
      </c>
      <c r="V10">
        <f>IF(ISBLANK(BLcorrectedCurrent!V10),"",BLcorrectedCurrent!V10/BLcorrectedCurrent!V$3)</f>
        <v>12.151909143983524</v>
      </c>
      <c r="W10">
        <f>IF(ISBLANK(BLcorrectedCurrent!W10),"",BLcorrectedCurrent!W10/BLcorrectedCurrent!W$3)</f>
        <v>3.1185515929803378</v>
      </c>
      <c r="X10">
        <f>IF(ISBLANK(BLcorrectedCurrent!X10),"",BLcorrectedCurrent!X10/BLcorrectedCurrent!X$3)</f>
        <v>-1.8666927129833686</v>
      </c>
      <c r="Y10">
        <f>IF(ISBLANK(BLcorrectedCurrent!Y10),"",BLcorrectedCurrent!Y10/BLcorrectedCurrent!Y$3)</f>
        <v>-2.8689223191338855</v>
      </c>
      <c r="Z10">
        <f>IF(ISBLANK(BLcorrectedCurrent!Z10),"",BLcorrectedCurrent!Z10/BLcorrectedCurrent!Z$3)</f>
        <v>8.6492700061394086</v>
      </c>
      <c r="AA10">
        <f>IF(ISBLANK(BLcorrectedCurrent!AA10),"",BLcorrectedCurrent!AA10/BLcorrectedCurrent!AA$3)</f>
        <v>8.132140063558893</v>
      </c>
      <c r="AB10">
        <f>IF(ISBLANK(BLcorrectedCurrent!AB10),"",BLcorrectedCurrent!AB10/BLcorrectedCurrent!AB$3)</f>
        <v>2.2584198597358069</v>
      </c>
      <c r="AC10">
        <f>IF(ISBLANK(BLcorrectedCurrent!AC10),"",BLcorrectedCurrent!AC10/BLcorrectedCurrent!AC$3)</f>
        <v>19.143660043637556</v>
      </c>
      <c r="AD10">
        <f>IF(ISBLANK(BLcorrectedCurrent!AD10),"",BLcorrectedCurrent!AD10/BLcorrectedCurrent!AD$3)</f>
        <v>8.8978001267683577</v>
      </c>
      <c r="AE10">
        <f>IF(ISBLANK(BLcorrectedCurrent!AE10),"",BLcorrectedCurrent!AE10/BLcorrectedCurrent!AE$3)</f>
        <v>-6.9336542082405736E-2</v>
      </c>
      <c r="AF10">
        <f>IF(ISBLANK(BLcorrectedCurrent!AF10),"",BLcorrectedCurrent!AF10/BLcorrectedCurrent!AF$3)</f>
        <v>9.8902467008148616</v>
      </c>
      <c r="AG10">
        <f>IF(ISBLANK(BLcorrectedCurrent!AG10),"",BLcorrectedCurrent!AG10/BLcorrectedCurrent!AG$3)</f>
        <v>4.1969682226642172E-2</v>
      </c>
      <c r="AH10">
        <f>IF(ISBLANK(BLcorrectedCurrent!AH10),"",BLcorrectedCurrent!AH10/BLcorrectedCurrent!AH$3)</f>
        <v>7.7401620097286647</v>
      </c>
      <c r="AI10">
        <f>IF(ISBLANK(BLcorrectedCurrent!AI10),"",BLcorrectedCurrent!AI10/BLcorrectedCurrent!AI$3)</f>
        <v>0.5545970147880428</v>
      </c>
      <c r="AJ10">
        <f>IF(ISBLANK(BLcorrectedCurrent!AJ10),"",BLcorrectedCurrent!AJ10/BLcorrectedCurrent!AJ$3)</f>
        <v>13.794432824938294</v>
      </c>
      <c r="AK10">
        <f>IF(ISBLANK(BLcorrectedCurrent!AK10),"",BLcorrectedCurrent!AK10/BLcorrectedCurrent!AK$3)</f>
        <v>1.5867538746127927E-2</v>
      </c>
      <c r="AL10">
        <f>IF(ISBLANK(BLcorrectedCurrent!AL10),"",BLcorrectedCurrent!AL10/BLcorrectedCurrent!AL$3)</f>
        <v>5.3338256410887031</v>
      </c>
      <c r="AM10">
        <f>IF(ISBLANK(BLcorrectedCurrent!AM10),"",BLcorrectedCurrent!AM10/BLcorrectedCurrent!AM$3)</f>
        <v>3.2574976719048667</v>
      </c>
      <c r="AN10">
        <f>IF(ISBLANK(BLcorrectedCurrent!AN10),"",BLcorrectedCurrent!AN10/BLcorrectedCurrent!AN$3)</f>
        <v>14.856071175713195</v>
      </c>
      <c r="AO10">
        <f>IF(ISBLANK(BLcorrectedCurrent!AO10),"",BLcorrectedCurrent!AO10/BLcorrectedCurrent!AO$3)</f>
        <v>8.7856770356168212</v>
      </c>
      <c r="AP10">
        <f>IF(ISBLANK(BLcorrectedCurrent!AP10),"",BLcorrectedCurrent!AP10/BLcorrectedCurrent!AP$3)</f>
        <v>4.9120483019291976</v>
      </c>
      <c r="AQ10">
        <f>IF(ISBLANK(BLcorrectedCurrent!AQ10),"",BLcorrectedCurrent!AQ10/BLcorrectedCurrent!AQ$3)</f>
        <v>-2.8265772386484818</v>
      </c>
      <c r="AR10">
        <f>IF(ISBLANK(BLcorrectedCurrent!AR10),"",BLcorrectedCurrent!AR10/BLcorrectedCurrent!AR$3)</f>
        <v>-0.29450718657210789</v>
      </c>
      <c r="AS10">
        <f>IF(ISBLANK(BLcorrectedCurrent!AS10),"",BLcorrectedCurrent!AS10/BLcorrectedCurrent!AS$3)</f>
        <v>-2.046341552065833</v>
      </c>
      <c r="AT10">
        <f>IF(ISBLANK(BLcorrectedCurrent!AT10),"",BLcorrectedCurrent!AT10/BLcorrectedCurrent!AT$3)</f>
        <v>-1.5067851300001096</v>
      </c>
      <c r="AU10">
        <f>IF(ISBLANK(BLcorrectedCurrent!AU10),"",BLcorrectedCurrent!AU10/BLcorrectedCurrent!AU$3)</f>
        <v>7.9367226295415447</v>
      </c>
      <c r="AV10">
        <f>IF(ISBLANK(BLcorrectedCurrent!AV10),"",BLcorrectedCurrent!AV10/BLcorrectedCurrent!AV$3)</f>
        <v>2.9522443210797977</v>
      </c>
      <c r="AW10">
        <f>IF(ISBLANK(BLcorrectedCurrent!AW10),"",BLcorrectedCurrent!AW10/BLcorrectedCurrent!AW$3)</f>
        <v>26.438058093644731</v>
      </c>
      <c r="AX10">
        <f>IF(ISBLANK(BLcorrectedCurrent!AX10),"",BLcorrectedCurrent!AX10/BLcorrectedCurrent!AX$3)</f>
        <v>9.4337436414917182</v>
      </c>
      <c r="AY10">
        <f>IF(ISBLANK(BLcorrectedCurrent!AY10),"",BLcorrectedCurrent!AY10/BLcorrectedCurrent!AY$3)</f>
        <v>4.5957965205587712</v>
      </c>
      <c r="AZ10">
        <f>IF(ISBLANK(BLcorrectedCurrent!AZ10),"",BLcorrectedCurrent!AZ10/BLcorrectedCurrent!AZ$3)</f>
        <v>17.332558797584607</v>
      </c>
      <c r="BA10">
        <f>IF(ISBLANK(BLcorrectedCurrent!BA10),"",BLcorrectedCurrent!BA10/BLcorrectedCurrent!BA$3)</f>
        <v>0.43736641221616945</v>
      </c>
      <c r="BB10" t="str">
        <f>IF(ISBLANK(BLcorrectedCurrent!BB10),"",BLcorrectedCurrent!BB10/BLcorrectedCurrent!BB$3)</f>
        <v/>
      </c>
      <c r="BC10">
        <f>IF(ISBLANK(BLcorrectedCurrent!BC10),"",BLcorrectedCurrent!BC10/BLcorrectedCurrent!BC$3)</f>
        <v>0</v>
      </c>
      <c r="BD10">
        <f>IF(ISBLANK(BLcorrectedCurrent!BD10),"",BLcorrectedCurrent!BD10/BLcorrectedCurrent!BD$3)</f>
        <v>5.4676878836428493</v>
      </c>
      <c r="BE10">
        <f>IF(ISBLANK(BLcorrectedCurrent!BE10),"",BLcorrectedCurrent!BE10/BLcorrectedCurrent!BE$3)</f>
        <v>-1.2101740380115988</v>
      </c>
      <c r="BF10">
        <f>IF(ISBLANK(BLcorrectedCurrent!BF10),"",BLcorrectedCurrent!BF10/BLcorrectedCurrent!BF$3)</f>
        <v>7.583259189007415</v>
      </c>
      <c r="BG10">
        <f>IF(ISBLANK(BLcorrectedCurrent!BG10),"",BLcorrectedCurrent!BG10/BLcorrectedCurrent!BG$3)</f>
        <v>-0.9278294931791089</v>
      </c>
      <c r="BH10">
        <f>IF(ISBLANK(BLcorrectedCurrent!BH10),"",BLcorrectedCurrent!BH10/BLcorrectedCurrent!BH$3)</f>
        <v>-0.73561529949279891</v>
      </c>
      <c r="BI10">
        <f>IF(ISBLANK(BLcorrectedCurrent!BI10),"",BLcorrectedCurrent!BI10/BLcorrectedCurrent!BI$3)</f>
        <v>3.5444649705556857</v>
      </c>
      <c r="BJ10" t="str">
        <f>IF(ISBLANK(BLcorrectedCurrent!BJ10),"",BLcorrectedCurrent!BJ10/BLcorrectedCurrent!BJ$3)</f>
        <v/>
      </c>
      <c r="BK10">
        <f>IF(ISBLANK(BLcorrectedCurrent!BK10),"",BLcorrectedCurrent!BK10/BLcorrectedCurrent!BK$3)</f>
        <v>1.2543323671681028</v>
      </c>
      <c r="BL10">
        <f>IF(ISBLANK(BLcorrectedCurrent!BL10),"",BLcorrectedCurrent!BL10/BLcorrectedCurrent!BL$3)</f>
        <v>1.7883025508425798</v>
      </c>
      <c r="BM10">
        <f>IF(ISBLANK(BLcorrectedCurrent!BM10),"",BLcorrectedCurrent!BM10/BLcorrectedCurrent!BM$3)</f>
        <v>4.2276118379355836</v>
      </c>
      <c r="BN10">
        <f>IF(ISBLANK(BLcorrectedCurrent!BN10),"",BLcorrectedCurrent!BN10/BLcorrectedCurrent!BN$3)</f>
        <v>17.021252468864265</v>
      </c>
      <c r="BO10">
        <f>IF(ISBLANK(BLcorrectedCurrent!BO10),"",BLcorrectedCurrent!BO10/BLcorrectedCurrent!BO$3)</f>
        <v>12.898547008911782</v>
      </c>
      <c r="BP10">
        <f>IF(ISBLANK(BLcorrectedCurrent!BP10),"",BLcorrectedCurrent!BP10/BLcorrectedCurrent!BP$3)</f>
        <v>12.884636196144925</v>
      </c>
      <c r="BQ10">
        <f>IF(ISBLANK(BLcorrectedCurrent!BQ10),"",BLcorrectedCurrent!BQ10/BLcorrectedCurrent!BQ$3)</f>
        <v>3.9080644878694368</v>
      </c>
      <c r="BR10">
        <f>IF(ISBLANK(BLcorrectedCurrent!BR10),"",BLcorrectedCurrent!BR10/BLcorrectedCurrent!BR$3)</f>
        <v>5.0751116960367888</v>
      </c>
      <c r="BS10">
        <f>IF(ISBLANK(BLcorrectedCurrent!BS10),"",BLcorrectedCurrent!BS10/BLcorrectedCurrent!BS$3)</f>
        <v>-0.25180145515273755</v>
      </c>
      <c r="BT10">
        <f>IF(ISBLANK(BLcorrectedCurrent!BT10),"",BLcorrectedCurrent!BT10/BLcorrectedCurrent!BT$3)</f>
        <v>2.110008528314733</v>
      </c>
      <c r="BU10" t="str">
        <f>IF(ISBLANK(BLcorrectedCurrent!BU10),"",BLcorrectedCurrent!BU10/BLcorrectedCurrent!BU$3)</f>
        <v/>
      </c>
      <c r="BV10">
        <f>IF(ISBLANK(BLcorrectedCurrent!BV10),"",BLcorrectedCurrent!BV10/BLcorrectedCurrent!BV$3)</f>
        <v>0.14176386978573749</v>
      </c>
      <c r="BW10">
        <f>IF(ISBLANK(BLcorrectedCurrent!BW10),"",BLcorrectedCurrent!BW10/BLcorrectedCurrent!BW$3)</f>
        <v>5.0910776878479966</v>
      </c>
      <c r="BX10">
        <f>IF(ISBLANK(BLcorrectedCurrent!BX10),"",BLcorrectedCurrent!BX10/BLcorrectedCurrent!BX$3)</f>
        <v>1.8850158175390739E-2</v>
      </c>
      <c r="BY10">
        <f>IF(ISBLANK(BLcorrectedCurrent!BY10),"",BLcorrectedCurrent!BY10/BLcorrectedCurrent!BY$3)</f>
        <v>-0.46815610496683985</v>
      </c>
      <c r="BZ10">
        <f>IF(ISBLANK(BLcorrectedCurrent!BZ10),"",BLcorrectedCurrent!BZ10/BLcorrectedCurrent!BZ$3)</f>
        <v>5.1599970715482222</v>
      </c>
      <c r="CA10">
        <f>IF(ISBLANK(BLcorrectedCurrent!CA10),"",BLcorrectedCurrent!CA10/BLcorrectedCurrent!CA$3)</f>
        <v>4.8724774737065841</v>
      </c>
      <c r="CB10">
        <f>IF(ISBLANK(BLcorrectedCurrent!CB10),"",BLcorrectedCurrent!CB10/BLcorrectedCurrent!CB$3)</f>
        <v>0.51938137616448365</v>
      </c>
      <c r="CC10">
        <f>IF(ISBLANK(BLcorrectedCurrent!CC10),"",BLcorrectedCurrent!CC10/BLcorrectedCurrent!CC$3)</f>
        <v>7.3650080785895291</v>
      </c>
      <c r="CD10">
        <f>IF(ISBLANK(BLcorrectedCurrent!CD10),"",BLcorrectedCurrent!CD10/BLcorrectedCurrent!CD$3)</f>
        <v>5.0175698141296134</v>
      </c>
    </row>
    <row r="11" spans="1:82" x14ac:dyDescent="0.2">
      <c r="A11" s="3">
        <f t="shared" si="0"/>
        <v>-40</v>
      </c>
      <c r="B11">
        <f>IF(ISBLANK(BLcorrectedCurrent!B11),"",BLcorrectedCurrent!B11/BLcorrectedCurrent!B$3)</f>
        <v>-10.384668841188198</v>
      </c>
      <c r="C11">
        <f>IF(ISBLANK(BLcorrectedCurrent!C11),"",BLcorrectedCurrent!C11/BLcorrectedCurrent!C$3)</f>
        <v>-20.723297748709001</v>
      </c>
      <c r="D11">
        <f>IF(ISBLANK(BLcorrectedCurrent!D11),"",BLcorrectedCurrent!D11/BLcorrectedCurrent!D$3)</f>
        <v>22.352031538981066</v>
      </c>
      <c r="E11">
        <f>IF(ISBLANK(BLcorrectedCurrent!E11),"",BLcorrectedCurrent!E11/BLcorrectedCurrent!E$3)</f>
        <v>22.578658830585958</v>
      </c>
      <c r="F11">
        <f>IF(ISBLANK(BLcorrectedCurrent!F11),"",BLcorrectedCurrent!F11/BLcorrectedCurrent!F$3)</f>
        <v>2.4380286169174634</v>
      </c>
      <c r="G11">
        <f>IF(ISBLANK(BLcorrectedCurrent!G11),"",BLcorrectedCurrent!G11/BLcorrectedCurrent!G$3)</f>
        <v>-3.3336514971852669</v>
      </c>
      <c r="H11">
        <f>IF(ISBLANK(BLcorrectedCurrent!H11),"",BLcorrectedCurrent!H11/BLcorrectedCurrent!H$3)</f>
        <v>0.20902797558893227</v>
      </c>
      <c r="I11">
        <f>IF(ISBLANK(BLcorrectedCurrent!I11),"",BLcorrectedCurrent!I11/BLcorrectedCurrent!I$3)</f>
        <v>23.762068813335194</v>
      </c>
      <c r="J11">
        <f>IF(ISBLANK(BLcorrectedCurrent!J11),"",BLcorrectedCurrent!J11/BLcorrectedCurrent!J$3)</f>
        <v>47.058188807797464</v>
      </c>
      <c r="K11">
        <f>IF(ISBLANK(BLcorrectedCurrent!K11),"",BLcorrectedCurrent!K11/BLcorrectedCurrent!K$3)</f>
        <v>-0.96367990555897309</v>
      </c>
      <c r="L11">
        <f>IF(ISBLANK(BLcorrectedCurrent!L11),"",BLcorrectedCurrent!L11/BLcorrectedCurrent!L$3)</f>
        <v>3.2780856843598802</v>
      </c>
      <c r="M11">
        <f>IF(ISBLANK(BLcorrectedCurrent!M11),"",BLcorrectedCurrent!M11/BLcorrectedCurrent!M$3)</f>
        <v>23.169353907205213</v>
      </c>
      <c r="N11">
        <f>IF(ISBLANK(BLcorrectedCurrent!N11),"",BLcorrectedCurrent!N11/BLcorrectedCurrent!N$3)</f>
        <v>8.2471093852386836</v>
      </c>
      <c r="O11">
        <f>IF(ISBLANK(BLcorrectedCurrent!O11),"",BLcorrectedCurrent!O11/BLcorrectedCurrent!O$3)</f>
        <v>4.8324474259389971</v>
      </c>
      <c r="P11">
        <f>IF(ISBLANK(BLcorrectedCurrent!P11),"",BLcorrectedCurrent!P11/BLcorrectedCurrent!P$3)</f>
        <v>-0.20272402869803724</v>
      </c>
      <c r="Q11">
        <f>IF(ISBLANK(BLcorrectedCurrent!Q11),"",BLcorrectedCurrent!Q11/BLcorrectedCurrent!Q$3)</f>
        <v>13.245665611815413</v>
      </c>
      <c r="R11">
        <f>IF(ISBLANK(BLcorrectedCurrent!R11),"",BLcorrectedCurrent!R11/BLcorrectedCurrent!R$3)</f>
        <v>8.5875013661433623</v>
      </c>
      <c r="S11">
        <f>IF(ISBLANK(BLcorrectedCurrent!S11),"",BLcorrectedCurrent!S11/BLcorrectedCurrent!S$3)</f>
        <v>-22.721277889966714</v>
      </c>
      <c r="T11">
        <f>IF(ISBLANK(BLcorrectedCurrent!T11),"",BLcorrectedCurrent!T11/BLcorrectedCurrent!T$3)</f>
        <v>-4.8024292757509661</v>
      </c>
      <c r="U11">
        <f>IF(ISBLANK(BLcorrectedCurrent!U11),"",BLcorrectedCurrent!U11/BLcorrectedCurrent!U$3)</f>
        <v>8.2323621471089705</v>
      </c>
      <c r="V11">
        <f>IF(ISBLANK(BLcorrectedCurrent!V11),"",BLcorrectedCurrent!V11/BLcorrectedCurrent!V$3)</f>
        <v>15.687993224851706</v>
      </c>
      <c r="W11">
        <f>IF(ISBLANK(BLcorrectedCurrent!W11),"",BLcorrectedCurrent!W11/BLcorrectedCurrent!W$3)</f>
        <v>3.6467689056708799</v>
      </c>
      <c r="X11">
        <f>IF(ISBLANK(BLcorrectedCurrent!X11),"",BLcorrectedCurrent!X11/BLcorrectedCurrent!X$3)</f>
        <v>11.39307692838787</v>
      </c>
      <c r="Y11">
        <f>IF(ISBLANK(BLcorrectedCurrent!Y11),"",BLcorrectedCurrent!Y11/BLcorrectedCurrent!Y$3)</f>
        <v>1.2810914783450928</v>
      </c>
      <c r="Z11">
        <f>IF(ISBLANK(BLcorrectedCurrent!Z11),"",BLcorrectedCurrent!Z11/BLcorrectedCurrent!Z$3)</f>
        <v>-8.8308278828120059</v>
      </c>
      <c r="AA11">
        <f>IF(ISBLANK(BLcorrectedCurrent!AA11),"",BLcorrectedCurrent!AA11/BLcorrectedCurrent!AA$3)</f>
        <v>-8.3359465510896857</v>
      </c>
      <c r="AB11">
        <f>IF(ISBLANK(BLcorrectedCurrent!AB11),"",BLcorrectedCurrent!AB11/BLcorrectedCurrent!AB$3)</f>
        <v>2.7049125684780488</v>
      </c>
      <c r="AC11">
        <f>IF(ISBLANK(BLcorrectedCurrent!AC11),"",BLcorrectedCurrent!AC11/BLcorrectedCurrent!AC$3)</f>
        <v>-3.7792281364607434</v>
      </c>
      <c r="AD11">
        <f>IF(ISBLANK(BLcorrectedCurrent!AD11),"",BLcorrectedCurrent!AD11/BLcorrectedCurrent!AD$3)</f>
        <v>-2.1040503014971472</v>
      </c>
      <c r="AE11">
        <f>IF(ISBLANK(BLcorrectedCurrent!AE11),"",BLcorrectedCurrent!AE11/BLcorrectedCurrent!AE$3)</f>
        <v>-6.1483070001534292</v>
      </c>
      <c r="AF11">
        <f>IF(ISBLANK(BLcorrectedCurrent!AF11),"",BLcorrectedCurrent!AF11/BLcorrectedCurrent!AF$3)</f>
        <v>9.733463976572116</v>
      </c>
      <c r="AG11">
        <f>IF(ISBLANK(BLcorrectedCurrent!AG11),"",BLcorrectedCurrent!AG11/BLcorrectedCurrent!AG$3)</f>
        <v>10.141769331726509</v>
      </c>
      <c r="AH11">
        <f>IF(ISBLANK(BLcorrectedCurrent!AH11),"",BLcorrectedCurrent!AH11/BLcorrectedCurrent!AH$3)</f>
        <v>9.0614763633359168</v>
      </c>
      <c r="AI11">
        <f>IF(ISBLANK(BLcorrectedCurrent!AI11),"",BLcorrectedCurrent!AI11/BLcorrectedCurrent!AI$3)</f>
        <v>-1.6455479362755769</v>
      </c>
      <c r="AJ11">
        <f>IF(ISBLANK(BLcorrectedCurrent!AJ11),"",BLcorrectedCurrent!AJ11/BLcorrectedCurrent!AJ$3)</f>
        <v>-0.36588020289204259</v>
      </c>
      <c r="AK11">
        <f>IF(ISBLANK(BLcorrectedCurrent!AK11),"",BLcorrectedCurrent!AK11/BLcorrectedCurrent!AK$3)</f>
        <v>-0.92894558185598453</v>
      </c>
      <c r="AL11">
        <f>IF(ISBLANK(BLcorrectedCurrent!AL11),"",BLcorrectedCurrent!AL11/BLcorrectedCurrent!AL$3)</f>
        <v>5.636916347213929</v>
      </c>
      <c r="AM11">
        <f>IF(ISBLANK(BLcorrectedCurrent!AM11),"",BLcorrectedCurrent!AM11/BLcorrectedCurrent!AM$3)</f>
        <v>-3.8859806116939719</v>
      </c>
      <c r="AN11">
        <f>IF(ISBLANK(BLcorrectedCurrent!AN11),"",BLcorrectedCurrent!AN11/BLcorrectedCurrent!AN$3)</f>
        <v>-1.1610852334697426</v>
      </c>
      <c r="AO11">
        <f>IF(ISBLANK(BLcorrectedCurrent!AO11),"",BLcorrectedCurrent!AO11/BLcorrectedCurrent!AO$3)</f>
        <v>10.194372417883677</v>
      </c>
      <c r="AP11">
        <f>IF(ISBLANK(BLcorrectedCurrent!AP11),"",BLcorrectedCurrent!AP11/BLcorrectedCurrent!AP$3)</f>
        <v>5.890638767280719</v>
      </c>
      <c r="AQ11">
        <f>IF(ISBLANK(BLcorrectedCurrent!AQ11),"",BLcorrectedCurrent!AQ11/BLcorrectedCurrent!AQ$3)</f>
        <v>2.8106725239913022</v>
      </c>
      <c r="AR11">
        <f>IF(ISBLANK(BLcorrectedCurrent!AR11),"",BLcorrectedCurrent!AR11/BLcorrectedCurrent!AR$3)</f>
        <v>6.441296448713496</v>
      </c>
      <c r="AS11">
        <f>IF(ISBLANK(BLcorrectedCurrent!AS11),"",BLcorrectedCurrent!AS11/BLcorrectedCurrent!AS$3)</f>
        <v>-2.4841172769540956</v>
      </c>
      <c r="AT11">
        <f>IF(ISBLANK(BLcorrectedCurrent!AT11),"",BLcorrectedCurrent!AT11/BLcorrectedCurrent!AT$3)</f>
        <v>1.9463821063177658</v>
      </c>
      <c r="AU11">
        <f>IF(ISBLANK(BLcorrectedCurrent!AU11),"",BLcorrectedCurrent!AU11/BLcorrectedCurrent!AU$3)</f>
        <v>7.6990367040139187</v>
      </c>
      <c r="AV11">
        <f>IF(ISBLANK(BLcorrectedCurrent!AV11),"",BLcorrectedCurrent!AV11/BLcorrectedCurrent!AV$3)</f>
        <v>2.5134245825469219</v>
      </c>
      <c r="AW11">
        <f>IF(ISBLANK(BLcorrectedCurrent!AW11),"",BLcorrectedCurrent!AW11/BLcorrectedCurrent!AW$3)</f>
        <v>28.668656006559072</v>
      </c>
      <c r="AX11">
        <f>IF(ISBLANK(BLcorrectedCurrent!AX11),"",BLcorrectedCurrent!AX11/BLcorrectedCurrent!AX$3)</f>
        <v>-17.722065943742734</v>
      </c>
      <c r="AY11">
        <f>IF(ISBLANK(BLcorrectedCurrent!AY11),"",BLcorrectedCurrent!AY11/BLcorrectedCurrent!AY$3)</f>
        <v>-5.087775203532618</v>
      </c>
      <c r="AZ11">
        <f>IF(ISBLANK(BLcorrectedCurrent!AZ11),"",BLcorrectedCurrent!AZ11/BLcorrectedCurrent!AZ$3)</f>
        <v>19.704577450758695</v>
      </c>
      <c r="BA11">
        <f>IF(ISBLANK(BLcorrectedCurrent!BA11),"",BLcorrectedCurrent!BA11/BLcorrectedCurrent!BA$3)</f>
        <v>4.2627410816698461</v>
      </c>
      <c r="BB11">
        <f>IF(ISBLANK(BLcorrectedCurrent!BB11),"",BLcorrectedCurrent!BB11/BLcorrectedCurrent!BB$3)</f>
        <v>13.552138363933933</v>
      </c>
      <c r="BC11">
        <f>IF(ISBLANK(BLcorrectedCurrent!BC11),"",BLcorrectedCurrent!BC11/BLcorrectedCurrent!BC$3)</f>
        <v>0.27521874972939575</v>
      </c>
      <c r="BD11">
        <f>IF(ISBLANK(BLcorrectedCurrent!BD11),"",BLcorrectedCurrent!BD11/BLcorrectedCurrent!BD$3)</f>
        <v>6.1044690667949606</v>
      </c>
      <c r="BE11">
        <f>IF(ISBLANK(BLcorrectedCurrent!BE11),"",BLcorrectedCurrent!BE11/BLcorrectedCurrent!BE$3)</f>
        <v>-5.6764674540541724E-2</v>
      </c>
      <c r="BF11">
        <f>IF(ISBLANK(BLcorrectedCurrent!BF11),"",BLcorrectedCurrent!BF11/BLcorrectedCurrent!BF$3)</f>
        <v>7.2264838319278137</v>
      </c>
      <c r="BG11">
        <f>IF(ISBLANK(BLcorrectedCurrent!BG11),"",BLcorrectedCurrent!BG11/BLcorrectedCurrent!BG$3)</f>
        <v>11.579965096201216</v>
      </c>
      <c r="BH11">
        <f>IF(ISBLANK(BLcorrectedCurrent!BH11),"",BLcorrectedCurrent!BH11/BLcorrectedCurrent!BH$3)</f>
        <v>1.4930562205749974E-2</v>
      </c>
      <c r="BI11">
        <f>IF(ISBLANK(BLcorrectedCurrent!BI11),"",BLcorrectedCurrent!BI11/BLcorrectedCurrent!BI$3)</f>
        <v>3.2234343666343852</v>
      </c>
      <c r="BJ11">
        <f>IF(ISBLANK(BLcorrectedCurrent!BJ11),"",BLcorrectedCurrent!BJ11/BLcorrectedCurrent!BJ$3)</f>
        <v>-5.3123932890828639E-2</v>
      </c>
      <c r="BK11">
        <f>IF(ISBLANK(BLcorrectedCurrent!BK11),"",BLcorrectedCurrent!BK11/BLcorrectedCurrent!BK$3)</f>
        <v>2.0464094834500468</v>
      </c>
      <c r="BL11">
        <f>IF(ISBLANK(BLcorrectedCurrent!BL11),"",BLcorrectedCurrent!BL11/BLcorrectedCurrent!BL$3)</f>
        <v>-0.45577679213664168</v>
      </c>
      <c r="BM11">
        <f>IF(ISBLANK(BLcorrectedCurrent!BM11),"",BLcorrectedCurrent!BM11/BLcorrectedCurrent!BM$3)</f>
        <v>4.7103416307216017</v>
      </c>
      <c r="BN11">
        <f>IF(ISBLANK(BLcorrectedCurrent!BN11),"",BLcorrectedCurrent!BN11/BLcorrectedCurrent!BN$3)</f>
        <v>19.336741355922914</v>
      </c>
      <c r="BO11">
        <f>IF(ISBLANK(BLcorrectedCurrent!BO11),"",BLcorrectedCurrent!BO11/BLcorrectedCurrent!BO$3)</f>
        <v>15.310945742529951</v>
      </c>
      <c r="BP11">
        <f>IF(ISBLANK(BLcorrectedCurrent!BP11),"",BLcorrectedCurrent!BP11/BLcorrectedCurrent!BP$3)</f>
        <v>11.547146717080453</v>
      </c>
      <c r="BQ11">
        <f>IF(ISBLANK(BLcorrectedCurrent!BQ11),"",BLcorrectedCurrent!BQ11/BLcorrectedCurrent!BQ$3)</f>
        <v>2.2521967966543728</v>
      </c>
      <c r="BR11">
        <f>IF(ISBLANK(BLcorrectedCurrent!BR11),"",BLcorrectedCurrent!BR11/BLcorrectedCurrent!BR$3)</f>
        <v>-4.8628440923625105</v>
      </c>
      <c r="BS11">
        <f>IF(ISBLANK(BLcorrectedCurrent!BS11),"",BLcorrectedCurrent!BS11/BLcorrectedCurrent!BS$3)</f>
        <v>-2.6936608339548522</v>
      </c>
      <c r="BT11">
        <f>IF(ISBLANK(BLcorrectedCurrent!BT11),"",BLcorrectedCurrent!BT11/BLcorrectedCurrent!BT$3)</f>
        <v>5.3089210526335373</v>
      </c>
      <c r="BU11">
        <f>IF(ISBLANK(BLcorrectedCurrent!BU11),"",BLcorrectedCurrent!BU11/BLcorrectedCurrent!BU$3)</f>
        <v>1.8394234162767433</v>
      </c>
      <c r="BV11">
        <f>IF(ISBLANK(BLcorrectedCurrent!BV11),"",BLcorrectedCurrent!BV11/BLcorrectedCurrent!BV$3)</f>
        <v>1.0366657341793473</v>
      </c>
      <c r="BW11">
        <f>IF(ISBLANK(BLcorrectedCurrent!BW11),"",BLcorrectedCurrent!BW11/BLcorrectedCurrent!BW$3)</f>
        <v>0.3301505632200013</v>
      </c>
      <c r="BX11">
        <f>IF(ISBLANK(BLcorrectedCurrent!BX11),"",BLcorrectedCurrent!BX11/BLcorrectedCurrent!BX$3)</f>
        <v>4.7218505342453759E-3</v>
      </c>
      <c r="BY11">
        <f>IF(ISBLANK(BLcorrectedCurrent!BY11),"",BLcorrectedCurrent!BY11/BLcorrectedCurrent!BY$3)</f>
        <v>14.27221707299112</v>
      </c>
      <c r="BZ11">
        <f>IF(ISBLANK(BLcorrectedCurrent!BZ11),"",BLcorrectedCurrent!BZ11/BLcorrectedCurrent!BZ$3)</f>
        <v>5.3392241349019143</v>
      </c>
      <c r="CA11">
        <f>IF(ISBLANK(BLcorrectedCurrent!CA11),"",BLcorrectedCurrent!CA11/BLcorrectedCurrent!CA$3)</f>
        <v>-1.2533969452669877</v>
      </c>
      <c r="CB11">
        <f>IF(ISBLANK(BLcorrectedCurrent!CB11),"",BLcorrectedCurrent!CB11/BLcorrectedCurrent!CB$3)</f>
        <v>-2.7829528659136042</v>
      </c>
      <c r="CC11">
        <f>IF(ISBLANK(BLcorrectedCurrent!CC11),"",BLcorrectedCurrent!CC11/BLcorrectedCurrent!CC$3)</f>
        <v>7.5815510238784301</v>
      </c>
      <c r="CD11">
        <f>IF(ISBLANK(BLcorrectedCurrent!CD11),"",BLcorrectedCurrent!CD11/BLcorrectedCurrent!CD$3)</f>
        <v>7.02731451209109</v>
      </c>
    </row>
    <row r="12" spans="1:82" x14ac:dyDescent="0.2">
      <c r="A12" s="3">
        <f t="shared" si="0"/>
        <v>-30</v>
      </c>
      <c r="B12">
        <f>IF(ISBLANK(BLcorrectedCurrent!B12),"",BLcorrectedCurrent!B12/BLcorrectedCurrent!B$3)</f>
        <v>-61.850541851111693</v>
      </c>
      <c r="C12">
        <f>IF(ISBLANK(BLcorrectedCurrent!C12),"",BLcorrectedCurrent!C12/BLcorrectedCurrent!C$3)</f>
        <v>-95.275036150706299</v>
      </c>
      <c r="D12">
        <f>IF(ISBLANK(BLcorrectedCurrent!D12),"",BLcorrectedCurrent!D12/BLcorrectedCurrent!D$3)</f>
        <v>19.335430269013802</v>
      </c>
      <c r="E12">
        <f>IF(ISBLANK(BLcorrectedCurrent!E12),"",BLcorrectedCurrent!E12/BLcorrectedCurrent!E$3)</f>
        <v>-27.566052672333225</v>
      </c>
      <c r="F12">
        <f>IF(ISBLANK(BLcorrectedCurrent!F12),"",BLcorrectedCurrent!F12/BLcorrectedCurrent!F$3)</f>
        <v>-34.815137220494364</v>
      </c>
      <c r="G12">
        <f>IF(ISBLANK(BLcorrectedCurrent!G12),"",BLcorrectedCurrent!G12/BLcorrectedCurrent!G$3)</f>
        <v>-69.085918458174163</v>
      </c>
      <c r="H12">
        <f>IF(ISBLANK(BLcorrectedCurrent!H12),"",BLcorrectedCurrent!H12/BLcorrectedCurrent!H$3)</f>
        <v>-6.370966361254462</v>
      </c>
      <c r="I12">
        <f>IF(ISBLANK(BLcorrectedCurrent!I12),"",BLcorrectedCurrent!I12/BLcorrectedCurrent!I$3)</f>
        <v>-78.068144140454962</v>
      </c>
      <c r="J12">
        <f>IF(ISBLANK(BLcorrectedCurrent!J12),"",BLcorrectedCurrent!J12/BLcorrectedCurrent!J$3)</f>
        <v>-19.032415671926369</v>
      </c>
      <c r="K12">
        <f>IF(ISBLANK(BLcorrectedCurrent!K12),"",BLcorrectedCurrent!K12/BLcorrectedCurrent!K$3)</f>
        <v>-15.59369732345564</v>
      </c>
      <c r="L12">
        <f>IF(ISBLANK(BLcorrectedCurrent!L12),"",BLcorrectedCurrent!L12/BLcorrectedCurrent!L$3)</f>
        <v>-3.5679285002530179</v>
      </c>
      <c r="M12">
        <f>IF(ISBLANK(BLcorrectedCurrent!M12),"",BLcorrectedCurrent!M12/BLcorrectedCurrent!M$3)</f>
        <v>-11.479954221344084</v>
      </c>
      <c r="N12">
        <f>IF(ISBLANK(BLcorrectedCurrent!N12),"",BLcorrectedCurrent!N12/BLcorrectedCurrent!N$3)</f>
        <v>-13.909162598606791</v>
      </c>
      <c r="O12">
        <f>IF(ISBLANK(BLcorrectedCurrent!O12),"",BLcorrectedCurrent!O12/BLcorrectedCurrent!O$3)</f>
        <v>-9.8418590550234928</v>
      </c>
      <c r="P12">
        <f>IF(ISBLANK(BLcorrectedCurrent!P12),"",BLcorrectedCurrent!P12/BLcorrectedCurrent!P$3)</f>
        <v>-0.21172942179252929</v>
      </c>
      <c r="Q12">
        <f>IF(ISBLANK(BLcorrectedCurrent!Q12),"",BLcorrectedCurrent!Q12/BLcorrectedCurrent!Q$3)</f>
        <v>14.089091431575701</v>
      </c>
      <c r="R12">
        <f>IF(ISBLANK(BLcorrectedCurrent!R12),"",BLcorrectedCurrent!R12/BLcorrectedCurrent!R$3)</f>
        <v>-0.90688284816782372</v>
      </c>
      <c r="S12">
        <f>IF(ISBLANK(BLcorrectedCurrent!S12),"",BLcorrectedCurrent!S12/BLcorrectedCurrent!S$3)</f>
        <v>-87.238419722016175</v>
      </c>
      <c r="T12">
        <f>IF(ISBLANK(BLcorrectedCurrent!T12),"",BLcorrectedCurrent!T12/BLcorrectedCurrent!T$3)</f>
        <v>-42.662915023082974</v>
      </c>
      <c r="U12">
        <f>IF(ISBLANK(BLcorrectedCurrent!U12),"",BLcorrectedCurrent!U12/BLcorrectedCurrent!U$3)</f>
        <v>-10.55170072025493</v>
      </c>
      <c r="V12">
        <f>IF(ISBLANK(BLcorrectedCurrent!V12),"",BLcorrectedCurrent!V12/BLcorrectedCurrent!V$3)</f>
        <v>-10.191428504701779</v>
      </c>
      <c r="W12">
        <f>IF(ISBLANK(BLcorrectedCurrent!W12),"",BLcorrectedCurrent!W12/BLcorrectedCurrent!W$3)</f>
        <v>-6.3455850015367226</v>
      </c>
      <c r="X12">
        <f>IF(ISBLANK(BLcorrectedCurrent!X12),"",BLcorrectedCurrent!X12/BLcorrectedCurrent!X$3)</f>
        <v>-12.712831280667736</v>
      </c>
      <c r="Y12">
        <f>IF(ISBLANK(BLcorrectedCurrent!Y12),"",BLcorrectedCurrent!Y12/BLcorrectedCurrent!Y$3)</f>
        <v>-5.4073630205721113</v>
      </c>
      <c r="Z12">
        <f>IF(ISBLANK(BLcorrectedCurrent!Z12),"",BLcorrectedCurrent!Z12/BLcorrectedCurrent!Z$3)</f>
        <v>-33.803735393978236</v>
      </c>
      <c r="AA12">
        <f>IF(ISBLANK(BLcorrectedCurrent!AA12),"",BLcorrectedCurrent!AA12/BLcorrectedCurrent!AA$3)</f>
        <v>-33.258073275228988</v>
      </c>
      <c r="AB12">
        <f>IF(ISBLANK(BLcorrectedCurrent!AB12),"",BLcorrectedCurrent!AB12/BLcorrectedCurrent!AB$3)</f>
        <v>-5.1795368542576838</v>
      </c>
      <c r="AC12">
        <f>IF(ISBLANK(BLcorrectedCurrent!AC12),"",BLcorrectedCurrent!AC12/BLcorrectedCurrent!AC$3)</f>
        <v>-44.601492723906055</v>
      </c>
      <c r="AD12">
        <f>IF(ISBLANK(BLcorrectedCurrent!AD12),"",BLcorrectedCurrent!AD12/BLcorrectedCurrent!AD$3)</f>
        <v>8.2470276964821441</v>
      </c>
      <c r="AE12">
        <f>IF(ISBLANK(BLcorrectedCurrent!AE12),"",BLcorrectedCurrent!AE12/BLcorrectedCurrent!AE$3)</f>
        <v>-16.923108804680641</v>
      </c>
      <c r="AF12">
        <f>IF(ISBLANK(BLcorrectedCurrent!AF12),"",BLcorrectedCurrent!AF12/BLcorrectedCurrent!AF$3)</f>
        <v>-15.232227911187252</v>
      </c>
      <c r="AG12">
        <f>IF(ISBLANK(BLcorrectedCurrent!AG12),"",BLcorrectedCurrent!AG12/BLcorrectedCurrent!AG$3)</f>
        <v>-7.1466394142743299</v>
      </c>
      <c r="AH12">
        <f>IF(ISBLANK(BLcorrectedCurrent!AH12),"",BLcorrectedCurrent!AH12/BLcorrectedCurrent!AH$3)</f>
        <v>8.2078650599293415</v>
      </c>
      <c r="AI12">
        <f>IF(ISBLANK(BLcorrectedCurrent!AI12),"",BLcorrectedCurrent!AI12/BLcorrectedCurrent!AI$3)</f>
        <v>-8.6131395143244074</v>
      </c>
      <c r="AJ12">
        <f>IF(ISBLANK(BLcorrectedCurrent!AJ12),"",BLcorrectedCurrent!AJ12/BLcorrectedCurrent!AJ$3)</f>
        <v>-10.143498171611538</v>
      </c>
      <c r="AK12">
        <f>IF(ISBLANK(BLcorrectedCurrent!AK12),"",BLcorrectedCurrent!AK12/BLcorrectedCurrent!AK$3)</f>
        <v>-6.2355128830980213</v>
      </c>
      <c r="AL12">
        <f>IF(ISBLANK(BLcorrectedCurrent!AL12),"",BLcorrectedCurrent!AL12/BLcorrectedCurrent!AL$3)</f>
        <v>5.6331538632850346</v>
      </c>
      <c r="AM12">
        <f>IF(ISBLANK(BLcorrectedCurrent!AM12),"",BLcorrectedCurrent!AM12/BLcorrectedCurrent!AM$3)</f>
        <v>4.8836994108357823</v>
      </c>
      <c r="AN12">
        <f>IF(ISBLANK(BLcorrectedCurrent!AN12),"",BLcorrectedCurrent!AN12/BLcorrectedCurrent!AN$3)</f>
        <v>-4.8335557162097817</v>
      </c>
      <c r="AO12">
        <f>IF(ISBLANK(BLcorrectedCurrent!AO12),"",BLcorrectedCurrent!AO12/BLcorrectedCurrent!AO$3)</f>
        <v>-11.027326592664139</v>
      </c>
      <c r="AP12">
        <f>IF(ISBLANK(BLcorrectedCurrent!AP12),"",BLcorrectedCurrent!AP12/BLcorrectedCurrent!AP$3)</f>
        <v>6.4355523320136694</v>
      </c>
      <c r="AQ12">
        <f>IF(ISBLANK(BLcorrectedCurrent!AQ12),"",BLcorrectedCurrent!AQ12/BLcorrectedCurrent!AQ$3)</f>
        <v>4.3593916760700751</v>
      </c>
      <c r="AR12">
        <f>IF(ISBLANK(BLcorrectedCurrent!AR12),"",BLcorrectedCurrent!AR12/BLcorrectedCurrent!AR$3)</f>
        <v>-0.61716429260335171</v>
      </c>
      <c r="AS12">
        <f>IF(ISBLANK(BLcorrectedCurrent!AS12),"",BLcorrectedCurrent!AS12/BLcorrectedCurrent!AS$3)</f>
        <v>2.1819455505049223</v>
      </c>
      <c r="AT12">
        <f>IF(ISBLANK(BLcorrectedCurrent!AT12),"",BLcorrectedCurrent!AT12/BLcorrectedCurrent!AT$3)</f>
        <v>-1.2941835574938676</v>
      </c>
      <c r="AU12">
        <f>IF(ISBLANK(BLcorrectedCurrent!AU12),"",BLcorrectedCurrent!AU12/BLcorrectedCurrent!AU$3)</f>
        <v>8.6551442731499773</v>
      </c>
      <c r="AV12">
        <f>IF(ISBLANK(BLcorrectedCurrent!AV12),"",BLcorrectedCurrent!AV12/BLcorrectedCurrent!AV$3)</f>
        <v>-1.590636041711659</v>
      </c>
      <c r="AW12">
        <f>IF(ISBLANK(BLcorrectedCurrent!AW12),"",BLcorrectedCurrent!AW12/BLcorrectedCurrent!AW$3)</f>
        <v>28.079041571608457</v>
      </c>
      <c r="AX12">
        <f>IF(ISBLANK(BLcorrectedCurrent!AX12),"",BLcorrectedCurrent!AX12/BLcorrectedCurrent!AX$3)</f>
        <v>-29.30189429449619</v>
      </c>
      <c r="AY12">
        <f>IF(ISBLANK(BLcorrectedCurrent!AY12),"",BLcorrectedCurrent!AY12/BLcorrectedCurrent!AY$3)</f>
        <v>-38.811954351470618</v>
      </c>
      <c r="AZ12">
        <f>IF(ISBLANK(BLcorrectedCurrent!AZ12),"",BLcorrectedCurrent!AZ12/BLcorrectedCurrent!AZ$3)</f>
        <v>21.860899313723891</v>
      </c>
      <c r="BA12">
        <f>IF(ISBLANK(BLcorrectedCurrent!BA12),"",BLcorrectedCurrent!BA12/BLcorrectedCurrent!BA$3)</f>
        <v>-2.3768496020983894</v>
      </c>
      <c r="BB12">
        <f>IF(ISBLANK(BLcorrectedCurrent!BB12),"",BLcorrectedCurrent!BB12/BLcorrectedCurrent!BB$3)</f>
        <v>10.079407524798174</v>
      </c>
      <c r="BC12">
        <f>IF(ISBLANK(BLcorrectedCurrent!BC12),"",BLcorrectedCurrent!BC12/BLcorrectedCurrent!BC$3)</f>
        <v>-3.399604128387963</v>
      </c>
      <c r="BD12">
        <f>IF(ISBLANK(BLcorrectedCurrent!BD12),"",BLcorrectedCurrent!BD12/BLcorrectedCurrent!BD$3)</f>
        <v>10.281195042256355</v>
      </c>
      <c r="BE12">
        <f>IF(ISBLANK(BLcorrectedCurrent!BE12),"",BLcorrectedCurrent!BE12/BLcorrectedCurrent!BE$3)</f>
        <v>-2.1667489977337913</v>
      </c>
      <c r="BF12">
        <f>IF(ISBLANK(BLcorrectedCurrent!BF12),"",BLcorrectedCurrent!BF12/BLcorrectedCurrent!BF$3)</f>
        <v>6.8336014383917068</v>
      </c>
      <c r="BG12">
        <f>IF(ISBLANK(BLcorrectedCurrent!BG12),"",BLcorrectedCurrent!BG12/BLcorrectedCurrent!BG$3)</f>
        <v>-9.2954322647628214</v>
      </c>
      <c r="BH12">
        <f>IF(ISBLANK(BLcorrectedCurrent!BH12),"",BLcorrectedCurrent!BH12/BLcorrectedCurrent!BH$3)</f>
        <v>-2.240533672968064</v>
      </c>
      <c r="BI12">
        <f>IF(ISBLANK(BLcorrectedCurrent!BI12),"",BLcorrectedCurrent!BI12/BLcorrectedCurrent!BI$3)</f>
        <v>3.1319557516597771</v>
      </c>
      <c r="BJ12">
        <f>IF(ISBLANK(BLcorrectedCurrent!BJ12),"",BLcorrectedCurrent!BJ12/BLcorrectedCurrent!BJ$3)</f>
        <v>-0.40047272486935781</v>
      </c>
      <c r="BK12">
        <f>IF(ISBLANK(BLcorrectedCurrent!BK12),"",BLcorrectedCurrent!BK12/BLcorrectedCurrent!BK$3)</f>
        <v>2.9514288181519017</v>
      </c>
      <c r="BL12">
        <f>IF(ISBLANK(BLcorrectedCurrent!BL12),"",BLcorrectedCurrent!BL12/BLcorrectedCurrent!BL$3)</f>
        <v>-6.1977059589429402</v>
      </c>
      <c r="BM12">
        <f>IF(ISBLANK(BLcorrectedCurrent!BM12),"",BLcorrectedCurrent!BM12/BLcorrectedCurrent!BM$3)</f>
        <v>-4.803993467292452</v>
      </c>
      <c r="BN12">
        <f>IF(ISBLANK(BLcorrectedCurrent!BN12),"",BLcorrectedCurrent!BN12/BLcorrectedCurrent!BN$3)</f>
        <v>20.746253720280951</v>
      </c>
      <c r="BO12">
        <f>IF(ISBLANK(BLcorrectedCurrent!BO12),"",BLcorrectedCurrent!BO12/BLcorrectedCurrent!BO$3)</f>
        <v>-5.5700824584828137</v>
      </c>
      <c r="BP12">
        <f>IF(ISBLANK(BLcorrectedCurrent!BP12),"",BLcorrectedCurrent!BP12/BLcorrectedCurrent!BP$3)</f>
        <v>-8.2266579595712273</v>
      </c>
      <c r="BQ12">
        <f>IF(ISBLANK(BLcorrectedCurrent!BQ12),"",BLcorrectedCurrent!BQ12/BLcorrectedCurrent!BQ$3)</f>
        <v>5.9252953005348674</v>
      </c>
      <c r="BR12">
        <f>IF(ISBLANK(BLcorrectedCurrent!BR12),"",BLcorrectedCurrent!BR12/BLcorrectedCurrent!BR$3)</f>
        <v>-5.4692294621013069</v>
      </c>
      <c r="BS12">
        <f>IF(ISBLANK(BLcorrectedCurrent!BS12),"",BLcorrectedCurrent!BS12/BLcorrectedCurrent!BS$3)</f>
        <v>-17.191640892946534</v>
      </c>
      <c r="BT12">
        <f>IF(ISBLANK(BLcorrectedCurrent!BT12),"",BLcorrectedCurrent!BT12/BLcorrectedCurrent!BT$3)</f>
        <v>1.1479684814925981</v>
      </c>
      <c r="BU12">
        <f>IF(ISBLANK(BLcorrectedCurrent!BU12),"",BLcorrectedCurrent!BU12/BLcorrectedCurrent!BU$3)</f>
        <v>-8.2840090157535009</v>
      </c>
      <c r="BV12">
        <f>IF(ISBLANK(BLcorrectedCurrent!BV12),"",BLcorrectedCurrent!BV12/BLcorrectedCurrent!BV$3)</f>
        <v>-1.1506454227600063</v>
      </c>
      <c r="BW12">
        <f>IF(ISBLANK(BLcorrectedCurrent!BW12),"",BLcorrectedCurrent!BW12/BLcorrectedCurrent!BW$3)</f>
        <v>0.4985497812201482</v>
      </c>
      <c r="BX12">
        <f>IF(ISBLANK(BLcorrectedCurrent!BX12),"",BLcorrectedCurrent!BX12/BLcorrectedCurrent!BX$3)</f>
        <v>-1.177688806014402</v>
      </c>
      <c r="BY12">
        <f>IF(ISBLANK(BLcorrectedCurrent!BY12),"",BLcorrectedCurrent!BY12/BLcorrectedCurrent!BY$3)</f>
        <v>2.7749816764778092</v>
      </c>
      <c r="BZ12">
        <f>IF(ISBLANK(BLcorrectedCurrent!BZ12),"",BLcorrectedCurrent!BZ12/BLcorrectedCurrent!BZ$3)</f>
        <v>6.148328700177677</v>
      </c>
      <c r="CA12">
        <f>IF(ISBLANK(BLcorrectedCurrent!CA12),"",BLcorrectedCurrent!CA12/BLcorrectedCurrent!CA$3)</f>
        <v>-5.8709693111248908</v>
      </c>
      <c r="CB12">
        <f>IF(ISBLANK(BLcorrectedCurrent!CB12),"",BLcorrectedCurrent!CB12/BLcorrectedCurrent!CB$3)</f>
        <v>-5.7554869886281503</v>
      </c>
      <c r="CC12">
        <f>IF(ISBLANK(BLcorrectedCurrent!CC12),"",BLcorrectedCurrent!CC12/BLcorrectedCurrent!CC$3)</f>
        <v>-3.2081515267960832</v>
      </c>
      <c r="CD12">
        <f>IF(ISBLANK(BLcorrectedCurrent!CD12),"",BLcorrectedCurrent!CD12/BLcorrectedCurrent!CD$3)</f>
        <v>-7.0949281980469898</v>
      </c>
    </row>
    <row r="13" spans="1:82" x14ac:dyDescent="0.2">
      <c r="A13" s="3">
        <f t="shared" si="0"/>
        <v>-20</v>
      </c>
      <c r="B13">
        <f>IF(ISBLANK(BLcorrectedCurrent!B13),"",BLcorrectedCurrent!B13/BLcorrectedCurrent!B$3)</f>
        <v>-348.8895435201311</v>
      </c>
      <c r="C13">
        <f>IF(ISBLANK(BLcorrectedCurrent!C13),"",BLcorrectedCurrent!C13/BLcorrectedCurrent!C$3)</f>
        <v>-233.50172755314674</v>
      </c>
      <c r="D13">
        <f>IF(ISBLANK(BLcorrectedCurrent!D13),"",BLcorrectedCurrent!D13/BLcorrectedCurrent!D$3)</f>
        <v>-84.352299563044809</v>
      </c>
      <c r="E13">
        <f>IF(ISBLANK(BLcorrectedCurrent!E13),"",BLcorrectedCurrent!E13/BLcorrectedCurrent!E$3)</f>
        <v>-220.91809206832008</v>
      </c>
      <c r="F13">
        <f>IF(ISBLANK(BLcorrectedCurrent!F13),"",BLcorrectedCurrent!F13/BLcorrectedCurrent!F$3)</f>
        <v>-266.41404701795324</v>
      </c>
      <c r="G13">
        <f>IF(ISBLANK(BLcorrectedCurrent!G13),"",BLcorrectedCurrent!G13/BLcorrectedCurrent!G$3)</f>
        <v>-279.08261978761453</v>
      </c>
      <c r="H13">
        <f>IF(ISBLANK(BLcorrectedCurrent!H13),"",BLcorrectedCurrent!H13/BLcorrectedCurrent!H$3)</f>
        <v>-44.02045841795848</v>
      </c>
      <c r="I13">
        <f>IF(ISBLANK(BLcorrectedCurrent!I13),"",BLcorrectedCurrent!I13/BLcorrectedCurrent!I$3)</f>
        <v>-345.73555681620047</v>
      </c>
      <c r="J13">
        <f>IF(ISBLANK(BLcorrectedCurrent!J13),"",BLcorrectedCurrent!J13/BLcorrectedCurrent!J$3)</f>
        <v>-195.8431102867919</v>
      </c>
      <c r="K13">
        <f>IF(ISBLANK(BLcorrectedCurrent!K13),"",BLcorrectedCurrent!K13/BLcorrectedCurrent!K$3)</f>
        <v>-144.2750877127306</v>
      </c>
      <c r="L13">
        <f>IF(ISBLANK(BLcorrectedCurrent!L13),"",BLcorrectedCurrent!L13/BLcorrectedCurrent!L$3)</f>
        <v>-24.901279626761237</v>
      </c>
      <c r="M13">
        <f>IF(ISBLANK(BLcorrectedCurrent!M13),"",BLcorrectedCurrent!M13/BLcorrectedCurrent!M$3)</f>
        <v>-190.32227519931226</v>
      </c>
      <c r="N13">
        <f>IF(ISBLANK(BLcorrectedCurrent!N13),"",BLcorrectedCurrent!N13/BLcorrectedCurrent!N$3)</f>
        <v>-169.79311391944861</v>
      </c>
      <c r="O13">
        <f>IF(ISBLANK(BLcorrectedCurrent!O13),"",BLcorrectedCurrent!O13/BLcorrectedCurrent!O$3)</f>
        <v>-69.589229980954656</v>
      </c>
      <c r="P13">
        <f>IF(ISBLANK(BLcorrectedCurrent!P13),"",BLcorrectedCurrent!P13/BLcorrectedCurrent!P$3)</f>
        <v>-5.8143110012294974</v>
      </c>
      <c r="Q13">
        <f>IF(ISBLANK(BLcorrectedCurrent!Q13),"",BLcorrectedCurrent!Q13/BLcorrectedCurrent!Q$3)</f>
        <v>-27.361959741389114</v>
      </c>
      <c r="R13">
        <f>IF(ISBLANK(BLcorrectedCurrent!R13),"",BLcorrectedCurrent!R13/BLcorrectedCurrent!R$3)</f>
        <v>-22.722547007514166</v>
      </c>
      <c r="S13">
        <f>IF(ISBLANK(BLcorrectedCurrent!S13),"",BLcorrectedCurrent!S13/BLcorrectedCurrent!S$3)</f>
        <v>-164.5486910330425</v>
      </c>
      <c r="T13">
        <f>IF(ISBLANK(BLcorrectedCurrent!T13),"",BLcorrectedCurrent!T13/BLcorrectedCurrent!T$3)</f>
        <v>-92.948788326057084</v>
      </c>
      <c r="U13">
        <f>IF(ISBLANK(BLcorrectedCurrent!U13),"",BLcorrectedCurrent!U13/BLcorrectedCurrent!U$3)</f>
        <v>-76.372377328655176</v>
      </c>
      <c r="V13">
        <f>IF(ISBLANK(BLcorrectedCurrent!V13),"",BLcorrectedCurrent!V13/BLcorrectedCurrent!V$3)</f>
        <v>-69.638500345481958</v>
      </c>
      <c r="W13">
        <f>IF(ISBLANK(BLcorrectedCurrent!W13),"",BLcorrectedCurrent!W13/BLcorrectedCurrent!W$3)</f>
        <v>-26.524746942894609</v>
      </c>
      <c r="X13">
        <f>IF(ISBLANK(BLcorrectedCurrent!X13),"",BLcorrectedCurrent!X13/BLcorrectedCurrent!X$3)</f>
        <v>-67.315520330385425</v>
      </c>
      <c r="Y13">
        <f>IF(ISBLANK(BLcorrectedCurrent!Y13),"",BLcorrectedCurrent!Y13/BLcorrectedCurrent!Y$3)</f>
        <v>-43.644464532432643</v>
      </c>
      <c r="Z13">
        <f>IF(ISBLANK(BLcorrectedCurrent!Z13),"",BLcorrectedCurrent!Z13/BLcorrectedCurrent!Z$3)</f>
        <v>-100.48687438312648</v>
      </c>
      <c r="AA13">
        <f>IF(ISBLANK(BLcorrectedCurrent!AA13),"",BLcorrectedCurrent!AA13/BLcorrectedCurrent!AA$3)</f>
        <v>-98.581794655143341</v>
      </c>
      <c r="AB13">
        <f>IF(ISBLANK(BLcorrectedCurrent!AB13),"",BLcorrectedCurrent!AB13/BLcorrectedCurrent!AB$3)</f>
        <v>-17.851036452531336</v>
      </c>
      <c r="AC13">
        <f>IF(ISBLANK(BLcorrectedCurrent!AC13),"",BLcorrectedCurrent!AC13/BLcorrectedCurrent!AC$3)</f>
        <v>-233.58911136178466</v>
      </c>
      <c r="AD13">
        <f>IF(ISBLANK(BLcorrectedCurrent!AD13),"",BLcorrectedCurrent!AD13/BLcorrectedCurrent!AD$3)</f>
        <v>0.57074862273634464</v>
      </c>
      <c r="AE13">
        <f>IF(ISBLANK(BLcorrectedCurrent!AE13),"",BLcorrectedCurrent!AE13/BLcorrectedCurrent!AE$3)</f>
        <v>-73.956134304138828</v>
      </c>
      <c r="AF13">
        <f>IF(ISBLANK(BLcorrectedCurrent!AF13),"",BLcorrectedCurrent!AF13/BLcorrectedCurrent!AF$3)</f>
        <v>-44.948744799956643</v>
      </c>
      <c r="AG13">
        <f>IF(ISBLANK(BLcorrectedCurrent!AG13),"",BLcorrectedCurrent!AG13/BLcorrectedCurrent!AG$3)</f>
        <v>-47.76797909680343</v>
      </c>
      <c r="AH13">
        <f>IF(ISBLANK(BLcorrectedCurrent!AH13),"",BLcorrectedCurrent!AH13/BLcorrectedCurrent!AH$3)</f>
        <v>-15.958658732623681</v>
      </c>
      <c r="AI13">
        <f>IF(ISBLANK(BLcorrectedCurrent!AI13),"",BLcorrectedCurrent!AI13/BLcorrectedCurrent!AI$3)</f>
        <v>-33.991119788381546</v>
      </c>
      <c r="AJ13">
        <f>IF(ISBLANK(BLcorrectedCurrent!AJ13),"",BLcorrectedCurrent!AJ13/BLcorrectedCurrent!AJ$3)</f>
        <v>-39.641353633344288</v>
      </c>
      <c r="AK13">
        <f>IF(ISBLANK(BLcorrectedCurrent!AK13),"",BLcorrectedCurrent!AK13/BLcorrectedCurrent!AK$3)</f>
        <v>-34.985608591510371</v>
      </c>
      <c r="AL13">
        <f>IF(ISBLANK(BLcorrectedCurrent!AL13),"",BLcorrectedCurrent!AL13/BLcorrectedCurrent!AL$3)</f>
        <v>7.6870866506092694</v>
      </c>
      <c r="AM13">
        <f>IF(ISBLANK(BLcorrectedCurrent!AM13),"",BLcorrectedCurrent!AM13/BLcorrectedCurrent!AM$3)</f>
        <v>-17.601479726735747</v>
      </c>
      <c r="AN13">
        <f>IF(ISBLANK(BLcorrectedCurrent!AN13),"",BLcorrectedCurrent!AN13/BLcorrectedCurrent!AN$3)</f>
        <v>-46.914713532553932</v>
      </c>
      <c r="AO13">
        <f>IF(ISBLANK(BLcorrectedCurrent!AO13),"",BLcorrectedCurrent!AO13/BLcorrectedCurrent!AO$3)</f>
        <v>-26.960082741322225</v>
      </c>
      <c r="AP13">
        <f>IF(ISBLANK(BLcorrectedCurrent!AP13),"",BLcorrectedCurrent!AP13/BLcorrectedCurrent!AP$3)</f>
        <v>-4.90265600393335</v>
      </c>
      <c r="AQ13">
        <f>IF(ISBLANK(BLcorrectedCurrent!AQ13),"",BLcorrectedCurrent!AQ13/BLcorrectedCurrent!AQ$3)</f>
        <v>-11.761631557892207</v>
      </c>
      <c r="AR13">
        <f>IF(ISBLANK(BLcorrectedCurrent!AR13),"",BLcorrectedCurrent!AR13/BLcorrectedCurrent!AR$3)</f>
        <v>-8.4074120724049699</v>
      </c>
      <c r="AS13">
        <f>IF(ISBLANK(BLcorrectedCurrent!AS13),"",BLcorrectedCurrent!AS13/BLcorrectedCurrent!AS$3)</f>
        <v>-10.564978429142316</v>
      </c>
      <c r="AT13">
        <f>IF(ISBLANK(BLcorrectedCurrent!AT13),"",BLcorrectedCurrent!AT13/BLcorrectedCurrent!AT$3)</f>
        <v>-4.1394567197477512</v>
      </c>
      <c r="AU13">
        <f>IF(ISBLANK(BLcorrectedCurrent!AU13),"",BLcorrectedCurrent!AU13/BLcorrectedCurrent!AU$3)</f>
        <v>-20.027353332479866</v>
      </c>
      <c r="AV13">
        <f>IF(ISBLANK(BLcorrectedCurrent!AV13),"",BLcorrectedCurrent!AV13/BLcorrectedCurrent!AV$3)</f>
        <v>-3.0189023783075628</v>
      </c>
      <c r="AW13">
        <f>IF(ISBLANK(BLcorrectedCurrent!AW13),"",BLcorrectedCurrent!AW13/BLcorrectedCurrent!AW$3)</f>
        <v>-31.691290648781607</v>
      </c>
      <c r="AX13">
        <f>IF(ISBLANK(BLcorrectedCurrent!AX13),"",BLcorrectedCurrent!AX13/BLcorrectedCurrent!AX$3)</f>
        <v>-173.35088165722468</v>
      </c>
      <c r="AY13">
        <f>IF(ISBLANK(BLcorrectedCurrent!AY13),"",BLcorrectedCurrent!AY13/BLcorrectedCurrent!AY$3)</f>
        <v>-109.35484867267246</v>
      </c>
      <c r="AZ13">
        <f>IF(ISBLANK(BLcorrectedCurrent!AZ13),"",BLcorrectedCurrent!AZ13/BLcorrectedCurrent!AZ$3)</f>
        <v>-61.440363889984312</v>
      </c>
      <c r="BA13">
        <f>IF(ISBLANK(BLcorrectedCurrent!BA13),"",BLcorrectedCurrent!BA13/BLcorrectedCurrent!BA$3)</f>
        <v>-24.590411326045714</v>
      </c>
      <c r="BB13">
        <f>IF(ISBLANK(BLcorrectedCurrent!BB13),"",BLcorrectedCurrent!BB13/BLcorrectedCurrent!BB$3)</f>
        <v>-24.437060910293216</v>
      </c>
      <c r="BC13">
        <f>IF(ISBLANK(BLcorrectedCurrent!BC13),"",BLcorrectedCurrent!BC13/BLcorrectedCurrent!BC$3)</f>
        <v>-24.446095870241102</v>
      </c>
      <c r="BD13">
        <f>IF(ISBLANK(BLcorrectedCurrent!BD13),"",BLcorrectedCurrent!BD13/BLcorrectedCurrent!BD$3)</f>
        <v>-15.141783590910679</v>
      </c>
      <c r="BE13">
        <f>IF(ISBLANK(BLcorrectedCurrent!BE13),"",BLcorrectedCurrent!BE13/BLcorrectedCurrent!BE$3)</f>
        <v>-14.172609265858711</v>
      </c>
      <c r="BF13">
        <f>IF(ISBLANK(BLcorrectedCurrent!BF13),"",BLcorrectedCurrent!BF13/BLcorrectedCurrent!BF$3)</f>
        <v>-1.5834631947358488</v>
      </c>
      <c r="BG13">
        <f>IF(ISBLANK(BLcorrectedCurrent!BG13),"",BLcorrectedCurrent!BG13/BLcorrectedCurrent!BG$3)</f>
        <v>-27.079522969905071</v>
      </c>
      <c r="BH13">
        <f>IF(ISBLANK(BLcorrectedCurrent!BH13),"",BLcorrectedCurrent!BH13/BLcorrectedCurrent!BH$3)</f>
        <v>-6.06509704782877</v>
      </c>
      <c r="BI13">
        <f>IF(ISBLANK(BLcorrectedCurrent!BI13),"",BLcorrectedCurrent!BI13/BLcorrectedCurrent!BI$3)</f>
        <v>-1.5758650232332725</v>
      </c>
      <c r="BJ13">
        <f>IF(ISBLANK(BLcorrectedCurrent!BJ13),"",BLcorrectedCurrent!BJ13/BLcorrectedCurrent!BJ$3)</f>
        <v>-4.5482255636253388</v>
      </c>
      <c r="BK13">
        <f>IF(ISBLANK(BLcorrectedCurrent!BK13),"",BLcorrectedCurrent!BK13/BLcorrectedCurrent!BK$3)</f>
        <v>-7.5012359507648538</v>
      </c>
      <c r="BL13">
        <f>IF(ISBLANK(BLcorrectedCurrent!BL13),"",BLcorrectedCurrent!BL13/BLcorrectedCurrent!BL$3)</f>
        <v>-32.9664152293767</v>
      </c>
      <c r="BM13">
        <f>IF(ISBLANK(BLcorrectedCurrent!BM13),"",BLcorrectedCurrent!BM13/BLcorrectedCurrent!BM$3)</f>
        <v>-24.494879031937327</v>
      </c>
      <c r="BN13">
        <f>IF(ISBLANK(BLcorrectedCurrent!BN13),"",BLcorrectedCurrent!BN13/BLcorrectedCurrent!BN$3)</f>
        <v>-25.311095388567399</v>
      </c>
      <c r="BO13">
        <f>IF(ISBLANK(BLcorrectedCurrent!BO13),"",BLcorrectedCurrent!BO13/BLcorrectedCurrent!BO$3)</f>
        <v>-44.321818036654349</v>
      </c>
      <c r="BP13">
        <f>IF(ISBLANK(BLcorrectedCurrent!BP13),"",BLcorrectedCurrent!BP13/BLcorrectedCurrent!BP$3)</f>
        <v>-46.129290556481351</v>
      </c>
      <c r="BQ13">
        <f>IF(ISBLANK(BLcorrectedCurrent!BQ13),"",BLcorrectedCurrent!BQ13/BLcorrectedCurrent!BQ$3)</f>
        <v>-27.954086435401219</v>
      </c>
      <c r="BR13">
        <f>IF(ISBLANK(BLcorrectedCurrent!BR13),"",BLcorrectedCurrent!BR13/BLcorrectedCurrent!BR$3)</f>
        <v>-23.822354730270828</v>
      </c>
      <c r="BS13">
        <f>IF(ISBLANK(BLcorrectedCurrent!BS13),"",BLcorrectedCurrent!BS13/BLcorrectedCurrent!BS$3)</f>
        <v>-64.769192793430392</v>
      </c>
      <c r="BT13">
        <f>IF(ISBLANK(BLcorrectedCurrent!BT13),"",BLcorrectedCurrent!BT13/BLcorrectedCurrent!BT$3)</f>
        <v>-10.716894562996082</v>
      </c>
      <c r="BU13">
        <f>IF(ISBLANK(BLcorrectedCurrent!BU13),"",BLcorrectedCurrent!BU13/BLcorrectedCurrent!BU$3)</f>
        <v>-20.06037557627652</v>
      </c>
      <c r="BV13">
        <f>IF(ISBLANK(BLcorrectedCurrent!BV13),"",BLcorrectedCurrent!BV13/BLcorrectedCurrent!BV$3)</f>
        <v>-4.2791499799146919</v>
      </c>
      <c r="BW13">
        <f>IF(ISBLANK(BLcorrectedCurrent!BW13),"",BLcorrectedCurrent!BW13/BLcorrectedCurrent!BW$3)</f>
        <v>-1.7536658324369536</v>
      </c>
      <c r="BX13">
        <f>IF(ISBLANK(BLcorrectedCurrent!BX13),"",BLcorrectedCurrent!BX13/BLcorrectedCurrent!BX$3)</f>
        <v>-14.082382417527072</v>
      </c>
      <c r="BY13">
        <f>IF(ISBLANK(BLcorrectedCurrent!BY13),"",BLcorrectedCurrent!BY13/BLcorrectedCurrent!BY$3)</f>
        <v>-9.3750850298201485</v>
      </c>
      <c r="BZ13">
        <f>IF(ISBLANK(BLcorrectedCurrent!BZ13),"",BLcorrectedCurrent!BZ13/BLcorrectedCurrent!BZ$3)</f>
        <v>-5.1590862885004425</v>
      </c>
      <c r="CA13">
        <f>IF(ISBLANK(BLcorrectedCurrent!CA13),"",BLcorrectedCurrent!CA13/BLcorrectedCurrent!CA$3)</f>
        <v>-13.586465735689972</v>
      </c>
      <c r="CB13">
        <f>IF(ISBLANK(BLcorrectedCurrent!CB13),"",BLcorrectedCurrent!CB13/BLcorrectedCurrent!CB$3)</f>
        <v>-11.177197362406105</v>
      </c>
      <c r="CC13">
        <f>IF(ISBLANK(BLcorrectedCurrent!CC13),"",BLcorrectedCurrent!CC13/BLcorrectedCurrent!CC$3)</f>
        <v>-7.1162046792124016</v>
      </c>
      <c r="CD13">
        <f>IF(ISBLANK(BLcorrectedCurrent!CD13),"",BLcorrectedCurrent!CD13/BLcorrectedCurrent!CD$3)</f>
        <v>-22.782424959684079</v>
      </c>
    </row>
    <row r="14" spans="1:82" x14ac:dyDescent="0.2">
      <c r="A14" s="3">
        <f t="shared" si="0"/>
        <v>-10</v>
      </c>
      <c r="B14">
        <f>IF(ISBLANK(BLcorrectedCurrent!B14),"",BLcorrectedCurrent!B14/BLcorrectedCurrent!B$3)</f>
        <v>-779.37747908370545</v>
      </c>
      <c r="C14">
        <f>IF(ISBLANK(BLcorrectedCurrent!C14),"",BLcorrectedCurrent!C14/BLcorrectedCurrent!C$3)</f>
        <v>-296.0846083462302</v>
      </c>
      <c r="D14">
        <f>IF(ISBLANK(BLcorrectedCurrent!D14),"",BLcorrectedCurrent!D14/BLcorrectedCurrent!D$3)</f>
        <v>-209.82244671454418</v>
      </c>
      <c r="E14">
        <f>IF(ISBLANK(BLcorrectedCurrent!E14),"",BLcorrectedCurrent!E14/BLcorrectedCurrent!E$3)</f>
        <v>-495.05088789261612</v>
      </c>
      <c r="F14">
        <f>IF(ISBLANK(BLcorrectedCurrent!F14),"",BLcorrectedCurrent!F14/BLcorrectedCurrent!F$3)</f>
        <v>-653.02885649112523</v>
      </c>
      <c r="G14">
        <f>IF(ISBLANK(BLcorrectedCurrent!G14),"",BLcorrectedCurrent!G14/BLcorrectedCurrent!G$3)</f>
        <v>-299.30116801961327</v>
      </c>
      <c r="H14">
        <f>IF(ISBLANK(BLcorrectedCurrent!H14),"",BLcorrectedCurrent!H14/BLcorrectedCurrent!H$3)</f>
        <v>-177.84378593661867</v>
      </c>
      <c r="I14">
        <f>IF(ISBLANK(BLcorrectedCurrent!I14),"",BLcorrectedCurrent!I14/BLcorrectedCurrent!I$3)</f>
        <v>-366.84890931986308</v>
      </c>
      <c r="J14">
        <f>IF(ISBLANK(BLcorrectedCurrent!J14),"",BLcorrectedCurrent!J14/BLcorrectedCurrent!J$3)</f>
        <v>-727.45023220265614</v>
      </c>
      <c r="K14">
        <f>IF(ISBLANK(BLcorrectedCurrent!K14),"",BLcorrectedCurrent!K14/BLcorrectedCurrent!K$3)</f>
        <v>-372.69880441660109</v>
      </c>
      <c r="L14">
        <f>IF(ISBLANK(BLcorrectedCurrent!L14),"",BLcorrectedCurrent!L14/BLcorrectedCurrent!L$3)</f>
        <v>-71.52686345114067</v>
      </c>
      <c r="M14">
        <f>IF(ISBLANK(BLcorrectedCurrent!M14),"",BLcorrectedCurrent!M14/BLcorrectedCurrent!M$3)</f>
        <v>-406.79207626486226</v>
      </c>
      <c r="N14">
        <f>IF(ISBLANK(BLcorrectedCurrent!N14),"",BLcorrectedCurrent!N14/BLcorrectedCurrent!N$3)</f>
        <v>-180.17218121355802</v>
      </c>
      <c r="O14">
        <f>IF(ISBLANK(BLcorrectedCurrent!O14),"",BLcorrectedCurrent!O14/BLcorrectedCurrent!O$3)</f>
        <v>-176.15629261823995</v>
      </c>
      <c r="P14">
        <f>IF(ISBLANK(BLcorrectedCurrent!P14),"",BLcorrectedCurrent!P14/BLcorrectedCurrent!P$3)</f>
        <v>-20.865654960268692</v>
      </c>
      <c r="Q14">
        <f>IF(ISBLANK(BLcorrectedCurrent!Q14),"",BLcorrectedCurrent!Q14/BLcorrectedCurrent!Q$3)</f>
        <v>-96.48711467399059</v>
      </c>
      <c r="R14">
        <f>IF(ISBLANK(BLcorrectedCurrent!R14),"",BLcorrectedCurrent!R14/BLcorrectedCurrent!R$3)</f>
        <v>-100.72551961033588</v>
      </c>
      <c r="S14">
        <f>IF(ISBLANK(BLcorrectedCurrent!S14),"",BLcorrectedCurrent!S14/BLcorrectedCurrent!S$3)</f>
        <v>-198.15165156155925</v>
      </c>
      <c r="T14">
        <f>IF(ISBLANK(BLcorrectedCurrent!T14),"",BLcorrectedCurrent!T14/BLcorrectedCurrent!T$3)</f>
        <v>-127.6319358642222</v>
      </c>
      <c r="U14">
        <f>IF(ISBLANK(BLcorrectedCurrent!U14),"",BLcorrectedCurrent!U14/BLcorrectedCurrent!U$3)</f>
        <v>-204.75138611209826</v>
      </c>
      <c r="V14">
        <f>IF(ISBLANK(BLcorrectedCurrent!V14),"",BLcorrectedCurrent!V14/BLcorrectedCurrent!V$3)</f>
        <v>-239.00623312772234</v>
      </c>
      <c r="W14">
        <f>IF(ISBLANK(BLcorrectedCurrent!W14),"",BLcorrectedCurrent!W14/BLcorrectedCurrent!W$3)</f>
        <v>-69.658345776948934</v>
      </c>
      <c r="X14">
        <f>IF(ISBLANK(BLcorrectedCurrent!X14),"",BLcorrectedCurrent!X14/BLcorrectedCurrent!X$3)</f>
        <v>-158.53554942672173</v>
      </c>
      <c r="Y14">
        <f>IF(ISBLANK(BLcorrectedCurrent!Y14),"",BLcorrectedCurrent!Y14/BLcorrectedCurrent!Y$3)</f>
        <v>-122.65663418740952</v>
      </c>
      <c r="Z14">
        <f>IF(ISBLANK(BLcorrectedCurrent!Z14),"",BLcorrectedCurrent!Z14/BLcorrectedCurrent!Z$3)</f>
        <v>-206.46096922617181</v>
      </c>
      <c r="AA14">
        <f>IF(ISBLANK(BLcorrectedCurrent!AA14),"",BLcorrectedCurrent!AA14/BLcorrectedCurrent!AA$3)</f>
        <v>-203.05247452726786</v>
      </c>
      <c r="AB14">
        <f>IF(ISBLANK(BLcorrectedCurrent!AB14),"",BLcorrectedCurrent!AB14/BLcorrectedCurrent!AB$3)</f>
        <v>-45.95758372883985</v>
      </c>
      <c r="AC14">
        <f>IF(ISBLANK(BLcorrectedCurrent!AC14),"",BLcorrectedCurrent!AC14/BLcorrectedCurrent!AC$3)</f>
        <v>-326.88921949939987</v>
      </c>
      <c r="AD14">
        <f>IF(ISBLANK(BLcorrectedCurrent!AD14),"",BLcorrectedCurrent!AD14/BLcorrectedCurrent!AD$3)</f>
        <v>-10.313467557141914</v>
      </c>
      <c r="AE14">
        <f>IF(ISBLANK(BLcorrectedCurrent!AE14),"",BLcorrectedCurrent!AE14/BLcorrectedCurrent!AE$3)</f>
        <v>-118.15953195239894</v>
      </c>
      <c r="AF14">
        <f>IF(ISBLANK(BLcorrectedCurrent!AF14),"",BLcorrectedCurrent!AF14/BLcorrectedCurrent!AF$3)</f>
        <v>-115.2059595912857</v>
      </c>
      <c r="AG14">
        <f>IF(ISBLANK(BLcorrectedCurrent!AG14),"",BLcorrectedCurrent!AG14/BLcorrectedCurrent!AG$3)</f>
        <v>-103.49497247332287</v>
      </c>
      <c r="AH14">
        <f>IF(ISBLANK(BLcorrectedCurrent!AH14),"",BLcorrectedCurrent!AH14/BLcorrectedCurrent!AH$3)</f>
        <v>-47.001217003513688</v>
      </c>
      <c r="AI14">
        <f>IF(ISBLANK(BLcorrectedCurrent!AI14),"",BLcorrectedCurrent!AI14/BLcorrectedCurrent!AI$3)</f>
        <v>-68.152392898146189</v>
      </c>
      <c r="AJ14">
        <f>IF(ISBLANK(BLcorrectedCurrent!AJ14),"",BLcorrectedCurrent!AJ14/BLcorrectedCurrent!AJ$3)</f>
        <v>-122.70710742564604</v>
      </c>
      <c r="AK14">
        <f>IF(ISBLANK(BLcorrectedCurrent!AK14),"",BLcorrectedCurrent!AK14/BLcorrectedCurrent!AK$3)</f>
        <v>-65.656116816335356</v>
      </c>
      <c r="AL14">
        <f>IF(ISBLANK(BLcorrectedCurrent!AL14),"",BLcorrectedCurrent!AL14/BLcorrectedCurrent!AL$3)</f>
        <v>-22.361098203838221</v>
      </c>
      <c r="AM14">
        <f>IF(ISBLANK(BLcorrectedCurrent!AM14),"",BLcorrectedCurrent!AM14/BLcorrectedCurrent!AM$3)</f>
        <v>-68.169999041056144</v>
      </c>
      <c r="AN14">
        <f>IF(ISBLANK(BLcorrectedCurrent!AN14),"",BLcorrectedCurrent!AN14/BLcorrectedCurrent!AN$3)</f>
        <v>-160.83941807297231</v>
      </c>
      <c r="AO14">
        <f>IF(ISBLANK(BLcorrectedCurrent!AO14),"",BLcorrectedCurrent!AO14/BLcorrectedCurrent!AO$3)</f>
        <v>-42.094357144036444</v>
      </c>
      <c r="AP14">
        <f>IF(ISBLANK(BLcorrectedCurrent!AP14),"",BLcorrectedCurrent!AP14/BLcorrectedCurrent!AP$3)</f>
        <v>-19.582345276544679</v>
      </c>
      <c r="AQ14">
        <f>IF(ISBLANK(BLcorrectedCurrent!AQ14),"",BLcorrectedCurrent!AQ14/BLcorrectedCurrent!AQ$3)</f>
        <v>-20.982170490608546</v>
      </c>
      <c r="AR14">
        <f>IF(ISBLANK(BLcorrectedCurrent!AR14),"",BLcorrectedCurrent!AR14/BLcorrectedCurrent!AR$3)</f>
        <v>-16.917178681248885</v>
      </c>
      <c r="AS14">
        <f>IF(ISBLANK(BLcorrectedCurrent!AS14),"",BLcorrectedCurrent!AS14/BLcorrectedCurrent!AS$3)</f>
        <v>-22.100840467497068</v>
      </c>
      <c r="AT14">
        <f>IF(ISBLANK(BLcorrectedCurrent!AT14),"",BLcorrectedCurrent!AT14/BLcorrectedCurrent!AT$3)</f>
        <v>-20.133147108552578</v>
      </c>
      <c r="AU14">
        <f>IF(ISBLANK(BLcorrectedCurrent!AU14),"",BLcorrectedCurrent!AU14/BLcorrectedCurrent!AU$3)</f>
        <v>-74.280574745173695</v>
      </c>
      <c r="AV14">
        <f>IF(ISBLANK(BLcorrectedCurrent!AV14),"",BLcorrectedCurrent!AV14/BLcorrectedCurrent!AV$3)</f>
        <v>-11.659458176229151</v>
      </c>
      <c r="AW14">
        <f>IF(ISBLANK(BLcorrectedCurrent!AW14),"",BLcorrectedCurrent!AW14/BLcorrectedCurrent!AW$3)</f>
        <v>-142.11348454936291</v>
      </c>
      <c r="AX14">
        <f>IF(ISBLANK(BLcorrectedCurrent!AX14),"",BLcorrectedCurrent!AX14/BLcorrectedCurrent!AX$3)</f>
        <v>-274.16761745832224</v>
      </c>
      <c r="AY14">
        <f>IF(ISBLANK(BLcorrectedCurrent!AY14),"",BLcorrectedCurrent!AY14/BLcorrectedCurrent!AY$3)</f>
        <v>-171.8771735408786</v>
      </c>
      <c r="AZ14">
        <f>IF(ISBLANK(BLcorrectedCurrent!AZ14),"",BLcorrectedCurrent!AZ14/BLcorrectedCurrent!AZ$3)</f>
        <v>-197.36708722634333</v>
      </c>
      <c r="BA14">
        <f>IF(ISBLANK(BLcorrectedCurrent!BA14),"",BLcorrectedCurrent!BA14/BLcorrectedCurrent!BA$3)</f>
        <v>-74.083950578121588</v>
      </c>
      <c r="BB14">
        <f>IF(ISBLANK(BLcorrectedCurrent!BB14),"",BLcorrectedCurrent!BB14/BLcorrectedCurrent!BB$3)</f>
        <v>-47.951208630778801</v>
      </c>
      <c r="BC14">
        <f>IF(ISBLANK(BLcorrectedCurrent!BC14),"",BLcorrectedCurrent!BC14/BLcorrectedCurrent!BC$3)</f>
        <v>-52.406756199144972</v>
      </c>
      <c r="BD14">
        <f>IF(ISBLANK(BLcorrectedCurrent!BD14),"",BLcorrectedCurrent!BD14/BLcorrectedCurrent!BD$3)</f>
        <v>-46.583917373099546</v>
      </c>
      <c r="BE14">
        <f>IF(ISBLANK(BLcorrectedCurrent!BE14),"",BLcorrectedCurrent!BE14/BLcorrectedCurrent!BE$3)</f>
        <v>-64.7934171964813</v>
      </c>
      <c r="BF14">
        <f>IF(ISBLANK(BLcorrectedCurrent!BF14),"",BLcorrectedCurrent!BF14/BLcorrectedCurrent!BF$3)</f>
        <v>-17.568572464000393</v>
      </c>
      <c r="BG14">
        <f>IF(ISBLANK(BLcorrectedCurrent!BG14),"",BLcorrectedCurrent!BG14/BLcorrectedCurrent!BG$3)</f>
        <v>-61.642177287442095</v>
      </c>
      <c r="BH14">
        <f>IF(ISBLANK(BLcorrectedCurrent!BH14),"",BLcorrectedCurrent!BH14/BLcorrectedCurrent!BH$3)</f>
        <v>-19.491767279198093</v>
      </c>
      <c r="BI14">
        <f>IF(ISBLANK(BLcorrectedCurrent!BI14),"",BLcorrectedCurrent!BI14/BLcorrectedCurrent!BI$3)</f>
        <v>-7.7109588545685144</v>
      </c>
      <c r="BJ14">
        <f>IF(ISBLANK(BLcorrectedCurrent!BJ14),"",BLcorrectedCurrent!BJ14/BLcorrectedCurrent!BJ$3)</f>
        <v>-11.139679187657908</v>
      </c>
      <c r="BK14">
        <f>IF(ISBLANK(BLcorrectedCurrent!BK14),"",BLcorrectedCurrent!BK14/BLcorrectedCurrent!BK$3)</f>
        <v>-33.426450484584663</v>
      </c>
      <c r="BL14">
        <f>IF(ISBLANK(BLcorrectedCurrent!BL14),"",BLcorrectedCurrent!BL14/BLcorrectedCurrent!BL$3)</f>
        <v>-60.974486310847134</v>
      </c>
      <c r="BM14">
        <f>IF(ISBLANK(BLcorrectedCurrent!BM14),"",BLcorrectedCurrent!BM14/BLcorrectedCurrent!BM$3)</f>
        <v>-77.551783674755882</v>
      </c>
      <c r="BN14">
        <f>IF(ISBLANK(BLcorrectedCurrent!BN14),"",BLcorrectedCurrent!BN14/BLcorrectedCurrent!BN$3)</f>
        <v>-90.695252397743218</v>
      </c>
      <c r="BO14">
        <f>IF(ISBLANK(BLcorrectedCurrent!BO14),"",BLcorrectedCurrent!BO14/BLcorrectedCurrent!BO$3)</f>
        <v>-96.710730994721942</v>
      </c>
      <c r="BP14">
        <f>IF(ISBLANK(BLcorrectedCurrent!BP14),"",BLcorrectedCurrent!BP14/BLcorrectedCurrent!BP$3)</f>
        <v>-103.09206052575752</v>
      </c>
      <c r="BQ14">
        <f>IF(ISBLANK(BLcorrectedCurrent!BQ14),"",BLcorrectedCurrent!BQ14/BLcorrectedCurrent!BQ$3)</f>
        <v>-71.146821446444079</v>
      </c>
      <c r="BR14">
        <f>IF(ISBLANK(BLcorrectedCurrent!BR14),"",BLcorrectedCurrent!BR14/BLcorrectedCurrent!BR$3)</f>
        <v>-64.713119677215843</v>
      </c>
      <c r="BS14">
        <f>IF(ISBLANK(BLcorrectedCurrent!BS14),"",BLcorrectedCurrent!BS14/BLcorrectedCurrent!BS$3)</f>
        <v>-116.3469195497924</v>
      </c>
      <c r="BT14">
        <f>IF(ISBLANK(BLcorrectedCurrent!BT14),"",BLcorrectedCurrent!BT14/BLcorrectedCurrent!BT$3)</f>
        <v>-29.622403509609018</v>
      </c>
      <c r="BU14" t="str">
        <f>IF(ISBLANK(BLcorrectedCurrent!BU14),"",BLcorrectedCurrent!BU14/BLcorrectedCurrent!BU$3)</f>
        <v/>
      </c>
      <c r="BV14">
        <f>IF(ISBLANK(BLcorrectedCurrent!BV14),"",BLcorrectedCurrent!BV14/BLcorrectedCurrent!BV$3)</f>
        <v>-8.6818621407421173</v>
      </c>
      <c r="BW14">
        <f>IF(ISBLANK(BLcorrectedCurrent!BW14),"",BLcorrectedCurrent!BW14/BLcorrectedCurrent!BW$3)</f>
        <v>-10.250441377483767</v>
      </c>
      <c r="BX14">
        <f>IF(ISBLANK(BLcorrectedCurrent!BX14),"",BLcorrectedCurrent!BX14/BLcorrectedCurrent!BX$3)</f>
        <v>-26.12107138023174</v>
      </c>
      <c r="BY14">
        <f>IF(ISBLANK(BLcorrectedCurrent!BY14),"",BLcorrectedCurrent!BY14/BLcorrectedCurrent!BY$3)</f>
        <v>-46.477880748215867</v>
      </c>
      <c r="BZ14">
        <f>IF(ISBLANK(BLcorrectedCurrent!BZ14),"",BLcorrectedCurrent!BZ14/BLcorrectedCurrent!BZ$3)</f>
        <v>-13.001944396312476</v>
      </c>
      <c r="CA14">
        <f>IF(ISBLANK(BLcorrectedCurrent!CA14),"",BLcorrectedCurrent!CA14/BLcorrectedCurrent!CA$3)</f>
        <v>-32.53838846625316</v>
      </c>
      <c r="CB14">
        <f>IF(ISBLANK(BLcorrectedCurrent!CB14),"",BLcorrectedCurrent!CB14/BLcorrectedCurrent!CB$3)</f>
        <v>-19.356581812430537</v>
      </c>
      <c r="CC14">
        <f>IF(ISBLANK(BLcorrectedCurrent!CC14),"",BLcorrectedCurrent!CC14/BLcorrectedCurrent!CC$3)</f>
        <v>-19.574651429589661</v>
      </c>
      <c r="CD14">
        <f>IF(ISBLANK(BLcorrectedCurrent!CD14),"",BLcorrectedCurrent!CD14/BLcorrectedCurrent!CD$3)</f>
        <v>-48.860977850002214</v>
      </c>
    </row>
    <row r="15" spans="1:82" x14ac:dyDescent="0.2">
      <c r="A15" s="3">
        <f t="shared" si="0"/>
        <v>0</v>
      </c>
      <c r="B15">
        <f>IF(ISBLANK(BLcorrectedCurrent!B15),"",BLcorrectedCurrent!B15/BLcorrectedCurrent!B$3)</f>
        <v>-1043.9303587569932</v>
      </c>
      <c r="C15">
        <f>IF(ISBLANK(BLcorrectedCurrent!C15),"",BLcorrectedCurrent!C15/BLcorrectedCurrent!C$3)</f>
        <v>-316.72758226509819</v>
      </c>
      <c r="D15">
        <f>IF(ISBLANK(BLcorrectedCurrent!D15),"",BLcorrectedCurrent!D15/BLcorrectedCurrent!D$3)</f>
        <v>-213.03632408796989</v>
      </c>
      <c r="E15">
        <f>IF(ISBLANK(BLcorrectedCurrent!E15),"",BLcorrectedCurrent!E15/BLcorrectedCurrent!E$3)</f>
        <v>-595.7297469966137</v>
      </c>
      <c r="F15">
        <f>IF(ISBLANK(BLcorrectedCurrent!F15),"",BLcorrectedCurrent!F15/BLcorrectedCurrent!F$3)</f>
        <v>-732.79425933738469</v>
      </c>
      <c r="G15">
        <f>IF(ISBLANK(BLcorrectedCurrent!G15),"",BLcorrectedCurrent!G15/BLcorrectedCurrent!G$3)</f>
        <v>-268.34459587993291</v>
      </c>
      <c r="H15">
        <f>IF(ISBLANK(BLcorrectedCurrent!H15),"",BLcorrectedCurrent!H15/BLcorrectedCurrent!H$3)</f>
        <v>-295.41588167883049</v>
      </c>
      <c r="I15">
        <f>IF(ISBLANK(BLcorrectedCurrent!I15),"",BLcorrectedCurrent!I15/BLcorrectedCurrent!I$3)</f>
        <v>-337.53153881355689</v>
      </c>
      <c r="J15">
        <f>IF(ISBLANK(BLcorrectedCurrent!J15),"",BLcorrectedCurrent!J15/BLcorrectedCurrent!J$3)</f>
        <v>-969.31198844499659</v>
      </c>
      <c r="K15">
        <f>IF(ISBLANK(BLcorrectedCurrent!K15),"",BLcorrectedCurrent!K15/BLcorrectedCurrent!K$3)</f>
        <v>-495.30450338824085</v>
      </c>
      <c r="L15">
        <f>IF(ISBLANK(BLcorrectedCurrent!L15),"",BLcorrectedCurrent!L15/BLcorrectedCurrent!L$3)</f>
        <v>-101.17111464362974</v>
      </c>
      <c r="M15">
        <f>IF(ISBLANK(BLcorrectedCurrent!M15),"",BLcorrectedCurrent!M15/BLcorrectedCurrent!M$3)</f>
        <v>-433.45571937675902</v>
      </c>
      <c r="N15">
        <f>IF(ISBLANK(BLcorrectedCurrent!N15),"",BLcorrectedCurrent!N15/BLcorrectedCurrent!N$3)</f>
        <v>-169.2817393582167</v>
      </c>
      <c r="O15">
        <f>IF(ISBLANK(BLcorrectedCurrent!O15),"",BLcorrectedCurrent!O15/BLcorrectedCurrent!O$3)</f>
        <v>-206.23072070973961</v>
      </c>
      <c r="P15">
        <f>IF(ISBLANK(BLcorrectedCurrent!P15),"",BLcorrectedCurrent!P15/BLcorrectedCurrent!P$3)</f>
        <v>-134.16040045870741</v>
      </c>
      <c r="Q15">
        <f>IF(ISBLANK(BLcorrectedCurrent!Q15),"",BLcorrectedCurrent!Q15/BLcorrectedCurrent!Q$3)</f>
        <v>-142.54112393022692</v>
      </c>
      <c r="R15">
        <f>IF(ISBLANK(BLcorrectedCurrent!R15),"",BLcorrectedCurrent!R15/BLcorrectedCurrent!R$3)</f>
        <v>-190.19695410610922</v>
      </c>
      <c r="S15">
        <f>IF(ISBLANK(BLcorrectedCurrent!S15),"",BLcorrectedCurrent!S15/BLcorrectedCurrent!S$3)</f>
        <v>-204.28477393478516</v>
      </c>
      <c r="T15">
        <f>IF(ISBLANK(BLcorrectedCurrent!T15),"",BLcorrectedCurrent!T15/BLcorrectedCurrent!T$3)</f>
        <v>-135.17437266602565</v>
      </c>
      <c r="U15">
        <f>IF(ISBLANK(BLcorrectedCurrent!U15),"",BLcorrectedCurrent!U15/BLcorrectedCurrent!U$3)</f>
        <v>-238.92970861839424</v>
      </c>
      <c r="V15">
        <f>IF(ISBLANK(BLcorrectedCurrent!V15),"",BLcorrectedCurrent!V15/BLcorrectedCurrent!V$3)</f>
        <v>-339.38694283192876</v>
      </c>
      <c r="W15">
        <f>IF(ISBLANK(BLcorrectedCurrent!W15),"",BLcorrectedCurrent!W15/BLcorrectedCurrent!W$3)</f>
        <v>-126.99387071311497</v>
      </c>
      <c r="X15">
        <f>IF(ISBLANK(BLcorrectedCurrent!X15),"",BLcorrectedCurrent!X15/BLcorrectedCurrent!X$3)</f>
        <v>-223.98672385279474</v>
      </c>
      <c r="Y15">
        <f>IF(ISBLANK(BLcorrectedCurrent!Y15),"",BLcorrectedCurrent!Y15/BLcorrectedCurrent!Y$3)</f>
        <v>-198.5192684420752</v>
      </c>
      <c r="Z15">
        <f>IF(ISBLANK(BLcorrectedCurrent!Z15),"",BLcorrectedCurrent!Z15/BLcorrectedCurrent!Z$3)</f>
        <v>-301.62087299995341</v>
      </c>
      <c r="AA15">
        <f>IF(ISBLANK(BLcorrectedCurrent!AA15),"",BLcorrectedCurrent!AA15/BLcorrectedCurrent!AA$3)</f>
        <v>-296.71669814486171</v>
      </c>
      <c r="AB15">
        <f>IF(ISBLANK(BLcorrectedCurrent!AB15),"",BLcorrectedCurrent!AB15/BLcorrectedCurrent!AB$3)</f>
        <v>-57.275416272234004</v>
      </c>
      <c r="AC15">
        <f>IF(ISBLANK(BLcorrectedCurrent!AC15),"",BLcorrectedCurrent!AC15/BLcorrectedCurrent!AC$3)</f>
        <v>-352.16318025605455</v>
      </c>
      <c r="AD15">
        <f>IF(ISBLANK(BLcorrectedCurrent!AD15),"",BLcorrectedCurrent!AD15/BLcorrectedCurrent!AD$3)</f>
        <v>-33.162192823100582</v>
      </c>
      <c r="AE15">
        <f>IF(ISBLANK(BLcorrectedCurrent!AE15),"",BLcorrectedCurrent!AE15/BLcorrectedCurrent!AE$3)</f>
        <v>-120.22587317785664</v>
      </c>
      <c r="AF15">
        <f>IF(ISBLANK(BLcorrectedCurrent!AF15),"",BLcorrectedCurrent!AF15/BLcorrectedCurrent!AF$3)</f>
        <v>-154.34688914220177</v>
      </c>
      <c r="AG15">
        <f>IF(ISBLANK(BLcorrectedCurrent!AG15),"",BLcorrectedCurrent!AG15/BLcorrectedCurrent!AG$3)</f>
        <v>-132.78972824178652</v>
      </c>
      <c r="AH15">
        <f>IF(ISBLANK(BLcorrectedCurrent!AH15),"",BLcorrectedCurrent!AH15/BLcorrectedCurrent!AH$3)</f>
        <v>-71.832111637704571</v>
      </c>
      <c r="AI15">
        <f>IF(ISBLANK(BLcorrectedCurrent!AI15),"",BLcorrectedCurrent!AI15/BLcorrectedCurrent!AI$3)</f>
        <v>-104.08491751520603</v>
      </c>
      <c r="AJ15">
        <f>IF(ISBLANK(BLcorrectedCurrent!AJ15),"",BLcorrectedCurrent!AJ15/BLcorrectedCurrent!AJ$3)</f>
        <v>-169.16054242569714</v>
      </c>
      <c r="AK15">
        <f>IF(ISBLANK(BLcorrectedCurrent!AK15),"",BLcorrectedCurrent!AK15/BLcorrectedCurrent!AK$3)</f>
        <v>-77.728871029404772</v>
      </c>
      <c r="AL15">
        <f>IF(ISBLANK(BLcorrectedCurrent!AL15),"",BLcorrectedCurrent!AL15/BLcorrectedCurrent!AL$3)</f>
        <v>-52.369807285539117</v>
      </c>
      <c r="AM15">
        <f>IF(ISBLANK(BLcorrectedCurrent!AM15),"",BLcorrectedCurrent!AM15/BLcorrectedCurrent!AM$3)</f>
        <v>-107.68040233406354</v>
      </c>
      <c r="AN15">
        <f>IF(ISBLANK(BLcorrectedCurrent!AN15),"",BLcorrectedCurrent!AN15/BLcorrectedCurrent!AN$3)</f>
        <v>-226.39361255768395</v>
      </c>
      <c r="AO15">
        <f>IF(ISBLANK(BLcorrectedCurrent!AO15),"",BLcorrectedCurrent!AO15/BLcorrectedCurrent!AO$3)</f>
        <v>-54.261373123830417</v>
      </c>
      <c r="AP15">
        <f>IF(ISBLANK(BLcorrectedCurrent!AP15),"",BLcorrectedCurrent!AP15/BLcorrectedCurrent!AP$3)</f>
        <v>-38.228572040909832</v>
      </c>
      <c r="AQ15">
        <f>IF(ISBLANK(BLcorrectedCurrent!AQ15),"",BLcorrectedCurrent!AQ15/BLcorrectedCurrent!AQ$3)</f>
        <v>-31.113582377412037</v>
      </c>
      <c r="AR15">
        <f>IF(ISBLANK(BLcorrectedCurrent!AR15),"",BLcorrectedCurrent!AR15/BLcorrectedCurrent!AR$3)</f>
        <v>-23.868967682270629</v>
      </c>
      <c r="AS15">
        <f>IF(ISBLANK(BLcorrectedCurrent!AS15),"",BLcorrectedCurrent!AS15/BLcorrectedCurrent!AS$3)</f>
        <v>-30.423212785284388</v>
      </c>
      <c r="AT15">
        <f>IF(ISBLANK(BLcorrectedCurrent!AT15),"",BLcorrectedCurrent!AT15/BLcorrectedCurrent!AT$3)</f>
        <v>-26.93164876391215</v>
      </c>
      <c r="AU15">
        <f>IF(ISBLANK(BLcorrectedCurrent!AU15),"",BLcorrectedCurrent!AU15/BLcorrectedCurrent!AU$3)</f>
        <v>-111.45098789143734</v>
      </c>
      <c r="AV15">
        <f>IF(ISBLANK(BLcorrectedCurrent!AV15),"",BLcorrectedCurrent!AV15/BLcorrectedCurrent!AV$3)</f>
        <v>-20.224877878288975</v>
      </c>
      <c r="AW15">
        <f>IF(ISBLANK(BLcorrectedCurrent!AW15),"",BLcorrectedCurrent!AW15/BLcorrectedCurrent!AW$3)</f>
        <v>-235.66740775082525</v>
      </c>
      <c r="AX15">
        <f>IF(ISBLANK(BLcorrectedCurrent!AX15),"",BLcorrectedCurrent!AX15/BLcorrectedCurrent!AX$3)</f>
        <v>-317.1721661772275</v>
      </c>
      <c r="AY15">
        <f>IF(ISBLANK(BLcorrectedCurrent!AY15),"",BLcorrectedCurrent!AY15/BLcorrectedCurrent!AY$3)</f>
        <v>-190.59812691703141</v>
      </c>
      <c r="AZ15">
        <f>IF(ISBLANK(BLcorrectedCurrent!AZ15),"",BLcorrectedCurrent!AZ15/BLcorrectedCurrent!AZ$3)</f>
        <v>-323.30414964540881</v>
      </c>
      <c r="BA15">
        <f>IF(ISBLANK(BLcorrectedCurrent!BA15),"",BLcorrectedCurrent!BA15/BLcorrectedCurrent!BA$3)</f>
        <v>-118.18909350313152</v>
      </c>
      <c r="BB15">
        <f>IF(ISBLANK(BLcorrectedCurrent!BB15),"",BLcorrectedCurrent!BB15/BLcorrectedCurrent!BB$3)</f>
        <v>-79.275791087631873</v>
      </c>
      <c r="BC15">
        <f>IF(ISBLANK(BLcorrectedCurrent!BC15),"",BLcorrectedCurrent!BC15/BLcorrectedCurrent!BC$3)</f>
        <v>-62.043966654165857</v>
      </c>
      <c r="BD15">
        <f>IF(ISBLANK(BLcorrectedCurrent!BD15),"",BLcorrectedCurrent!BD15/BLcorrectedCurrent!BD$3)</f>
        <v>-78.275331925966881</v>
      </c>
      <c r="BE15">
        <f>IF(ISBLANK(BLcorrectedCurrent!BE15),"",BLcorrectedCurrent!BE15/BLcorrectedCurrent!BE$3)</f>
        <v>-80.794381756958913</v>
      </c>
      <c r="BF15">
        <f>IF(ISBLANK(BLcorrectedCurrent!BF15),"",BLcorrectedCurrent!BF15/BLcorrectedCurrent!BF$3)</f>
        <v>-31.090483467274119</v>
      </c>
      <c r="BG15">
        <f>IF(ISBLANK(BLcorrectedCurrent!BG15),"",BLcorrectedCurrent!BG15/BLcorrectedCurrent!BG$3)</f>
        <v>-107.69777136250013</v>
      </c>
      <c r="BH15">
        <f>IF(ISBLANK(BLcorrectedCurrent!BH15),"",BLcorrectedCurrent!BH15/BLcorrectedCurrent!BH$3)</f>
        <v>-24.702408656682572</v>
      </c>
      <c r="BI15">
        <f>IF(ISBLANK(BLcorrectedCurrent!BI15),"",BLcorrectedCurrent!BI15/BLcorrectedCurrent!BI$3)</f>
        <v>-13.043406785530447</v>
      </c>
      <c r="BJ15">
        <f>IF(ISBLANK(BLcorrectedCurrent!BJ15),"",BLcorrectedCurrent!BJ15/BLcorrectedCurrent!BJ$3)</f>
        <v>-18.617893334522616</v>
      </c>
      <c r="BK15">
        <f>IF(ISBLANK(BLcorrectedCurrent!BK15),"",BLcorrectedCurrent!BK15/BLcorrectedCurrent!BK$3)</f>
        <v>-52.025422712934365</v>
      </c>
      <c r="BL15">
        <f>IF(ISBLANK(BLcorrectedCurrent!BL15),"",BLcorrectedCurrent!BL15/BLcorrectedCurrent!BL$3)</f>
        <v>-83.282899121537099</v>
      </c>
      <c r="BM15">
        <f>IF(ISBLANK(BLcorrectedCurrent!BM15),"",BLcorrectedCurrent!BM15/BLcorrectedCurrent!BM$3)</f>
        <v>-106.46063996342771</v>
      </c>
      <c r="BN15">
        <f>IF(ISBLANK(BLcorrectedCurrent!BN15),"",BLcorrectedCurrent!BN15/BLcorrectedCurrent!BN$3)</f>
        <v>-113.20390046899657</v>
      </c>
      <c r="BO15">
        <f>IF(ISBLANK(BLcorrectedCurrent!BO15),"",BLcorrectedCurrent!BO15/BLcorrectedCurrent!BO$3)</f>
        <v>-127.19402624598</v>
      </c>
      <c r="BP15">
        <f>IF(ISBLANK(BLcorrectedCurrent!BP15),"",BLcorrectedCurrent!BP15/BLcorrectedCurrent!BP$3)</f>
        <v>-122.70801962634256</v>
      </c>
      <c r="BQ15">
        <f>IF(ISBLANK(BLcorrectedCurrent!BQ15),"",BLcorrectedCurrent!BQ15/BLcorrectedCurrent!BQ$3)</f>
        <v>-102.76732311237625</v>
      </c>
      <c r="BR15">
        <f>IF(ISBLANK(BLcorrectedCurrent!BR15),"",BLcorrectedCurrent!BR15/BLcorrectedCurrent!BR$3)</f>
        <v>-93.865256793083105</v>
      </c>
      <c r="BS15">
        <f>IF(ISBLANK(BLcorrectedCurrent!BS15),"",BLcorrectedCurrent!BS15/BLcorrectedCurrent!BS$3)</f>
        <v>-126.76928856468513</v>
      </c>
      <c r="BT15">
        <f>IF(ISBLANK(BLcorrectedCurrent!BT15),"",BLcorrectedCurrent!BT15/BLcorrectedCurrent!BT$3)</f>
        <v>-45.302565904975786</v>
      </c>
      <c r="BU15">
        <f>IF(ISBLANK(BLcorrectedCurrent!BU15),"",BLcorrectedCurrent!BU15/BLcorrectedCurrent!BU$3)</f>
        <v>-74.70949163314863</v>
      </c>
      <c r="BV15">
        <f>IF(ISBLANK(BLcorrectedCurrent!BV15),"",BLcorrectedCurrent!BV15/BLcorrectedCurrent!BV$3)</f>
        <v>-11.290256649187992</v>
      </c>
      <c r="BW15">
        <f>IF(ISBLANK(BLcorrectedCurrent!BW15),"",BLcorrectedCurrent!BW15/BLcorrectedCurrent!BW$3)</f>
        <v>-33.442619221108451</v>
      </c>
      <c r="BX15">
        <f>IF(ISBLANK(BLcorrectedCurrent!BX15),"",BLcorrectedCurrent!BX15/BLcorrectedCurrent!BX$3)</f>
        <v>-37.768568567612412</v>
      </c>
      <c r="BY15">
        <f>IF(ISBLANK(BLcorrectedCurrent!BY15),"",BLcorrectedCurrent!BY15/BLcorrectedCurrent!BY$3)</f>
        <v>-70.301554971043359</v>
      </c>
      <c r="BZ15">
        <f>IF(ISBLANK(BLcorrectedCurrent!BZ15),"",BLcorrectedCurrent!BZ15/BLcorrectedCurrent!BZ$3)</f>
        <v>-20.029544722000878</v>
      </c>
      <c r="CA15">
        <f>IF(ISBLANK(BLcorrectedCurrent!CA15),"",BLcorrectedCurrent!CA15/BLcorrectedCurrent!CA$3)</f>
        <v>-52.757791245782023</v>
      </c>
      <c r="CB15">
        <f>IF(ISBLANK(BLcorrectedCurrent!CB15),"",BLcorrectedCurrent!CB15/BLcorrectedCurrent!CB$3)</f>
        <v>-23.750267426116746</v>
      </c>
      <c r="CC15">
        <f>IF(ISBLANK(BLcorrectedCurrent!CC15),"",BLcorrectedCurrent!CC15/BLcorrectedCurrent!CC$3)</f>
        <v>-28.425181964132712</v>
      </c>
      <c r="CD15">
        <f>IF(ISBLANK(BLcorrectedCurrent!CD15),"",BLcorrectedCurrent!CD15/BLcorrectedCurrent!CD$3)</f>
        <v>-75.349294658471862</v>
      </c>
    </row>
    <row r="16" spans="1:82" x14ac:dyDescent="0.2">
      <c r="A16" s="3">
        <f t="shared" si="0"/>
        <v>10</v>
      </c>
      <c r="B16">
        <f>IF(ISBLANK(BLcorrectedCurrent!B16),"",BLcorrectedCurrent!B16/BLcorrectedCurrent!B$3)</f>
        <v>-1083.4116354119101</v>
      </c>
      <c r="C16">
        <f>IF(ISBLANK(BLcorrectedCurrent!C16),"",BLcorrectedCurrent!C16/BLcorrectedCurrent!C$3)</f>
        <v>-289.65565693834958</v>
      </c>
      <c r="D16">
        <f>IF(ISBLANK(BLcorrectedCurrent!D16),"",BLcorrectedCurrent!D16/BLcorrectedCurrent!D$3)</f>
        <v>-228.12117159175153</v>
      </c>
      <c r="E16">
        <f>IF(ISBLANK(BLcorrectedCurrent!E16),"",BLcorrectedCurrent!E16/BLcorrectedCurrent!E$3)</f>
        <v>-554.44520789956596</v>
      </c>
      <c r="F16">
        <f>IF(ISBLANK(BLcorrectedCurrent!F16),"",BLcorrectedCurrent!F16/BLcorrectedCurrent!F$3)</f>
        <v>-822.36901615702607</v>
      </c>
      <c r="G16">
        <f>IF(ISBLANK(BLcorrectedCurrent!G16),"",BLcorrectedCurrent!G16/BLcorrectedCurrent!G$3)</f>
        <v>-242.48348964862225</v>
      </c>
      <c r="H16">
        <f>IF(ISBLANK(BLcorrectedCurrent!H16),"",BLcorrectedCurrent!H16/BLcorrectedCurrent!H$3)</f>
        <v>-327.53381397985339</v>
      </c>
      <c r="I16">
        <f>IF(ISBLANK(BLcorrectedCurrent!I16),"",BLcorrectedCurrent!I16/BLcorrectedCurrent!I$3)</f>
        <v>-304.53141120883936</v>
      </c>
      <c r="J16">
        <f>IF(ISBLANK(BLcorrectedCurrent!J16),"",BLcorrectedCurrent!J16/BLcorrectedCurrent!J$3)</f>
        <v>-930.87901492396213</v>
      </c>
      <c r="K16">
        <f>IF(ISBLANK(BLcorrectedCurrent!K16),"",BLcorrectedCurrent!K16/BLcorrectedCurrent!K$3)</f>
        <v>-508.80303631150906</v>
      </c>
      <c r="L16">
        <f>IF(ISBLANK(BLcorrectedCurrent!L16),"",BLcorrectedCurrent!L16/BLcorrectedCurrent!L$3)</f>
        <v>-105.93358849880764</v>
      </c>
      <c r="M16">
        <f>IF(ISBLANK(BLcorrectedCurrent!M16),"",BLcorrectedCurrent!M16/BLcorrectedCurrent!M$3)</f>
        <v>-382.75572885045574</v>
      </c>
      <c r="N16">
        <f>IF(ISBLANK(BLcorrectedCurrent!N16),"",BLcorrectedCurrent!N16/BLcorrectedCurrent!N$3)</f>
        <v>-158.2722424713009</v>
      </c>
      <c r="O16">
        <f>IF(ISBLANK(BLcorrectedCurrent!O16),"",BLcorrectedCurrent!O16/BLcorrectedCurrent!O$3)</f>
        <v>-187.33195029295808</v>
      </c>
      <c r="P16">
        <f>IF(ISBLANK(BLcorrectedCurrent!P16),"",BLcorrectedCurrent!P16/BLcorrectedCurrent!P$3)</f>
        <v>-268.44231211374768</v>
      </c>
      <c r="Q16">
        <f>IF(ISBLANK(BLcorrectedCurrent!Q16),"",BLcorrectedCurrent!Q16/BLcorrectedCurrent!Q$3)</f>
        <v>-154.97750220819151</v>
      </c>
      <c r="R16">
        <f>IF(ISBLANK(BLcorrectedCurrent!R16),"",BLcorrectedCurrent!R16/BLcorrectedCurrent!R$3)</f>
        <v>-208.03421672498345</v>
      </c>
      <c r="S16">
        <f>IF(ISBLANK(BLcorrectedCurrent!S16),"",BLcorrectedCurrent!S16/BLcorrectedCurrent!S$3)</f>
        <v>-194.12725338452776</v>
      </c>
      <c r="T16">
        <f>IF(ISBLANK(BLcorrectedCurrent!T16),"",BLcorrectedCurrent!T16/BLcorrectedCurrent!T$3)</f>
        <v>-121.13156680615377</v>
      </c>
      <c r="U16">
        <f>IF(ISBLANK(BLcorrectedCurrent!U16),"",BLcorrectedCurrent!U16/BLcorrectedCurrent!U$3)</f>
        <v>-213.63940525012197</v>
      </c>
      <c r="V16">
        <f>IF(ISBLANK(BLcorrectedCurrent!V16),"",BLcorrectedCurrent!V16/BLcorrectedCurrent!V$3)</f>
        <v>-421.51422181675792</v>
      </c>
      <c r="W16">
        <f>IF(ISBLANK(BLcorrectedCurrent!W16),"",BLcorrectedCurrent!W16/BLcorrectedCurrent!W$3)</f>
        <v>-146.37057526375924</v>
      </c>
      <c r="X16">
        <f>IF(ISBLANK(BLcorrectedCurrent!X16),"",BLcorrectedCurrent!X16/BLcorrectedCurrent!X$3)</f>
        <v>-221.88218370323864</v>
      </c>
      <c r="Y16">
        <f>IF(ISBLANK(BLcorrectedCurrent!Y16),"",BLcorrectedCurrent!Y16/BLcorrectedCurrent!Y$3)</f>
        <v>-248.20878876621859</v>
      </c>
      <c r="Z16">
        <f>IF(ISBLANK(BLcorrectedCurrent!Z16),"",BLcorrectedCurrent!Z16/BLcorrectedCurrent!Z$3)</f>
        <v>-347.04924976278716</v>
      </c>
      <c r="AA16">
        <f>IF(ISBLANK(BLcorrectedCurrent!AA16),"",BLcorrectedCurrent!AA16/BLcorrectedCurrent!AA$3)</f>
        <v>-340.80464049509231</v>
      </c>
      <c r="AB16">
        <f>IF(ISBLANK(BLcorrectedCurrent!AB16),"",BLcorrectedCurrent!AB16/BLcorrectedCurrent!AB$3)</f>
        <v>-54.803733250816684</v>
      </c>
      <c r="AC16">
        <f>IF(ISBLANK(BLcorrectedCurrent!AC16),"",BLcorrectedCurrent!AC16/BLcorrectedCurrent!AC$3)</f>
        <v>-325.65199188548428</v>
      </c>
      <c r="AD16">
        <f>IF(ISBLANK(BLcorrectedCurrent!AD16),"",BLcorrectedCurrent!AD16/BLcorrectedCurrent!AD$3)</f>
        <v>-78.659395540887417</v>
      </c>
      <c r="AE16">
        <f>IF(ISBLANK(BLcorrectedCurrent!AE16),"",BLcorrectedCurrent!AE16/BLcorrectedCurrent!AE$3)</f>
        <v>-224.95082896881277</v>
      </c>
      <c r="AF16">
        <f>IF(ISBLANK(BLcorrectedCurrent!AF16),"",BLcorrectedCurrent!AF16/BLcorrectedCurrent!AF$3)</f>
        <v>-159.14068973612706</v>
      </c>
      <c r="AG16">
        <f>IF(ISBLANK(BLcorrectedCurrent!AG16),"",BLcorrectedCurrent!AG16/BLcorrectedCurrent!AG$3)</f>
        <v>-138.88617489455089</v>
      </c>
      <c r="AH16">
        <f>IF(ISBLANK(BLcorrectedCurrent!AH16),"",BLcorrectedCurrent!AH16/BLcorrectedCurrent!AH$3)</f>
        <v>-84.411818881746669</v>
      </c>
      <c r="AI16">
        <f>IF(ISBLANK(BLcorrectedCurrent!AI16),"",BLcorrectedCurrent!AI16/BLcorrectedCurrent!AI$3)</f>
        <v>-106.85204891903331</v>
      </c>
      <c r="AJ16">
        <f>IF(ISBLANK(BLcorrectedCurrent!AJ16),"",BLcorrectedCurrent!AJ16/BLcorrectedCurrent!AJ$3)</f>
        <v>-194.74397396077595</v>
      </c>
      <c r="AK16">
        <f>IF(ISBLANK(BLcorrectedCurrent!AK16),"",BLcorrectedCurrent!AK16/BLcorrectedCurrent!AK$3)</f>
        <v>-75.224557200342048</v>
      </c>
      <c r="AL16">
        <f>IF(ISBLANK(BLcorrectedCurrent!AL16),"",BLcorrectedCurrent!AL16/BLcorrectedCurrent!AL$3)</f>
        <v>-68.086535788045794</v>
      </c>
      <c r="AM16">
        <f>IF(ISBLANK(BLcorrectedCurrent!AM16),"",BLcorrectedCurrent!AM16/BLcorrectedCurrent!AM$3)</f>
        <v>-112.27735625131851</v>
      </c>
      <c r="AN16">
        <f>IF(ISBLANK(BLcorrectedCurrent!AN16),"",BLcorrectedCurrent!AN16/BLcorrectedCurrent!AN$3)</f>
        <v>-225.29048449451636</v>
      </c>
      <c r="AO16">
        <f>IF(ISBLANK(BLcorrectedCurrent!AO16),"",BLcorrectedCurrent!AO16/BLcorrectedCurrent!AO$3)</f>
        <v>-57.60860213812726</v>
      </c>
      <c r="AP16">
        <f>IF(ISBLANK(BLcorrectedCurrent!AP16),"",BLcorrectedCurrent!AP16/BLcorrectedCurrent!AP$3)</f>
        <v>-41.270992058257143</v>
      </c>
      <c r="AQ16">
        <f>IF(ISBLANK(BLcorrectedCurrent!AQ16),"",BLcorrectedCurrent!AQ16/BLcorrectedCurrent!AQ$3)</f>
        <v>-33.220615796490584</v>
      </c>
      <c r="AR16">
        <f>IF(ISBLANK(BLcorrectedCurrent!AR16),"",BLcorrectedCurrent!AR16/BLcorrectedCurrent!AR$3)</f>
        <v>-27.241381405529566</v>
      </c>
      <c r="AS16">
        <f>IF(ISBLANK(BLcorrectedCurrent!AS16),"",BLcorrectedCurrent!AS16/BLcorrectedCurrent!AS$3)</f>
        <v>-32.885860093821925</v>
      </c>
      <c r="AT16">
        <f>IF(ISBLANK(BLcorrectedCurrent!AT16),"",BLcorrectedCurrent!AT16/BLcorrectedCurrent!AT$3)</f>
        <v>-36.182464551212412</v>
      </c>
      <c r="AU16">
        <f>IF(ISBLANK(BLcorrectedCurrent!AU16),"",BLcorrectedCurrent!AU16/BLcorrectedCurrent!AU$3)</f>
        <v>-132.08838604887933</v>
      </c>
      <c r="AV16">
        <f>IF(ISBLANK(BLcorrectedCurrent!AV16),"",BLcorrectedCurrent!AV16/BLcorrectedCurrent!AV$3)</f>
        <v>-23.793026703145383</v>
      </c>
      <c r="AW16">
        <f>IF(ISBLANK(BLcorrectedCurrent!AW16),"",BLcorrectedCurrent!AW16/BLcorrectedCurrent!AW$3)</f>
        <v>-278.99705590924458</v>
      </c>
      <c r="AX16">
        <f>IF(ISBLANK(BLcorrectedCurrent!AX16),"",BLcorrectedCurrent!AX16/BLcorrectedCurrent!AX$3)</f>
        <v>-316.08724155325871</v>
      </c>
      <c r="AY16">
        <f>IF(ISBLANK(BLcorrectedCurrent!AY16),"",BLcorrectedCurrent!AY16/BLcorrectedCurrent!AY$3)</f>
        <v>-182.12114693523563</v>
      </c>
      <c r="AZ16">
        <f>IF(ISBLANK(BLcorrectedCurrent!AZ16),"",BLcorrectedCurrent!AZ16/BLcorrectedCurrent!AZ$3)</f>
        <v>-353.37388391882655</v>
      </c>
      <c r="BA16">
        <f>IF(ISBLANK(BLcorrectedCurrent!BA16),"",BLcorrectedCurrent!BA16/BLcorrectedCurrent!BA$3)</f>
        <v>-139.87578640927742</v>
      </c>
      <c r="BB16">
        <f>IF(ISBLANK(BLcorrectedCurrent!BB16),"",BLcorrectedCurrent!BB16/BLcorrectedCurrent!BB$3)</f>
        <v>-84.635180216706104</v>
      </c>
      <c r="BC16">
        <f>IF(ISBLANK(BLcorrectedCurrent!BC16),"",BLcorrectedCurrent!BC16/BLcorrectedCurrent!BC$3)</f>
        <v>-62.340107026419879</v>
      </c>
      <c r="BD16">
        <f>IF(ISBLANK(BLcorrectedCurrent!BD16),"",BLcorrectedCurrent!BD16/BLcorrectedCurrent!BD$3)</f>
        <v>-83.431577346310746</v>
      </c>
      <c r="BE16">
        <f>IF(ISBLANK(BLcorrectedCurrent!BE16),"",BLcorrectedCurrent!BE16/BLcorrectedCurrent!BE$3)</f>
        <v>-94.104324543389538</v>
      </c>
      <c r="BF16">
        <f>IF(ISBLANK(BLcorrectedCurrent!BF16),"",BLcorrectedCurrent!BF16/BLcorrectedCurrent!BF$3)</f>
        <v>-40.380121971869919</v>
      </c>
      <c r="BG16">
        <f>IF(ISBLANK(BLcorrectedCurrent!BG16),"",BLcorrectedCurrent!BG16/BLcorrectedCurrent!BG$3)</f>
        <v>-120.15868849166718</v>
      </c>
      <c r="BH16">
        <f>IF(ISBLANK(BLcorrectedCurrent!BH16),"",BLcorrectedCurrent!BH16/BLcorrectedCurrent!BH$3)</f>
        <v>-24.989661700605815</v>
      </c>
      <c r="BI16">
        <f>IF(ISBLANK(BLcorrectedCurrent!BI16),"",BLcorrectedCurrent!BI16/BLcorrectedCurrent!BI$3)</f>
        <v>-13.34370460998111</v>
      </c>
      <c r="BJ16">
        <f>IF(ISBLANK(BLcorrectedCurrent!BJ16),"",BLcorrectedCurrent!BJ16/BLcorrectedCurrent!BJ$3)</f>
        <v>-22.181283294584702</v>
      </c>
      <c r="BK16">
        <f>IF(ISBLANK(BLcorrectedCurrent!BK16),"",BLcorrectedCurrent!BK16/BLcorrectedCurrent!BK$3)</f>
        <v>-61.917710571572862</v>
      </c>
      <c r="BL16">
        <f>IF(ISBLANK(BLcorrectedCurrent!BL16),"",BLcorrectedCurrent!BL16/BLcorrectedCurrent!BL$3)</f>
        <v>-86.945364641993976</v>
      </c>
      <c r="BM16">
        <f>IF(ISBLANK(BLcorrectedCurrent!BM16),"",BLcorrectedCurrent!BM16/BLcorrectedCurrent!BM$3)</f>
        <v>-112.67243757286242</v>
      </c>
      <c r="BN16">
        <f>IF(ISBLANK(BLcorrectedCurrent!BN16),"",BLcorrectedCurrent!BN16/BLcorrectedCurrent!BN$3)</f>
        <v>-114.01408885196201</v>
      </c>
      <c r="BO16">
        <f>IF(ISBLANK(BLcorrectedCurrent!BO16),"",BLcorrectedCurrent!BO16/BLcorrectedCurrent!BO$3)</f>
        <v>-124.22445236778407</v>
      </c>
      <c r="BP16">
        <f>IF(ISBLANK(BLcorrectedCurrent!BP16),"",BLcorrectedCurrent!BP16/BLcorrectedCurrent!BP$3)</f>
        <v>-127.84869826692035</v>
      </c>
      <c r="BQ16">
        <f>IF(ISBLANK(BLcorrectedCurrent!BQ16),"",BLcorrectedCurrent!BQ16/BLcorrectedCurrent!BQ$3)</f>
        <v>-118.67455167881738</v>
      </c>
      <c r="BR16">
        <f>IF(ISBLANK(BLcorrectedCurrent!BR16),"",BLcorrectedCurrent!BR16/BLcorrectedCurrent!BR$3)</f>
        <v>-100.50034994325397</v>
      </c>
      <c r="BS16">
        <f>IF(ISBLANK(BLcorrectedCurrent!BS16),"",BLcorrectedCurrent!BS16/BLcorrectedCurrent!BS$3)</f>
        <v>-120.25733900150809</v>
      </c>
      <c r="BT16">
        <f>IF(ISBLANK(BLcorrectedCurrent!BT16),"",BLcorrectedCurrent!BT16/BLcorrectedCurrent!BT$3)</f>
        <v>-50.903206753805087</v>
      </c>
      <c r="BU16">
        <f>IF(ISBLANK(BLcorrectedCurrent!BU16),"",BLcorrectedCurrent!BU16/BLcorrectedCurrent!BU$3)</f>
        <v>-80.608737529208298</v>
      </c>
      <c r="BV16">
        <f>IF(ISBLANK(BLcorrectedCurrent!BV16),"",BLcorrectedCurrent!BV16/BLcorrectedCurrent!BV$3)</f>
        <v>-13.143408922484037</v>
      </c>
      <c r="BW16">
        <f>IF(ISBLANK(BLcorrectedCurrent!BW16),"",BLcorrectedCurrent!BW16/BLcorrectedCurrent!BW$3)</f>
        <v>-54.291274223348523</v>
      </c>
      <c r="BX16">
        <f>IF(ISBLANK(BLcorrectedCurrent!BX16),"",BLcorrectedCurrent!BX16/BLcorrectedCurrent!BX$3)</f>
        <v>-42.659622875477091</v>
      </c>
      <c r="BY16">
        <f>IF(ISBLANK(BLcorrectedCurrent!BY16),"",BLcorrectedCurrent!BY16/BLcorrectedCurrent!BY$3)</f>
        <v>-77.892754166183167</v>
      </c>
      <c r="BZ16">
        <f>IF(ISBLANK(BLcorrectedCurrent!BZ16),"",BLcorrectedCurrent!BZ16/BLcorrectedCurrent!BZ$3)</f>
        <v>-24.996315409844165</v>
      </c>
      <c r="CA16">
        <f>IF(ISBLANK(BLcorrectedCurrent!CA16),"",BLcorrectedCurrent!CA16/BLcorrectedCurrent!CA$3)</f>
        <v>-57.868413308439173</v>
      </c>
      <c r="CB16">
        <f>IF(ISBLANK(BLcorrectedCurrent!CB16),"",BLcorrectedCurrent!CB16/BLcorrectedCurrent!CB$3)</f>
        <v>-24.270424726122126</v>
      </c>
      <c r="CC16">
        <f>IF(ISBLANK(BLcorrectedCurrent!CC16),"",BLcorrectedCurrent!CC16/BLcorrectedCurrent!CC$3)</f>
        <v>-40.954057645934817</v>
      </c>
      <c r="CD16">
        <f>IF(ISBLANK(BLcorrectedCurrent!CD16),"",BLcorrectedCurrent!CD16/BLcorrectedCurrent!CD$3)</f>
        <v>-89.824810180192443</v>
      </c>
    </row>
    <row r="17" spans="1:82" x14ac:dyDescent="0.2">
      <c r="A17" s="3">
        <f t="shared" si="0"/>
        <v>20</v>
      </c>
      <c r="B17">
        <f>IF(ISBLANK(BLcorrectedCurrent!B17),"",BLcorrectedCurrent!B17/BLcorrectedCurrent!B$3)</f>
        <v>-1005.6213145173758</v>
      </c>
      <c r="C17">
        <f>IF(ISBLANK(BLcorrectedCurrent!C17),"",BLcorrectedCurrent!C17/BLcorrectedCurrent!C$3)</f>
        <v>-249.32740175537282</v>
      </c>
      <c r="D17">
        <f>IF(ISBLANK(BLcorrectedCurrent!D17),"",BLcorrectedCurrent!D17/BLcorrectedCurrent!D$3)</f>
        <v>-202.75774913536918</v>
      </c>
      <c r="E17">
        <f>IF(ISBLANK(BLcorrectedCurrent!E17),"",BLcorrectedCurrent!E17/BLcorrectedCurrent!E$3)</f>
        <v>-473.63984069085967</v>
      </c>
      <c r="F17">
        <f>IF(ISBLANK(BLcorrectedCurrent!F17),"",BLcorrectedCurrent!F17/BLcorrectedCurrent!F$3)</f>
        <v>-758.01719238026772</v>
      </c>
      <c r="G17">
        <f>IF(ISBLANK(BLcorrectedCurrent!G17),"",BLcorrectedCurrent!G17/BLcorrectedCurrent!G$3)</f>
        <v>-203.51200749863503</v>
      </c>
      <c r="H17">
        <f>IF(ISBLANK(BLcorrectedCurrent!H17),"",BLcorrectedCurrent!H17/BLcorrectedCurrent!H$3)</f>
        <v>-316.91960309590706</v>
      </c>
      <c r="I17">
        <f>IF(ISBLANK(BLcorrectedCurrent!I17),"",BLcorrectedCurrent!I17/BLcorrectedCurrent!I$3)</f>
        <v>-254.79596556287152</v>
      </c>
      <c r="J17">
        <f>IF(ISBLANK(BLcorrectedCurrent!J17),"",BLcorrectedCurrent!J17/BLcorrectedCurrent!J$3)</f>
        <v>-764.24451531694058</v>
      </c>
      <c r="K17">
        <f>IF(ISBLANK(BLcorrectedCurrent!K17),"",BLcorrectedCurrent!K17/BLcorrectedCurrent!K$3)</f>
        <v>-460.6314071729829</v>
      </c>
      <c r="L17">
        <f>IF(ISBLANK(BLcorrectedCurrent!L17),"",BLcorrectedCurrent!L17/BLcorrectedCurrent!L$3)</f>
        <v>-89.552243782407871</v>
      </c>
      <c r="M17">
        <f>IF(ISBLANK(BLcorrectedCurrent!M17),"",BLcorrectedCurrent!M17/BLcorrectedCurrent!M$3)</f>
        <v>-340.83878681737531</v>
      </c>
      <c r="N17">
        <f>IF(ISBLANK(BLcorrectedCurrent!N17),"",BLcorrectedCurrent!N17/BLcorrectedCurrent!N$3)</f>
        <v>-139.57333943526046</v>
      </c>
      <c r="O17">
        <f>IF(ISBLANK(BLcorrectedCurrent!O17),"",BLcorrectedCurrent!O17/BLcorrectedCurrent!O$3)</f>
        <v>-160.8083404324118</v>
      </c>
      <c r="P17">
        <f>IF(ISBLANK(BLcorrectedCurrent!P17),"",BLcorrectedCurrent!P17/BLcorrectedCurrent!P$3)</f>
        <v>-252.7334358353117</v>
      </c>
      <c r="Q17">
        <f>IF(ISBLANK(BLcorrectedCurrent!Q17),"",BLcorrectedCurrent!Q17/BLcorrectedCurrent!Q$3)</f>
        <v>-141.55253108091983</v>
      </c>
      <c r="R17">
        <f>IF(ISBLANK(BLcorrectedCurrent!R17),"",BLcorrectedCurrent!R17/BLcorrectedCurrent!R$3)</f>
        <v>-212.62512117275128</v>
      </c>
      <c r="S17">
        <f>IF(ISBLANK(BLcorrectedCurrent!S17),"",BLcorrectedCurrent!S17/BLcorrectedCurrent!S$3)</f>
        <v>-158.73055312477905</v>
      </c>
      <c r="T17">
        <f>IF(ISBLANK(BLcorrectedCurrent!T17),"",BLcorrectedCurrent!T17/BLcorrectedCurrent!T$3)</f>
        <v>-100.27736050373258</v>
      </c>
      <c r="U17">
        <f>IF(ISBLANK(BLcorrectedCurrent!U17),"",BLcorrectedCurrent!U17/BLcorrectedCurrent!U$3)</f>
        <v>-182.95537283825433</v>
      </c>
      <c r="V17">
        <f>IF(ISBLANK(BLcorrectedCurrent!V17),"",BLcorrectedCurrent!V17/BLcorrectedCurrent!V$3)</f>
        <v>-380.92125146425735</v>
      </c>
      <c r="W17">
        <f>IF(ISBLANK(BLcorrectedCurrent!W17),"",BLcorrectedCurrent!W17/BLcorrectedCurrent!W$3)</f>
        <v>-111.20407013552561</v>
      </c>
      <c r="X17">
        <f>IF(ISBLANK(BLcorrectedCurrent!X17),"",BLcorrectedCurrent!X17/BLcorrectedCurrent!X$3)</f>
        <v>-190.05198294607331</v>
      </c>
      <c r="Y17">
        <f>IF(ISBLANK(BLcorrectedCurrent!Y17),"",BLcorrectedCurrent!Y17/BLcorrectedCurrent!Y$3)</f>
        <v>-202.70917364999363</v>
      </c>
      <c r="Z17">
        <f>IF(ISBLANK(BLcorrectedCurrent!Z17),"",BLcorrectedCurrent!Z17/BLcorrectedCurrent!Z$3)</f>
        <v>-324.48521477552487</v>
      </c>
      <c r="AA17">
        <f>IF(ISBLANK(BLcorrectedCurrent!AA17),"",BLcorrectedCurrent!AA17/BLcorrectedCurrent!AA$3)</f>
        <v>-306.53764258940174</v>
      </c>
      <c r="AB17">
        <f>IF(ISBLANK(BLcorrectedCurrent!AB17),"",BLcorrectedCurrent!AB17/BLcorrectedCurrent!AB$3)</f>
        <v>-48.619931991599834</v>
      </c>
      <c r="AC17">
        <f>IF(ISBLANK(BLcorrectedCurrent!AC17),"",BLcorrectedCurrent!AC17/BLcorrectedCurrent!AC$3)</f>
        <v>-275.85725145524958</v>
      </c>
      <c r="AD17">
        <f>IF(ISBLANK(BLcorrectedCurrent!AD17),"",BLcorrectedCurrent!AD17/BLcorrectedCurrent!AD$3)</f>
        <v>-92.013773372321026</v>
      </c>
      <c r="AE17">
        <f>IF(ISBLANK(BLcorrectedCurrent!AE17),"",BLcorrectedCurrent!AE17/BLcorrectedCurrent!AE$3)</f>
        <v>-261.54702197538461</v>
      </c>
      <c r="AF17">
        <f>IF(ISBLANK(BLcorrectedCurrent!AF17),"",BLcorrectedCurrent!AF17/BLcorrectedCurrent!AF$3)</f>
        <v>-149.78943230464805</v>
      </c>
      <c r="AG17">
        <f>IF(ISBLANK(BLcorrectedCurrent!AG17),"",BLcorrectedCurrent!AG17/BLcorrectedCurrent!AG$3)</f>
        <v>-124.18439228298342</v>
      </c>
      <c r="AH17">
        <f>IF(ISBLANK(BLcorrectedCurrent!AH17),"",BLcorrectedCurrent!AH17/BLcorrectedCurrent!AH$3)</f>
        <v>-82.748477768936439</v>
      </c>
      <c r="AI17">
        <f>IF(ISBLANK(BLcorrectedCurrent!AI17),"",BLcorrectedCurrent!AI17/BLcorrectedCurrent!AI$3)</f>
        <v>-92.110126246317748</v>
      </c>
      <c r="AJ17">
        <f>IF(ISBLANK(BLcorrectedCurrent!AJ17),"",BLcorrectedCurrent!AJ17/BLcorrectedCurrent!AJ$3)</f>
        <v>-172.47195327008092</v>
      </c>
      <c r="AK17">
        <f>IF(ISBLANK(BLcorrectedCurrent!AK17),"",BLcorrectedCurrent!AK17/BLcorrectedCurrent!AK$3)</f>
        <v>-65.203160702852117</v>
      </c>
      <c r="AL17">
        <f>IF(ISBLANK(BLcorrectedCurrent!AL17),"",BLcorrectedCurrent!AL17/BLcorrectedCurrent!AL$3)</f>
        <v>-63.06753729367793</v>
      </c>
      <c r="AM17">
        <f>IF(ISBLANK(BLcorrectedCurrent!AM17),"",BLcorrectedCurrent!AM17/BLcorrectedCurrent!AM$3)</f>
        <v>-109.27779342665612</v>
      </c>
      <c r="AN17">
        <f>IF(ISBLANK(BLcorrectedCurrent!AN17),"",BLcorrectedCurrent!AN17/BLcorrectedCurrent!AN$3)</f>
        <v>-243.58190351159729</v>
      </c>
      <c r="AO17">
        <f>IF(ISBLANK(BLcorrectedCurrent!AO17),"",BLcorrectedCurrent!AO17/BLcorrectedCurrent!AO$3)</f>
        <v>-48.442810326155623</v>
      </c>
      <c r="AP17">
        <f>IF(ISBLANK(BLcorrectedCurrent!AP17),"",BLcorrectedCurrent!AP17/BLcorrectedCurrent!AP$3)</f>
        <v>-36.843230208630807</v>
      </c>
      <c r="AQ17">
        <f>IF(ISBLANK(BLcorrectedCurrent!AQ17),"",BLcorrectedCurrent!AQ17/BLcorrectedCurrent!AQ$3)</f>
        <v>-30.826715260059803</v>
      </c>
      <c r="AR17">
        <f>IF(ISBLANK(BLcorrectedCurrent!AR17),"",BLcorrectedCurrent!AR17/BLcorrectedCurrent!AR$3)</f>
        <v>-22.998681319182129</v>
      </c>
      <c r="AS17">
        <f>IF(ISBLANK(BLcorrectedCurrent!AS17),"",BLcorrectedCurrent!AS17/BLcorrectedCurrent!AS$3)</f>
        <v>-29.748424986536953</v>
      </c>
      <c r="AT17">
        <f>IF(ISBLANK(BLcorrectedCurrent!AT17),"",BLcorrectedCurrent!AT17/BLcorrectedCurrent!AT$3)</f>
        <v>-32.921844468027444</v>
      </c>
      <c r="AU17">
        <f>IF(ISBLANK(BLcorrectedCurrent!AU17),"",BLcorrectedCurrent!AU17/BLcorrectedCurrent!AU$3)</f>
        <v>-110.34655591934106</v>
      </c>
      <c r="AV17">
        <f>IF(ISBLANK(BLcorrectedCurrent!AV17),"",BLcorrectedCurrent!AV17/BLcorrectedCurrent!AV$3)</f>
        <v>-24.547994915502155</v>
      </c>
      <c r="AW17">
        <f>IF(ISBLANK(BLcorrectedCurrent!AW17),"",BLcorrectedCurrent!AW17/BLcorrectedCurrent!AW$3)</f>
        <v>-265.67036428381249</v>
      </c>
      <c r="AX17">
        <f>IF(ISBLANK(BLcorrectedCurrent!AX17),"",BLcorrectedCurrent!AX17/BLcorrectedCurrent!AX$3)</f>
        <v>-286.77850078989695</v>
      </c>
      <c r="AY17">
        <f>IF(ISBLANK(BLcorrectedCurrent!AY17),"",BLcorrectedCurrent!AY17/BLcorrectedCurrent!AY$3)</f>
        <v>-161.05192633813945</v>
      </c>
      <c r="AZ17">
        <f>IF(ISBLANK(BLcorrectedCurrent!AZ17),"",BLcorrectedCurrent!AZ17/BLcorrectedCurrent!AZ$3)</f>
        <v>-345.2585315848512</v>
      </c>
      <c r="BA17">
        <f>IF(ISBLANK(BLcorrectedCurrent!BA17),"",BLcorrectedCurrent!BA17/BLcorrectedCurrent!BA$3)</f>
        <v>-134.72987069068049</v>
      </c>
      <c r="BB17">
        <f>IF(ISBLANK(BLcorrectedCurrent!BB17),"",BLcorrectedCurrent!BB17/BLcorrectedCurrent!BB$3)</f>
        <v>-78.770190790062969</v>
      </c>
      <c r="BC17">
        <f>IF(ISBLANK(BLcorrectedCurrent!BC17),"",BLcorrectedCurrent!BC17/BLcorrectedCurrent!BC$3)</f>
        <v>-53.429591575687702</v>
      </c>
      <c r="BD17">
        <f>IF(ISBLANK(BLcorrectedCurrent!BD17),"",BLcorrectedCurrent!BD17/BLcorrectedCurrent!BD$3)</f>
        <v>-75.931517159953572</v>
      </c>
      <c r="BE17">
        <f>IF(ISBLANK(BLcorrectedCurrent!BE17),"",BLcorrectedCurrent!BE17/BLcorrectedCurrent!BE$3)</f>
        <v>-85.434420757247153</v>
      </c>
      <c r="BF17">
        <f>IF(ISBLANK(BLcorrectedCurrent!BF17),"",BLcorrectedCurrent!BF17/BLcorrectedCurrent!BF$3)</f>
        <v>-40.936518769678237</v>
      </c>
      <c r="BG17">
        <f>IF(ISBLANK(BLcorrectedCurrent!BG17),"",BLcorrectedCurrent!BG17/BLcorrectedCurrent!BG$3)</f>
        <v>-128.11198365377049</v>
      </c>
      <c r="BH17">
        <f>IF(ISBLANK(BLcorrectedCurrent!BH17),"",BLcorrectedCurrent!BH17/BLcorrectedCurrent!BH$3)</f>
        <v>-20.507319832070131</v>
      </c>
      <c r="BI17">
        <f>IF(ISBLANK(BLcorrectedCurrent!BI17),"",BLcorrectedCurrent!BI17/BLcorrectedCurrent!BI$3)</f>
        <v>-12.075001463232699</v>
      </c>
      <c r="BJ17">
        <f>IF(ISBLANK(BLcorrectedCurrent!BJ17),"",BLcorrectedCurrent!BJ17/BLcorrectedCurrent!BJ$3)</f>
        <v>-21.270003522688093</v>
      </c>
      <c r="BK17">
        <f>IF(ISBLANK(BLcorrectedCurrent!BK17),"",BLcorrectedCurrent!BK17/BLcorrectedCurrent!BK$3)</f>
        <v>-59.408019690405489</v>
      </c>
      <c r="BL17">
        <f>IF(ISBLANK(BLcorrectedCurrent!BL17),"",BLcorrectedCurrent!BL17/BLcorrectedCurrent!BL$3)</f>
        <v>-73.383476520096281</v>
      </c>
      <c r="BM17">
        <f>IF(ISBLANK(BLcorrectedCurrent!BM17),"",BLcorrectedCurrent!BM17/BLcorrectedCurrent!BM$3)</f>
        <v>-116.50273899604775</v>
      </c>
      <c r="BN17">
        <f>IF(ISBLANK(BLcorrectedCurrent!BN17),"",BLcorrectedCurrent!BN17/BLcorrectedCurrent!BN$3)</f>
        <v>-94.130866861384632</v>
      </c>
      <c r="BO17">
        <f>IF(ISBLANK(BLcorrectedCurrent!BO17),"",BLcorrectedCurrent!BO17/BLcorrectedCurrent!BO$3)</f>
        <v>-90.316905145523606</v>
      </c>
      <c r="BP17">
        <f>IF(ISBLANK(BLcorrectedCurrent!BP17),"",BLcorrectedCurrent!BP17/BLcorrectedCurrent!BP$3)</f>
        <v>-110.70470567066238</v>
      </c>
      <c r="BQ17">
        <f>IF(ISBLANK(BLcorrectedCurrent!BQ17),"",BLcorrectedCurrent!BQ17/BLcorrectedCurrent!BQ$3)</f>
        <v>-105.86611330960605</v>
      </c>
      <c r="BR17">
        <f>IF(ISBLANK(BLcorrectedCurrent!BR17),"",BLcorrectedCurrent!BR17/BLcorrectedCurrent!BR$3)</f>
        <v>-86.172486460618288</v>
      </c>
      <c r="BS17">
        <f>IF(ISBLANK(BLcorrectedCurrent!BS17),"",BLcorrectedCurrent!BS17/BLcorrectedCurrent!BS$3)</f>
        <v>-103.01886328334214</v>
      </c>
      <c r="BT17">
        <f>IF(ISBLANK(BLcorrectedCurrent!BT17),"",BLcorrectedCurrent!BT17/BLcorrectedCurrent!BT$3)</f>
        <v>-48.810603977839612</v>
      </c>
      <c r="BU17">
        <f>IF(ISBLANK(BLcorrectedCurrent!BU17),"",BLcorrectedCurrent!BU17/BLcorrectedCurrent!BU$3)</f>
        <v>-76.749374979066005</v>
      </c>
      <c r="BV17">
        <f>IF(ISBLANK(BLcorrectedCurrent!BV17),"",BLcorrectedCurrent!BV17/BLcorrectedCurrent!BV$3)</f>
        <v>-10.905941750959743</v>
      </c>
      <c r="BW17">
        <f>IF(ISBLANK(BLcorrectedCurrent!BW17),"",BLcorrectedCurrent!BW17/BLcorrectedCurrent!BW$3)</f>
        <v>-57.314470385886452</v>
      </c>
      <c r="BX17">
        <f>IF(ISBLANK(BLcorrectedCurrent!BX17),"",BLcorrectedCurrent!BX17/BLcorrectedCurrent!BX$3)</f>
        <v>-37.182141957188769</v>
      </c>
      <c r="BY17">
        <f>IF(ISBLANK(BLcorrectedCurrent!BY17),"",BLcorrectedCurrent!BY17/BLcorrectedCurrent!BY$3)</f>
        <v>-61.033558445202722</v>
      </c>
      <c r="BZ17">
        <f>IF(ISBLANK(BLcorrectedCurrent!BZ17),"",BLcorrectedCurrent!BZ17/BLcorrectedCurrent!BZ$3)</f>
        <v>-20.70176611541876</v>
      </c>
      <c r="CA17">
        <f>IF(ISBLANK(BLcorrectedCurrent!CA17),"",BLcorrectedCurrent!CA17/BLcorrectedCurrent!CA$3)</f>
        <v>-55.08061756773688</v>
      </c>
      <c r="CB17">
        <f>IF(ISBLANK(BLcorrectedCurrent!CB17),"",BLcorrectedCurrent!CB17/BLcorrectedCurrent!CB$3)</f>
        <v>-20.304015043446089</v>
      </c>
      <c r="CC17">
        <f>IF(ISBLANK(BLcorrectedCurrent!CC17),"",BLcorrectedCurrent!CC17/BLcorrectedCurrent!CC$3)</f>
        <v>-40.867612144752577</v>
      </c>
      <c r="CD17">
        <f>IF(ISBLANK(BLcorrectedCurrent!CD17),"",BLcorrectedCurrent!CD17/BLcorrectedCurrent!CD$3)</f>
        <v>-88.742279698055</v>
      </c>
    </row>
    <row r="18" spans="1:82" x14ac:dyDescent="0.2">
      <c r="A18" s="3">
        <f t="shared" si="0"/>
        <v>30</v>
      </c>
      <c r="B18">
        <f>IF(ISBLANK(BLcorrectedCurrent!B18),"",BLcorrectedCurrent!B18/BLcorrectedCurrent!B$3)</f>
        <v>-863.62741554065963</v>
      </c>
      <c r="C18">
        <f>IF(ISBLANK(BLcorrectedCurrent!C18),"",BLcorrectedCurrent!C18/BLcorrectedCurrent!C$3)</f>
        <v>-203.43031267397268</v>
      </c>
      <c r="D18">
        <f>IF(ISBLANK(BLcorrectedCurrent!D18),"",BLcorrectedCurrent!D18/BLcorrectedCurrent!D$3)</f>
        <v>-160.94117023105881</v>
      </c>
      <c r="E18">
        <f>IF(ISBLANK(BLcorrectedCurrent!E18),"",BLcorrectedCurrent!E18/BLcorrectedCurrent!E$3)</f>
        <v>-364.05378424963777</v>
      </c>
      <c r="F18">
        <f>IF(ISBLANK(BLcorrectedCurrent!F18),"",BLcorrectedCurrent!F18/BLcorrectedCurrent!F$3)</f>
        <v>-612.67753977382301</v>
      </c>
      <c r="G18">
        <f>IF(ISBLANK(BLcorrectedCurrent!G18),"",BLcorrectedCurrent!G18/BLcorrectedCurrent!G$3)</f>
        <v>-163.78682332039392</v>
      </c>
      <c r="H18">
        <f>IF(ISBLANK(BLcorrectedCurrent!H18),"",BLcorrectedCurrent!H18/BLcorrectedCurrent!H$3)</f>
        <v>-279.27551197679225</v>
      </c>
      <c r="I18">
        <f>IF(ISBLANK(BLcorrectedCurrent!I18),"",BLcorrectedCurrent!I18/BLcorrectedCurrent!I$3)</f>
        <v>-201.5278481871494</v>
      </c>
      <c r="J18">
        <f>IF(ISBLANK(BLcorrectedCurrent!J18),"",BLcorrectedCurrent!J18/BLcorrectedCurrent!J$3)</f>
        <v>-496.50770622557417</v>
      </c>
      <c r="K18">
        <f>IF(ISBLANK(BLcorrectedCurrent!K18),"",BLcorrectedCurrent!K18/BLcorrectedCurrent!K$3)</f>
        <v>-389.29368557369497</v>
      </c>
      <c r="L18">
        <f>IF(ISBLANK(BLcorrectedCurrent!L18),"",BLcorrectedCurrent!L18/BLcorrectedCurrent!L$3)</f>
        <v>-70.932239928603394</v>
      </c>
      <c r="M18">
        <f>IF(ISBLANK(BLcorrectedCurrent!M18),"",BLcorrectedCurrent!M18/BLcorrectedCurrent!M$3)</f>
        <v>-281.9763913938578</v>
      </c>
      <c r="N18">
        <f>IF(ISBLANK(BLcorrectedCurrent!N18),"",BLcorrectedCurrent!N18/BLcorrectedCurrent!N$3)</f>
        <v>-112.03268542879239</v>
      </c>
      <c r="O18">
        <f>IF(ISBLANK(BLcorrectedCurrent!O18),"",BLcorrectedCurrent!O18/BLcorrectedCurrent!O$3)</f>
        <v>-123.40414643440893</v>
      </c>
      <c r="P18">
        <f>IF(ISBLANK(BLcorrectedCurrent!P18),"",BLcorrectedCurrent!P18/BLcorrectedCurrent!P$3)</f>
        <v>-210.87616336393094</v>
      </c>
      <c r="Q18">
        <f>IF(ISBLANK(BLcorrectedCurrent!Q18),"",BLcorrectedCurrent!Q18/BLcorrectedCurrent!Q$3)</f>
        <v>-117.74462727568408</v>
      </c>
      <c r="R18">
        <f>IF(ISBLANK(BLcorrectedCurrent!R18),"",BLcorrectedCurrent!R18/BLcorrectedCurrent!R$3)</f>
        <v>-159.0040164899811</v>
      </c>
      <c r="S18">
        <f>IF(ISBLANK(BLcorrectedCurrent!S18),"",BLcorrectedCurrent!S18/BLcorrectedCurrent!S$3)</f>
        <v>-119.93467020701837</v>
      </c>
      <c r="T18">
        <f>IF(ISBLANK(BLcorrectedCurrent!T18),"",BLcorrectedCurrent!T18/BLcorrectedCurrent!T$3)</f>
        <v>-74.297346443252252</v>
      </c>
      <c r="U18">
        <f>IF(ISBLANK(BLcorrectedCurrent!U18),"",BLcorrectedCurrent!U18/BLcorrectedCurrent!U$3)</f>
        <v>-145.62249055299387</v>
      </c>
      <c r="V18">
        <f>IF(ISBLANK(BLcorrectedCurrent!V18),"",BLcorrectedCurrent!V18/BLcorrectedCurrent!V$3)</f>
        <v>-316.8622309132474</v>
      </c>
      <c r="W18">
        <f>IF(ISBLANK(BLcorrectedCurrent!W18),"",BLcorrectedCurrent!W18/BLcorrectedCurrent!W$3)</f>
        <v>-77.291089162502644</v>
      </c>
      <c r="X18">
        <f>IF(ISBLANK(BLcorrectedCurrent!X18),"",BLcorrectedCurrent!X18/BLcorrectedCurrent!X$3)</f>
        <v>-154.51058005301303</v>
      </c>
      <c r="Y18">
        <f>IF(ISBLANK(BLcorrectedCurrent!Y18),"",BLcorrectedCurrent!Y18/BLcorrectedCurrent!Y$3)</f>
        <v>-161.48869833683219</v>
      </c>
      <c r="Z18">
        <f>IF(ISBLANK(BLcorrectedCurrent!Z18),"",BLcorrectedCurrent!Z18/BLcorrectedCurrent!Z$3)</f>
        <v>-257.96879884219089</v>
      </c>
      <c r="AA18">
        <f>IF(ISBLANK(BLcorrectedCurrent!AA18),"",BLcorrectedCurrent!AA18/BLcorrectedCurrent!AA$3)</f>
        <v>-243.37035989483019</v>
      </c>
      <c r="AB18">
        <f>IF(ISBLANK(BLcorrectedCurrent!AB18),"",BLcorrectedCurrent!AB18/BLcorrectedCurrent!AB$3)</f>
        <v>-38.147386988659804</v>
      </c>
      <c r="AC18">
        <f>IF(ISBLANK(BLcorrectedCurrent!AC18),"",BLcorrectedCurrent!AC18/BLcorrectedCurrent!AC$3)</f>
        <v>-225.70658134593467</v>
      </c>
      <c r="AD18">
        <f>IF(ISBLANK(BLcorrectedCurrent!AD18),"",BLcorrectedCurrent!AD18/BLcorrectedCurrent!AD$3)</f>
        <v>-84.520815654299113</v>
      </c>
      <c r="AE18">
        <f>IF(ISBLANK(BLcorrectedCurrent!AE18),"",BLcorrectedCurrent!AE18/BLcorrectedCurrent!AE$3)</f>
        <v>-228.65946766626209</v>
      </c>
      <c r="AF18">
        <f>IF(ISBLANK(BLcorrectedCurrent!AF18),"",BLcorrectedCurrent!AF18/BLcorrectedCurrent!AF$3)</f>
        <v>-125.93879681019939</v>
      </c>
      <c r="AG18">
        <f>IF(ISBLANK(BLcorrectedCurrent!AG18),"",BLcorrectedCurrent!AG18/BLcorrectedCurrent!AG$3)</f>
        <v>-99.562920541578663</v>
      </c>
      <c r="AH18">
        <f>IF(ISBLANK(BLcorrectedCurrent!AH18),"",BLcorrectedCurrent!AH18/BLcorrectedCurrent!AH$3)</f>
        <v>-63.680441642661961</v>
      </c>
      <c r="AI18">
        <f>IF(ISBLANK(BLcorrectedCurrent!AI18),"",BLcorrectedCurrent!AI18/BLcorrectedCurrent!AI$3)</f>
        <v>-69.64367850067417</v>
      </c>
      <c r="AJ18">
        <f>IF(ISBLANK(BLcorrectedCurrent!AJ18),"",BLcorrectedCurrent!AJ18/BLcorrectedCurrent!AJ$3)</f>
        <v>-142.39452075873967</v>
      </c>
      <c r="AK18">
        <f>IF(ISBLANK(BLcorrectedCurrent!AK18),"",BLcorrectedCurrent!AK18/BLcorrectedCurrent!AK$3)</f>
        <v>-52.196271326374507</v>
      </c>
      <c r="AL18">
        <f>IF(ISBLANK(BLcorrectedCurrent!AL18),"",BLcorrectedCurrent!AL18/BLcorrectedCurrent!AL$3)</f>
        <v>-53.227845340253594</v>
      </c>
      <c r="AM18">
        <f>IF(ISBLANK(BLcorrectedCurrent!AM18),"",BLcorrectedCurrent!AM18/BLcorrectedCurrent!AM$3)</f>
        <v>-85.223157802285598</v>
      </c>
      <c r="AN18" t="str">
        <f>IF(ISBLANK(BLcorrectedCurrent!AN18),"",BLcorrectedCurrent!AN18/BLcorrectedCurrent!AN$3)</f>
        <v/>
      </c>
      <c r="AO18">
        <f>IF(ISBLANK(BLcorrectedCurrent!AO18),"",BLcorrectedCurrent!AO18/BLcorrectedCurrent!AO$3)</f>
        <v>-38.275178926784477</v>
      </c>
      <c r="AP18">
        <f>IF(ISBLANK(BLcorrectedCurrent!AP18),"",BLcorrectedCurrent!AP18/BLcorrectedCurrent!AP$3)</f>
        <v>-28.441418531488399</v>
      </c>
      <c r="AQ18">
        <f>IF(ISBLANK(BLcorrectedCurrent!AQ18),"",BLcorrectedCurrent!AQ18/BLcorrectedCurrent!AQ$3)</f>
        <v>-26.08141869438391</v>
      </c>
      <c r="AR18">
        <f>IF(ISBLANK(BLcorrectedCurrent!AR18),"",BLcorrectedCurrent!AR18/BLcorrectedCurrent!AR$3)</f>
        <v>-16.314093398087568</v>
      </c>
      <c r="AS18">
        <f>IF(ISBLANK(BLcorrectedCurrent!AS18),"",BLcorrectedCurrent!AS18/BLcorrectedCurrent!AS$3)</f>
        <v>-21.766030499787789</v>
      </c>
      <c r="AT18">
        <f>IF(ISBLANK(BLcorrectedCurrent!AT18),"",BLcorrectedCurrent!AT18/BLcorrectedCurrent!AT$3)</f>
        <v>-28.356592642333354</v>
      </c>
      <c r="AU18">
        <f>IF(ISBLANK(BLcorrectedCurrent!AU18),"",BLcorrectedCurrent!AU18/BLcorrectedCurrent!AU$3)</f>
        <v>-89.237492556523577</v>
      </c>
      <c r="AV18">
        <f>IF(ISBLANK(BLcorrectedCurrent!AV18),"",BLcorrectedCurrent!AV18/BLcorrectedCurrent!AV$3)</f>
        <v>-16.934450830529908</v>
      </c>
      <c r="AW18">
        <f>IF(ISBLANK(BLcorrectedCurrent!AW18),"",BLcorrectedCurrent!AW18/BLcorrectedCurrent!AW$3)</f>
        <v>-234.02830852294196</v>
      </c>
      <c r="AX18">
        <f>IF(ISBLANK(BLcorrectedCurrent!AX18),"",BLcorrectedCurrent!AX18/BLcorrectedCurrent!AX$3)</f>
        <v>-230.22811856480658</v>
      </c>
      <c r="AY18">
        <f>IF(ISBLANK(BLcorrectedCurrent!AY18),"",BLcorrectedCurrent!AY18/BLcorrectedCurrent!AY$3)</f>
        <v>-124.44865770109415</v>
      </c>
      <c r="AZ18">
        <f>IF(ISBLANK(BLcorrectedCurrent!AZ18),"",BLcorrectedCurrent!AZ18/BLcorrectedCurrent!AZ$3)</f>
        <v>-314.07852747096803</v>
      </c>
      <c r="BA18">
        <f>IF(ISBLANK(BLcorrectedCurrent!BA18),"",BLcorrectedCurrent!BA18/BLcorrectedCurrent!BA$3)</f>
        <v>-117.63311817383456</v>
      </c>
      <c r="BB18">
        <f>IF(ISBLANK(BLcorrectedCurrent!BB18),"",BLcorrectedCurrent!BB18/BLcorrectedCurrent!BB$3)</f>
        <v>-65.810216590040085</v>
      </c>
      <c r="BC18">
        <f>IF(ISBLANK(BLcorrectedCurrent!BC18),"",BLcorrectedCurrent!BC18/BLcorrectedCurrent!BC$3)</f>
        <v>-38.754757135439554</v>
      </c>
      <c r="BD18">
        <f>IF(ISBLANK(BLcorrectedCurrent!BD18),"",BLcorrectedCurrent!BD18/BLcorrectedCurrent!BD$3)</f>
        <v>-60.746494538630493</v>
      </c>
      <c r="BE18">
        <f>IF(ISBLANK(BLcorrectedCurrent!BE18),"",BLcorrectedCurrent!BE18/BLcorrectedCurrent!BE$3)</f>
        <v>-68.355389195454137</v>
      </c>
      <c r="BF18">
        <f>IF(ISBLANK(BLcorrectedCurrent!BF18),"",BLcorrectedCurrent!BF18/BLcorrectedCurrent!BF$3)</f>
        <v>-32.116539898722323</v>
      </c>
      <c r="BG18">
        <f>IF(ISBLANK(BLcorrectedCurrent!BG18),"",BLcorrectedCurrent!BG18/BLcorrectedCurrent!BG$3)</f>
        <v>-109.51007785080624</v>
      </c>
      <c r="BH18">
        <f>IF(ISBLANK(BLcorrectedCurrent!BH18),"",BLcorrectedCurrent!BH18/BLcorrectedCurrent!BH$3)</f>
        <v>-15.721217771408776</v>
      </c>
      <c r="BI18">
        <f>IF(ISBLANK(BLcorrectedCurrent!BI18),"",BLcorrectedCurrent!BI18/BLcorrectedCurrent!BI$3)</f>
        <v>-9.8478038273725446</v>
      </c>
      <c r="BJ18">
        <f>IF(ISBLANK(BLcorrectedCurrent!BJ18),"",BLcorrectedCurrent!BJ18/BLcorrectedCurrent!BJ$3)</f>
        <v>-16.954705589401897</v>
      </c>
      <c r="BK18">
        <f>IF(ISBLANK(BLcorrectedCurrent!BK18),"",BLcorrectedCurrent!BK18/BLcorrectedCurrent!BK$3)</f>
        <v>-49.689653879891438</v>
      </c>
      <c r="BL18">
        <f>IF(ISBLANK(BLcorrectedCurrent!BL18),"",BLcorrectedCurrent!BL18/BLcorrectedCurrent!BL$3)</f>
        <v>-57.472513105627129</v>
      </c>
      <c r="BM18">
        <f>IF(ISBLANK(BLcorrectedCurrent!BM18),"",BLcorrectedCurrent!BM18/BLcorrectedCurrent!BM$3)</f>
        <v>-89.068686269496112</v>
      </c>
      <c r="BN18">
        <f>IF(ISBLANK(BLcorrectedCurrent!BN18),"",BLcorrectedCurrent!BN18/BLcorrectedCurrent!BN$3)</f>
        <v>-62.58815296200487</v>
      </c>
      <c r="BO18">
        <f>IF(ISBLANK(BLcorrectedCurrent!BO18),"",BLcorrectedCurrent!BO18/BLcorrectedCurrent!BO$3)</f>
        <v>-58.263375459330916</v>
      </c>
      <c r="BP18">
        <f>IF(ISBLANK(BLcorrectedCurrent!BP18),"",BLcorrectedCurrent!BP18/BLcorrectedCurrent!BP$3)</f>
        <v>-81.287747390689162</v>
      </c>
      <c r="BQ18">
        <f>IF(ISBLANK(BLcorrectedCurrent!BQ18),"",BLcorrectedCurrent!BQ18/BLcorrectedCurrent!BQ$3)</f>
        <v>-89.942504222834216</v>
      </c>
      <c r="BR18">
        <f>IF(ISBLANK(BLcorrectedCurrent!BR18),"",BLcorrectedCurrent!BR18/BLcorrectedCurrent!BR$3)</f>
        <v>-62.054710433008999</v>
      </c>
      <c r="BS18">
        <f>IF(ISBLANK(BLcorrectedCurrent!BS18),"",BLcorrectedCurrent!BS18/BLcorrectedCurrent!BS$3)</f>
        <v>-79.300907812861766</v>
      </c>
      <c r="BT18">
        <f>IF(ISBLANK(BLcorrectedCurrent!BT18),"",BLcorrectedCurrent!BT18/BLcorrectedCurrent!BT$3)</f>
        <v>-38.58437719591042</v>
      </c>
      <c r="BU18">
        <f>IF(ISBLANK(BLcorrectedCurrent!BU18),"",BLcorrectedCurrent!BU18/BLcorrectedCurrent!BU$3)</f>
        <v>-68.029949644910914</v>
      </c>
      <c r="BV18">
        <f>IF(ISBLANK(BLcorrectedCurrent!BV18),"",BLcorrectedCurrent!BV18/BLcorrectedCurrent!BV$3)</f>
        <v>-8.5091868162209341</v>
      </c>
      <c r="BW18">
        <f>IF(ISBLANK(BLcorrectedCurrent!BW18),"",BLcorrectedCurrent!BW18/BLcorrectedCurrent!BW$3)</f>
        <v>-55.134279480202594</v>
      </c>
      <c r="BX18">
        <f>IF(ISBLANK(BLcorrectedCurrent!BX18),"",BLcorrectedCurrent!BX18/BLcorrectedCurrent!BX$3)</f>
        <v>-29.675983380919494</v>
      </c>
      <c r="BZ18">
        <f>IF(ISBLANK(BLcorrectedCurrent!BZ18),"",BLcorrectedCurrent!BZ18/BLcorrectedCurrent!BZ$3)</f>
        <v>-14.956745518100975</v>
      </c>
      <c r="CA18">
        <f>IF(ISBLANK(BLcorrectedCurrent!CA18),"",BLcorrectedCurrent!CA18/BLcorrectedCurrent!CA$3)</f>
        <v>-40.42262434716578</v>
      </c>
      <c r="CB18">
        <f>IF(ISBLANK(BLcorrectedCurrent!CB18),"",BLcorrectedCurrent!CB18/BLcorrectedCurrent!CB$3)</f>
        <v>-17.19056554291404</v>
      </c>
      <c r="CC18">
        <f>IF(ISBLANK(BLcorrectedCurrent!CC18),"",BLcorrectedCurrent!CC18/BLcorrectedCurrent!CC$3)</f>
        <v>-42.227422797347238</v>
      </c>
      <c r="CD18">
        <f>IF(ISBLANK(BLcorrectedCurrent!CD18),"",BLcorrectedCurrent!CD18/BLcorrectedCurrent!CD$3)</f>
        <v>-71.288559005489773</v>
      </c>
    </row>
    <row r="19" spans="1:82" x14ac:dyDescent="0.2">
      <c r="A19" s="3">
        <f t="shared" si="0"/>
        <v>40</v>
      </c>
      <c r="B19">
        <f>IF(ISBLANK(BLcorrectedCurrent!B19),"",BLcorrectedCurrent!B19/BLcorrectedCurrent!B$3)</f>
        <v>-702.33373540616196</v>
      </c>
      <c r="C19">
        <f>IF(ISBLANK(BLcorrectedCurrent!C19),"",BLcorrectedCurrent!C19/BLcorrectedCurrent!C$3)</f>
        <v>-149.81175211902416</v>
      </c>
      <c r="D19">
        <f>IF(ISBLANK(BLcorrectedCurrent!D19),"",BLcorrectedCurrent!D19/BLcorrectedCurrent!D$3)</f>
        <v>-110.35988422292992</v>
      </c>
      <c r="E19">
        <f>IF(ISBLANK(BLcorrectedCurrent!E19),"",BLcorrectedCurrent!E19/BLcorrectedCurrent!E$3)</f>
        <v>-246.15808950816023</v>
      </c>
      <c r="F19">
        <f>IF(ISBLANK(BLcorrectedCurrent!F19),"",BLcorrectedCurrent!F19/BLcorrectedCurrent!F$3)</f>
        <v>-422.16165149760303</v>
      </c>
      <c r="G19">
        <f>IF(ISBLANK(BLcorrectedCurrent!G19),"",BLcorrectedCurrent!G19/BLcorrectedCurrent!G$3)</f>
        <v>-128.13715431795092</v>
      </c>
      <c r="H19">
        <f>IF(ISBLANK(BLcorrectedCurrent!H19),"",BLcorrectedCurrent!H19/BLcorrectedCurrent!H$3)</f>
        <v>-230.62125541688951</v>
      </c>
      <c r="I19">
        <f>IF(ISBLANK(BLcorrectedCurrent!I19),"",BLcorrectedCurrent!I19/BLcorrectedCurrent!I$3)</f>
        <v>-149.62165647149988</v>
      </c>
      <c r="J19">
        <f>IF(ISBLANK(BLcorrectedCurrent!J19),"",BLcorrectedCurrent!J19/BLcorrectedCurrent!J$3)</f>
        <v>-364.83011306257879</v>
      </c>
      <c r="K19">
        <f>IF(ISBLANK(BLcorrectedCurrent!K19),"",BLcorrectedCurrent!K19/BLcorrectedCurrent!K$3)</f>
        <v>-308.61746940863549</v>
      </c>
      <c r="L19">
        <f>IF(ISBLANK(BLcorrectedCurrent!L19),"",BLcorrectedCurrent!L19/BLcorrectedCurrent!L$3)</f>
        <v>-47.013590366606984</v>
      </c>
      <c r="M19">
        <f>IF(ISBLANK(BLcorrectedCurrent!M19),"",BLcorrectedCurrent!M19/BLcorrectedCurrent!M$3)</f>
        <v>-221.64461406887511</v>
      </c>
      <c r="N19">
        <f>IF(ISBLANK(BLcorrectedCurrent!N19),"",BLcorrectedCurrent!N19/BLcorrectedCurrent!N$3)</f>
        <v>-83.641182248229626</v>
      </c>
      <c r="O19">
        <f>IF(ISBLANK(BLcorrectedCurrent!O19),"",BLcorrectedCurrent!O19/BLcorrectedCurrent!O$3)</f>
        <v>-86.55440590730295</v>
      </c>
      <c r="P19">
        <f>IF(ISBLANK(BLcorrectedCurrent!P19),"",BLcorrectedCurrent!P19/BLcorrectedCurrent!P$3)</f>
        <v>-156.07530693537166</v>
      </c>
      <c r="Q19">
        <f>IF(ISBLANK(BLcorrectedCurrent!Q19),"",BLcorrectedCurrent!Q19/BLcorrectedCurrent!Q$3)</f>
        <v>-84.801274160544395</v>
      </c>
      <c r="R19">
        <f>IF(ISBLANK(BLcorrectedCurrent!R19),"",BLcorrectedCurrent!R19/BLcorrectedCurrent!R$3)</f>
        <v>-111.41666709946003</v>
      </c>
      <c r="S19">
        <f>IF(ISBLANK(BLcorrectedCurrent!S19),"",BLcorrectedCurrent!S19/BLcorrectedCurrent!S$3)</f>
        <v>-76.253564917096625</v>
      </c>
      <c r="T19">
        <f>IF(ISBLANK(BLcorrectedCurrent!T19),"",BLcorrectedCurrent!T19/BLcorrectedCurrent!T$3)</f>
        <v>-47.882118447679083</v>
      </c>
      <c r="U19">
        <f>IF(ISBLANK(BLcorrectedCurrent!U19),"",BLcorrectedCurrent!U19/BLcorrectedCurrent!U$3)</f>
        <v>-98.2916218362367</v>
      </c>
      <c r="V19">
        <f>IF(ISBLANK(BLcorrectedCurrent!V19),"",BLcorrectedCurrent!V19/BLcorrectedCurrent!V$3)</f>
        <v>-229.73101069489428</v>
      </c>
      <c r="W19">
        <f>IF(ISBLANK(BLcorrectedCurrent!W19),"",BLcorrectedCurrent!W19/BLcorrectedCurrent!W$3)</f>
        <v>-45.061827683476089</v>
      </c>
      <c r="X19">
        <f>IF(ISBLANK(BLcorrectedCurrent!X19),"",BLcorrectedCurrent!X19/BLcorrectedCurrent!X$3)</f>
        <v>-109.1932071387067</v>
      </c>
      <c r="Y19">
        <f>IF(ISBLANK(BLcorrectedCurrent!Y19),"",BLcorrectedCurrent!Y19/BLcorrectedCurrent!Y$3)</f>
        <v>-115.00806791153822</v>
      </c>
      <c r="Z19">
        <f>IF(ISBLANK(BLcorrectedCurrent!Z19),"",BLcorrectedCurrent!Z19/BLcorrectedCurrent!Z$3)</f>
        <v>-191.83282329170365</v>
      </c>
      <c r="AA19">
        <f>IF(ISBLANK(BLcorrectedCurrent!AA19),"",BLcorrectedCurrent!AA19/BLcorrectedCurrent!AA$3)</f>
        <v>-181.93267243786698</v>
      </c>
      <c r="AB19">
        <f>IF(ISBLANK(BLcorrectedCurrent!AB19),"",BLcorrectedCurrent!AB19/BLcorrectedCurrent!AB$3)</f>
        <v>-27.608702244348795</v>
      </c>
      <c r="AC19">
        <f>IF(ISBLANK(BLcorrectedCurrent!AC19),"",BLcorrectedCurrent!AC19/BLcorrectedCurrent!AC$3)</f>
        <v>-166.45007147711846</v>
      </c>
      <c r="AD19">
        <f>IF(ISBLANK(BLcorrectedCurrent!AD19),"",BLcorrectedCurrent!AD19/BLcorrectedCurrent!AD$3)</f>
        <v>-68.823830283121055</v>
      </c>
      <c r="AE19">
        <f>IF(ISBLANK(BLcorrectedCurrent!AE19),"",BLcorrectedCurrent!AE19/BLcorrectedCurrent!AE$3)</f>
        <v>-165.05464879175932</v>
      </c>
      <c r="AF19">
        <f>IF(ISBLANK(BLcorrectedCurrent!AF19),"",BLcorrectedCurrent!AF19/BLcorrectedCurrent!AF$3)</f>
        <v>-91.970562696744963</v>
      </c>
      <c r="AG19">
        <f>IF(ISBLANK(BLcorrectedCurrent!AG19),"",BLcorrectedCurrent!AG19/BLcorrectedCurrent!AG$3)</f>
        <v>-68.377296085003096</v>
      </c>
      <c r="AH19">
        <f>IF(ISBLANK(BLcorrectedCurrent!AH19),"",BLcorrectedCurrent!AH19/BLcorrectedCurrent!AH$3)</f>
        <v>-41.406998876278763</v>
      </c>
      <c r="AI19">
        <f>IF(ISBLANK(BLcorrectedCurrent!AI19),"",BLcorrectedCurrent!AI19/BLcorrectedCurrent!AI$3)</f>
        <v>-45.145728888769675</v>
      </c>
      <c r="AJ19">
        <f>IF(ISBLANK(BLcorrectedCurrent!AJ19),"",BLcorrectedCurrent!AJ19/BLcorrectedCurrent!AJ$3)</f>
        <v>-106.48281439154171</v>
      </c>
      <c r="AK19">
        <f>IF(ISBLANK(BLcorrectedCurrent!AK19),"",BLcorrectedCurrent!AK19/BLcorrectedCurrent!AK$3)</f>
        <v>-40.383090546945702</v>
      </c>
      <c r="AL19">
        <f>IF(ISBLANK(BLcorrectedCurrent!AL19),"",BLcorrectedCurrent!AL19/BLcorrectedCurrent!AL$3)</f>
        <v>-37.77520401995146</v>
      </c>
      <c r="AM19">
        <f>IF(ISBLANK(BLcorrectedCurrent!AM19),"",BLcorrectedCurrent!AM19/BLcorrectedCurrent!AM$3)</f>
        <v>-65.404669232323116</v>
      </c>
      <c r="AN19" t="str">
        <f>IF(ISBLANK(BLcorrectedCurrent!AN19),"",BLcorrectedCurrent!AN19/BLcorrectedCurrent!AN$3)</f>
        <v/>
      </c>
      <c r="AO19">
        <f>IF(ISBLANK(BLcorrectedCurrent!AO19),"",BLcorrectedCurrent!AO19/BLcorrectedCurrent!AO$3)</f>
        <v>-27.143587044434788</v>
      </c>
      <c r="AP19">
        <f>IF(ISBLANK(BLcorrectedCurrent!AP19),"",BLcorrectedCurrent!AP19/BLcorrectedCurrent!AP$3)</f>
        <v>-17.440049840820855</v>
      </c>
      <c r="AQ19">
        <f>IF(ISBLANK(BLcorrectedCurrent!AQ19),"",BLcorrectedCurrent!AQ19/BLcorrectedCurrent!AQ$3)</f>
        <v>-19.052264722240078</v>
      </c>
      <c r="AR19">
        <f>IF(ISBLANK(BLcorrectedCurrent!AR19),"",BLcorrectedCurrent!AR19/BLcorrectedCurrent!AR$3)</f>
        <v>-9.0240387525309611</v>
      </c>
      <c r="AS19">
        <f>IF(ISBLANK(BLcorrectedCurrent!AS19),"",BLcorrectedCurrent!AS19/BLcorrectedCurrent!AS$3)</f>
        <v>-17.169100606011288</v>
      </c>
      <c r="AT19">
        <f>IF(ISBLANK(BLcorrectedCurrent!AT19),"",BLcorrectedCurrent!AT19/BLcorrectedCurrent!AT$3)</f>
        <v>-20.468342729479183</v>
      </c>
      <c r="AU19">
        <f>IF(ISBLANK(BLcorrectedCurrent!AU19),"",BLcorrectedCurrent!AU19/BLcorrectedCurrent!AU$3)</f>
        <v>-66.169831504282925</v>
      </c>
      <c r="AV19">
        <f>IF(ISBLANK(BLcorrectedCurrent!AV19),"",BLcorrectedCurrent!AV19/BLcorrectedCurrent!AV$3)</f>
        <v>-9.1025681708176815</v>
      </c>
      <c r="AW19">
        <f>IF(ISBLANK(BLcorrectedCurrent!AW19),"",BLcorrectedCurrent!AW19/BLcorrectedCurrent!AW$3)</f>
        <v>-177.13704667266731</v>
      </c>
      <c r="AX19">
        <f>IF(ISBLANK(BLcorrectedCurrent!AX19),"",BLcorrectedCurrent!AX19/BLcorrectedCurrent!AX$3)</f>
        <v>-173.76803487572965</v>
      </c>
      <c r="AY19">
        <f>IF(ISBLANK(BLcorrectedCurrent!AY19),"",BLcorrectedCurrent!AY19/BLcorrectedCurrent!AY$3)</f>
        <v>-88.065733773163842</v>
      </c>
      <c r="AZ19">
        <f>IF(ISBLANK(BLcorrectedCurrent!AZ19),"",BLcorrectedCurrent!AZ19/BLcorrectedCurrent!AZ$3)</f>
        <v>-245.93578864401582</v>
      </c>
      <c r="BA19">
        <f>IF(ISBLANK(BLcorrectedCurrent!BA19),"",BLcorrectedCurrent!BA19/BLcorrectedCurrent!BA$3)</f>
        <v>-90.920098279792526</v>
      </c>
      <c r="BB19">
        <f>IF(ISBLANK(BLcorrectedCurrent!BB19),"",BLcorrectedCurrent!BB19/BLcorrectedCurrent!BB$3)</f>
        <v>-58.317551575757278</v>
      </c>
      <c r="BC19">
        <f>IF(ISBLANK(BLcorrectedCurrent!BC19),"",BLcorrectedCurrent!BC19/BLcorrectedCurrent!BC$3)</f>
        <v>-24.427225211568452</v>
      </c>
      <c r="BD19">
        <f>IF(ISBLANK(BLcorrectedCurrent!BD19),"",BLcorrectedCurrent!BD19/BLcorrectedCurrent!BD$3)</f>
        <v>-37.743606829622713</v>
      </c>
      <c r="BE19">
        <f>IF(ISBLANK(BLcorrectedCurrent!BE19),"",BLcorrectedCurrent!BE19/BLcorrectedCurrent!BE$3)</f>
        <v>-49.499023732398946</v>
      </c>
      <c r="BF19">
        <f>IF(ISBLANK(BLcorrectedCurrent!BF19),"",BLcorrectedCurrent!BF19/BLcorrectedCurrent!BF$3)</f>
        <v>-24.716540298707482</v>
      </c>
      <c r="BG19">
        <f>IF(ISBLANK(BLcorrectedCurrent!BG19),"",BLcorrectedCurrent!BG19/BLcorrectedCurrent!BG$3)</f>
        <v>-86.697254956286585</v>
      </c>
      <c r="BH19">
        <f>IF(ISBLANK(BLcorrectedCurrent!BH19),"",BLcorrectedCurrent!BH19/BLcorrectedCurrent!BH$3)</f>
        <v>-10.830873015908589</v>
      </c>
      <c r="BI19">
        <f>IF(ISBLANK(BLcorrectedCurrent!BI19),"",BLcorrectedCurrent!BI19/BLcorrectedCurrent!BI$3)</f>
        <v>-7.0576151435598096</v>
      </c>
      <c r="BJ19">
        <f>IF(ISBLANK(BLcorrectedCurrent!BJ19),"",BLcorrectedCurrent!BJ19/BLcorrectedCurrent!BJ$3)</f>
        <v>-12.332924449513508</v>
      </c>
      <c r="BK19">
        <f>IF(ISBLANK(BLcorrectedCurrent!BK19),"",BLcorrectedCurrent!BK19/BLcorrectedCurrent!BK$3)</f>
        <v>-35.687309661829488</v>
      </c>
      <c r="BL19">
        <f>IF(ISBLANK(BLcorrectedCurrent!BL19),"",BLcorrectedCurrent!BL19/BLcorrectedCurrent!BL$3)</f>
        <v>-40.87228093336784</v>
      </c>
      <c r="BM19">
        <f>IF(ISBLANK(BLcorrectedCurrent!BM19),"",BLcorrectedCurrent!BM19/BLcorrectedCurrent!BM$3)</f>
        <v>-61.999238353942168</v>
      </c>
      <c r="BN19">
        <f>IF(ISBLANK(BLcorrectedCurrent!BN19),"",BLcorrectedCurrent!BN19/BLcorrectedCurrent!BN$3)</f>
        <v>-27.545612942631259</v>
      </c>
      <c r="BO19">
        <f>IF(ISBLANK(BLcorrectedCurrent!BO19),"",BLcorrectedCurrent!BO19/BLcorrectedCurrent!BO$3)</f>
        <v>-25.992397524507691</v>
      </c>
      <c r="BP19">
        <f>IF(ISBLANK(BLcorrectedCurrent!BP19),"",BLcorrectedCurrent!BP19/BLcorrectedCurrent!BP$3)</f>
        <v>-50.536161583722425</v>
      </c>
      <c r="BQ19">
        <f>IF(ISBLANK(BLcorrectedCurrent!BQ19),"",BLcorrectedCurrent!BQ19/BLcorrectedCurrent!BQ$3)</f>
        <v>-57.750040265003982</v>
      </c>
      <c r="BR19">
        <f>IF(ISBLANK(BLcorrectedCurrent!BR19),"",BLcorrectedCurrent!BR19/BLcorrectedCurrent!BR$3)</f>
        <v>-41.845552950856018</v>
      </c>
      <c r="BS19">
        <f>IF(ISBLANK(BLcorrectedCurrent!BS19),"",BLcorrectedCurrent!BS19/BLcorrectedCurrent!BS$3)</f>
        <v>-54.946953553086445</v>
      </c>
      <c r="BT19">
        <f>IF(ISBLANK(BLcorrectedCurrent!BT19),"",BLcorrectedCurrent!BT19/BLcorrectedCurrent!BT$3)</f>
        <v>-27.550374751422968</v>
      </c>
      <c r="BU19">
        <f>IF(ISBLANK(BLcorrectedCurrent!BU19),"",BLcorrectedCurrent!BU19/BLcorrectedCurrent!BU$3)</f>
        <v>-54.336785980326731</v>
      </c>
      <c r="BV19">
        <f>IF(ISBLANK(BLcorrectedCurrent!BV19),"",BLcorrectedCurrent!BV19/BLcorrectedCurrent!BV$3)</f>
        <v>-5.7968844684076775</v>
      </c>
      <c r="BW19">
        <f>IF(ISBLANK(BLcorrectedCurrent!BW19),"",BLcorrectedCurrent!BW19/BLcorrectedCurrent!BW$3)</f>
        <v>-39.49943085188773</v>
      </c>
      <c r="BX19">
        <f>IF(ISBLANK(BLcorrectedCurrent!BX19),"",BLcorrectedCurrent!BX19/BLcorrectedCurrent!BX$3)</f>
        <v>-21.729397470561608</v>
      </c>
      <c r="BZ19">
        <f>IF(ISBLANK(BLcorrectedCurrent!BZ19),"",BLcorrectedCurrent!BZ19/BLcorrectedCurrent!BZ$3)</f>
        <v>-8.5210622595990131</v>
      </c>
      <c r="CA19">
        <f>IF(ISBLANK(BLcorrectedCurrent!CA19),"",BLcorrectedCurrent!CA19/BLcorrectedCurrent!CA$3)</f>
        <v>-22.628918921994231</v>
      </c>
      <c r="CB19">
        <f>IF(ISBLANK(BLcorrectedCurrent!CB19),"",BLcorrectedCurrent!CB19/BLcorrectedCurrent!CB$3)</f>
        <v>-13.343918186702991</v>
      </c>
      <c r="CC19">
        <f>IF(ISBLANK(BLcorrectedCurrent!CC19),"",BLcorrectedCurrent!CC19/BLcorrectedCurrent!CC$3)</f>
        <v>-39.359683359195039</v>
      </c>
      <c r="CD19">
        <f>IF(ISBLANK(BLcorrectedCurrent!CD19),"",BLcorrectedCurrent!CD19/BLcorrectedCurrent!CD$3)</f>
        <v>-54.252743488070649</v>
      </c>
    </row>
    <row r="20" spans="1:82" x14ac:dyDescent="0.2">
      <c r="A20" s="3">
        <f t="shared" si="0"/>
        <v>50</v>
      </c>
      <c r="B20">
        <f>IF(ISBLANK(BLcorrectedCurrent!B20),"",BLcorrectedCurrent!B20/BLcorrectedCurrent!B$3)</f>
        <v>-482.58717670016023</v>
      </c>
      <c r="C20">
        <f>IF(ISBLANK(BLcorrectedCurrent!C20),"",BLcorrectedCurrent!C20/BLcorrectedCurrent!C$3)</f>
        <v>-106.20991709063546</v>
      </c>
      <c r="D20">
        <f>IF(ISBLANK(BLcorrectedCurrent!D20),"",BLcorrectedCurrent!D20/BLcorrectedCurrent!D$3)</f>
        <v>-60.976451900407234</v>
      </c>
      <c r="E20">
        <f>IF(ISBLANK(BLcorrectedCurrent!E20),"",BLcorrectedCurrent!E20/BLcorrectedCurrent!E$3)</f>
        <v>-137.82790796827976</v>
      </c>
      <c r="F20">
        <f>IF(ISBLANK(BLcorrectedCurrent!F20),"",BLcorrectedCurrent!F20/BLcorrectedCurrent!F$3)</f>
        <v>-229.71135088372139</v>
      </c>
      <c r="G20">
        <f>IF(ISBLANK(BLcorrectedCurrent!G20),"",BLcorrectedCurrent!G20/BLcorrectedCurrent!G$3)</f>
        <v>-86.986078743622684</v>
      </c>
      <c r="H20">
        <f>IF(ISBLANK(BLcorrectedCurrent!H20),"",BLcorrectedCurrent!H20/BLcorrectedCurrent!H$3)</f>
        <v>-179.92938933955341</v>
      </c>
      <c r="I20">
        <f>IF(ISBLANK(BLcorrectedCurrent!I20),"",BLcorrectedCurrent!I20/BLcorrectedCurrent!I$3)</f>
        <v>-97.730491830354993</v>
      </c>
      <c r="J20">
        <f>IF(ISBLANK(BLcorrectedCurrent!J20),"",BLcorrectedCurrent!J20/BLcorrectedCurrent!J$3)</f>
        <v>-189.52102899938805</v>
      </c>
      <c r="K20">
        <f>IF(ISBLANK(BLcorrectedCurrent!K20),"",BLcorrectedCurrent!K20/BLcorrectedCurrent!K$3)</f>
        <v>-229.51695914198592</v>
      </c>
      <c r="L20">
        <f>IF(ISBLANK(BLcorrectedCurrent!L20),"",BLcorrectedCurrent!L20/BLcorrectedCurrent!L$3)</f>
        <v>-25.121306812003013</v>
      </c>
      <c r="M20">
        <f>IF(ISBLANK(BLcorrectedCurrent!M20),"",BLcorrectedCurrent!M20/BLcorrectedCurrent!M$3)</f>
        <v>-169.74855408483791</v>
      </c>
      <c r="N20">
        <f>IF(ISBLANK(BLcorrectedCurrent!N20),"",BLcorrectedCurrent!N20/BLcorrectedCurrent!N$3)</f>
        <v>-56.826361845777171</v>
      </c>
      <c r="O20">
        <f>IF(ISBLANK(BLcorrectedCurrent!O20),"",BLcorrectedCurrent!O20/BLcorrectedCurrent!O$3)</f>
        <v>-46.018909409288639</v>
      </c>
      <c r="P20">
        <f>IF(ISBLANK(BLcorrectedCurrent!P20),"",BLcorrectedCurrent!P20/BLcorrectedCurrent!P$3)</f>
        <v>-90.501618095324346</v>
      </c>
      <c r="Q20">
        <f>IF(ISBLANK(BLcorrectedCurrent!Q20),"",BLcorrectedCurrent!Q20/BLcorrectedCurrent!Q$3)</f>
        <v>-53.758293574314358</v>
      </c>
      <c r="R20">
        <f>IF(ISBLANK(BLcorrectedCurrent!R20),"",BLcorrectedCurrent!R20/BLcorrectedCurrent!R$3)</f>
        <v>-54.170392260052544</v>
      </c>
      <c r="S20">
        <f>IF(ISBLANK(BLcorrectedCurrent!S20),"",BLcorrectedCurrent!S20/BLcorrectedCurrent!S$3)</f>
        <v>-37.386491954455991</v>
      </c>
      <c r="T20">
        <f>IF(ISBLANK(BLcorrectedCurrent!T20),"",BLcorrectedCurrent!T20/BLcorrectedCurrent!T$3)</f>
        <v>-27.991555991995529</v>
      </c>
      <c r="U20">
        <f>IF(ISBLANK(BLcorrectedCurrent!U20),"",BLcorrectedCurrent!U20/BLcorrectedCurrent!U$3)</f>
        <v>-58.560905986991607</v>
      </c>
      <c r="V20">
        <f>IF(ISBLANK(BLcorrectedCurrent!V20),"",BLcorrectedCurrent!V20/BLcorrectedCurrent!V$3)</f>
        <v>-126.67758220021733</v>
      </c>
      <c r="W20">
        <f>IF(ISBLANK(BLcorrectedCurrent!W20),"",BLcorrectedCurrent!W20/BLcorrectedCurrent!W$3)</f>
        <v>-18.719339091601316</v>
      </c>
      <c r="X20">
        <f>IF(ISBLANK(BLcorrectedCurrent!X20),"",BLcorrectedCurrent!X20/BLcorrectedCurrent!X$3)</f>
        <v>-60.93366723072107</v>
      </c>
      <c r="Y20">
        <f>IF(ISBLANK(BLcorrectedCurrent!Y20),"",BLcorrectedCurrent!Y20/BLcorrectedCurrent!Y$3)</f>
        <v>-61.739755311817817</v>
      </c>
      <c r="Z20">
        <f>IF(ISBLANK(BLcorrectedCurrent!Z20),"",BLcorrectedCurrent!Z20/BLcorrectedCurrent!Z$3)</f>
        <v>-135.65211922868187</v>
      </c>
      <c r="AA20">
        <f>IF(ISBLANK(BLcorrectedCurrent!AA20),"",BLcorrectedCurrent!AA20/BLcorrectedCurrent!AA$3)</f>
        <v>-123.07597640384029</v>
      </c>
      <c r="AB20">
        <f>IF(ISBLANK(BLcorrectedCurrent!AB20),"",BLcorrectedCurrent!AB20/BLcorrectedCurrent!AB$3)</f>
        <v>-18.425113774601208</v>
      </c>
      <c r="AC20">
        <f>IF(ISBLANK(BLcorrectedCurrent!AC20),"",BLcorrectedCurrent!AC20/BLcorrectedCurrent!AC$3)</f>
        <v>-118.43000578894285</v>
      </c>
      <c r="AD20">
        <f>IF(ISBLANK(BLcorrectedCurrent!AD20),"",BLcorrectedCurrent!AD20/BLcorrectedCurrent!AD$3)</f>
        <v>-46.353002979753931</v>
      </c>
      <c r="AE20">
        <f>IF(ISBLANK(BLcorrectedCurrent!AE20),"",BLcorrectedCurrent!AE20/BLcorrectedCurrent!AE$3)</f>
        <v>-87.066703236447239</v>
      </c>
      <c r="AF20">
        <f>IF(ISBLANK(BLcorrectedCurrent!AF20),"",BLcorrectedCurrent!AF20/BLcorrectedCurrent!AF$3)</f>
        <v>-58.905732406410245</v>
      </c>
      <c r="AG20">
        <f>IF(ISBLANK(BLcorrectedCurrent!AG20),"",BLcorrectedCurrent!AG20/BLcorrectedCurrent!AG$3)</f>
        <v>-36.256555486911203</v>
      </c>
      <c r="AH20">
        <f>IF(ISBLANK(BLcorrectedCurrent!AH20),"",BLcorrectedCurrent!AH20/BLcorrectedCurrent!AH$3)</f>
        <v>-20.995479817197168</v>
      </c>
      <c r="AI20">
        <f>IF(ISBLANK(BLcorrectedCurrent!AI20),"",BLcorrectedCurrent!AI20/BLcorrectedCurrent!AI$3)</f>
        <v>-25.602993497612815</v>
      </c>
      <c r="AJ20">
        <f>IF(ISBLANK(BLcorrectedCurrent!AJ20),"",BLcorrectedCurrent!AJ20/BLcorrectedCurrent!AJ$3)</f>
        <v>-74.535082855426069</v>
      </c>
      <c r="AK20">
        <f>IF(ISBLANK(BLcorrectedCurrent!AK20),"",BLcorrectedCurrent!AK20/BLcorrectedCurrent!AK$3)</f>
        <v>-22.685330542386431</v>
      </c>
      <c r="AL20">
        <f>IF(ISBLANK(BLcorrectedCurrent!AL20),"",BLcorrectedCurrent!AL20/BLcorrectedCurrent!AL$3)</f>
        <v>-22.781188204142104</v>
      </c>
      <c r="AM20">
        <f>IF(ISBLANK(BLcorrectedCurrent!AM20),"",BLcorrectedCurrent!AM20/BLcorrectedCurrent!AM$3)</f>
        <v>-40.172201360210138</v>
      </c>
      <c r="AN20" t="str">
        <f>IF(ISBLANK(BLcorrectedCurrent!AN20),"",BLcorrectedCurrent!AN20/BLcorrectedCurrent!AN$3)</f>
        <v/>
      </c>
      <c r="AO20">
        <f>IF(ISBLANK(BLcorrectedCurrent!AO20),"",BLcorrectedCurrent!AO20/BLcorrectedCurrent!AO$3)</f>
        <v>-15.23265499024196</v>
      </c>
      <c r="AP20">
        <f>IF(ISBLANK(BLcorrectedCurrent!AP20),"",BLcorrectedCurrent!AP20/BLcorrectedCurrent!AP$3)</f>
        <v>-7.5232916348608354</v>
      </c>
      <c r="AQ20">
        <f>IF(ISBLANK(BLcorrectedCurrent!AQ20),"",BLcorrectedCurrent!AQ20/BLcorrectedCurrent!AQ$3)</f>
        <v>-18.183648330058965</v>
      </c>
      <c r="AR20">
        <f>IF(ISBLANK(BLcorrectedCurrent!AR20),"",BLcorrectedCurrent!AR20/BLcorrectedCurrent!AR$3)</f>
        <v>-4.4179012712507379</v>
      </c>
      <c r="AS20">
        <f>IF(ISBLANK(BLcorrectedCurrent!AS20),"",BLcorrectedCurrent!AS20/BLcorrectedCurrent!AS$3)</f>
        <v>-11.848317381363158</v>
      </c>
      <c r="AT20">
        <f>IF(ISBLANK(BLcorrectedCurrent!AT20),"",BLcorrectedCurrent!AT20/BLcorrectedCurrent!AT$3)</f>
        <v>-12.264048021911666</v>
      </c>
      <c r="AU20">
        <f>IF(ISBLANK(BLcorrectedCurrent!AU20),"",BLcorrectedCurrent!AU20/BLcorrectedCurrent!AU$3)</f>
        <v>-39.156670241964193</v>
      </c>
      <c r="AV20">
        <f>IF(ISBLANK(BLcorrectedCurrent!AV20),"",BLcorrectedCurrent!AV20/BLcorrectedCurrent!AV$3)</f>
        <v>-1.8665355671064379</v>
      </c>
      <c r="AW20">
        <f>IF(ISBLANK(BLcorrectedCurrent!AW20),"",BLcorrectedCurrent!AW20/BLcorrectedCurrent!AW$3)</f>
        <v>-119.70866021111146</v>
      </c>
      <c r="AX20">
        <f>IF(ISBLANK(BLcorrectedCurrent!AX20),"",BLcorrectedCurrent!AX20/BLcorrectedCurrent!AX$3)</f>
        <v>-121.98732745920334</v>
      </c>
      <c r="AY20">
        <f>IF(ISBLANK(BLcorrectedCurrent!AY20),"",BLcorrectedCurrent!AY20/BLcorrectedCurrent!AY$3)</f>
        <v>-54.887247501939115</v>
      </c>
      <c r="AZ20">
        <f>IF(ISBLANK(BLcorrectedCurrent!AZ20),"",BLcorrectedCurrent!AZ20/BLcorrectedCurrent!AZ$3)</f>
        <v>-167.55761879722496</v>
      </c>
      <c r="BA20">
        <f>IF(ISBLANK(BLcorrectedCurrent!BA20),"",BLcorrectedCurrent!BA20/BLcorrectedCurrent!BA$3)</f>
        <v>-61.236763191516019</v>
      </c>
      <c r="BB20">
        <f>IF(ISBLANK(BLcorrectedCurrent!BB20),"",BLcorrectedCurrent!BB20/BLcorrectedCurrent!BB$3)</f>
        <v>-40.27640856624096</v>
      </c>
      <c r="BC20">
        <f>IF(ISBLANK(BLcorrectedCurrent!BC20),"",BLcorrectedCurrent!BC20/BLcorrectedCurrent!BC$3)</f>
        <v>-11.279635629959143</v>
      </c>
      <c r="BD20">
        <f>IF(ISBLANK(BLcorrectedCurrent!BD20),"",BLcorrectedCurrent!BD20/BLcorrectedCurrent!BD$3)</f>
        <v>-18.619429541013421</v>
      </c>
      <c r="BE20">
        <f>IF(ISBLANK(BLcorrectedCurrent!BE20),"",BLcorrectedCurrent!BE20/BLcorrectedCurrent!BE$3)</f>
        <v>-34.825714499515968</v>
      </c>
      <c r="BF20">
        <f>IF(ISBLANK(BLcorrectedCurrent!BF20),"",BLcorrectedCurrent!BF20/BLcorrectedCurrent!BF$3)</f>
        <v>-11.815484425821809</v>
      </c>
      <c r="BG20">
        <f>IF(ISBLANK(BLcorrectedCurrent!BG20),"",BLcorrectedCurrent!BG20/BLcorrectedCurrent!BG$3)</f>
        <v>-60.102374489413023</v>
      </c>
      <c r="BH20">
        <f>IF(ISBLANK(BLcorrectedCurrent!BH20),"",BLcorrectedCurrent!BH20/BLcorrectedCurrent!BH$3)</f>
        <v>-5.8019952054254382</v>
      </c>
      <c r="BI20">
        <f>IF(ISBLANK(BLcorrectedCurrent!BI20),"",BLcorrectedCurrent!BI20/BLcorrectedCurrent!BI$3)</f>
        <v>-3.8962379656189001</v>
      </c>
      <c r="BJ20">
        <f>IF(ISBLANK(BLcorrectedCurrent!BJ20),"",BLcorrectedCurrent!BJ20/BLcorrectedCurrent!BJ$3)</f>
        <v>-7.993107777970053</v>
      </c>
      <c r="BK20">
        <f>IF(ISBLANK(BLcorrectedCurrent!BK20),"",BLcorrectedCurrent!BK20/BLcorrectedCurrent!BK$3)</f>
        <v>-21.614643929417397</v>
      </c>
      <c r="BL20">
        <f>IF(ISBLANK(BLcorrectedCurrent!BL20),"",BLcorrectedCurrent!BL20/BLcorrectedCurrent!BL$3)</f>
        <v>-22.969701735017583</v>
      </c>
      <c r="BM20">
        <f>IF(ISBLANK(BLcorrectedCurrent!BM20),"",BLcorrectedCurrent!BM20/BLcorrectedCurrent!BM$3)</f>
        <v>-39.119889669043715</v>
      </c>
      <c r="BN20">
        <f>IF(ISBLANK(BLcorrectedCurrent!BN20),"",BLcorrectedCurrent!BN20/BLcorrectedCurrent!BN$3)</f>
        <v>12.850592345546834</v>
      </c>
      <c r="BO20">
        <f>IF(ISBLANK(BLcorrectedCurrent!BO20),"",BLcorrectedCurrent!BO20/BLcorrectedCurrent!BO$3)</f>
        <v>-2.3441166484821614</v>
      </c>
      <c r="BP20">
        <f>IF(ISBLANK(BLcorrectedCurrent!BP20),"",BLcorrectedCurrent!BP20/BLcorrectedCurrent!BP$3)</f>
        <v>-22.912121265492569</v>
      </c>
      <c r="BQ20">
        <f>IF(ISBLANK(BLcorrectedCurrent!BQ20),"",BLcorrectedCurrent!BQ20/BLcorrectedCurrent!BQ$3)</f>
        <v>-22.474229698199554</v>
      </c>
      <c r="BR20">
        <f>IF(ISBLANK(BLcorrectedCurrent!BR20),"",BLcorrectedCurrent!BR20/BLcorrectedCurrent!BR$3)</f>
        <v>-20.688283131583177</v>
      </c>
      <c r="BS20">
        <f>IF(ISBLANK(BLcorrectedCurrent!BS20),"",BLcorrectedCurrent!BS20/BLcorrectedCurrent!BS$3)</f>
        <v>-29.318653597106252</v>
      </c>
      <c r="BT20">
        <f>IF(ISBLANK(BLcorrectedCurrent!BT20),"",BLcorrectedCurrent!BT20/BLcorrectedCurrent!BT$3)</f>
        <v>-19.556471976173782</v>
      </c>
      <c r="BU20">
        <f>IF(ISBLANK(BLcorrectedCurrent!BU20),"",BLcorrectedCurrent!BU20/BLcorrectedCurrent!BU$3)</f>
        <v>-42.718636232017879</v>
      </c>
      <c r="BV20">
        <f>IF(ISBLANK(BLcorrectedCurrent!BV20),"",BLcorrectedCurrent!BV20/BLcorrectedCurrent!BV$3)</f>
        <v>-3.8617032307476866</v>
      </c>
      <c r="BW20">
        <f>IF(ISBLANK(BLcorrectedCurrent!BW20),"",BLcorrectedCurrent!BW20/BLcorrectedCurrent!BW$3)</f>
        <v>-26.459486346386374</v>
      </c>
      <c r="BX20">
        <f>IF(ISBLANK(BLcorrectedCurrent!BX20),"",BLcorrectedCurrent!BX20/BLcorrectedCurrent!BX$3)</f>
        <v>-12.586113506289866</v>
      </c>
      <c r="BZ20">
        <f>IF(ISBLANK(BLcorrectedCurrent!BZ20),"",BLcorrectedCurrent!BZ20/BLcorrectedCurrent!BZ$3)</f>
        <v>-2.1236168486507827</v>
      </c>
      <c r="CA20">
        <f>IF(ISBLANK(BLcorrectedCurrent!CA20),"",BLcorrectedCurrent!CA20/BLcorrectedCurrent!CA$3)</f>
        <v>-5.8196079089844046</v>
      </c>
      <c r="CB20">
        <f>IF(ISBLANK(BLcorrectedCurrent!CB20),"",BLcorrectedCurrent!CB20/BLcorrectedCurrent!CB$3)</f>
        <v>-8.0887151199279383</v>
      </c>
      <c r="CC20">
        <f>IF(ISBLANK(BLcorrectedCurrent!CC20),"",BLcorrectedCurrent!CC20/BLcorrectedCurrent!CC$3)</f>
        <v>-30.426129652695643</v>
      </c>
      <c r="CD20">
        <f>IF(ISBLANK(BLcorrectedCurrent!CD20),"",BLcorrectedCurrent!CD20/BLcorrectedCurrent!CD$3)</f>
        <v>-34.993423181960146</v>
      </c>
    </row>
    <row r="21" spans="1:82" x14ac:dyDescent="0.2">
      <c r="A21" s="3">
        <f t="shared" si="0"/>
        <v>60</v>
      </c>
      <c r="B21">
        <f>IF(ISBLANK(BLcorrectedCurrent!B21),"",BLcorrectedCurrent!B21/BLcorrectedCurrent!B$3)</f>
        <v>-309.33405221604806</v>
      </c>
      <c r="C21">
        <f>IF(ISBLANK(BLcorrectedCurrent!C21),"",BLcorrectedCurrent!C21/BLcorrectedCurrent!C$3)</f>
        <v>-70.537786849435534</v>
      </c>
      <c r="D21">
        <f>IF(ISBLANK(BLcorrectedCurrent!D21),"",BLcorrectedCurrent!D21/BLcorrectedCurrent!D$3)</f>
        <v>-18.360008576211328</v>
      </c>
      <c r="E21">
        <f>IF(ISBLANK(BLcorrectedCurrent!E21),"",BLcorrectedCurrent!E21/BLcorrectedCurrent!E$3)</f>
        <v>-38.799942667424048</v>
      </c>
      <c r="F21">
        <f>IF(ISBLANK(BLcorrectedCurrent!F21),"",BLcorrectedCurrent!F21/BLcorrectedCurrent!F$3)</f>
        <v>-20.777892676611533</v>
      </c>
      <c r="G21">
        <f>IF(ISBLANK(BLcorrectedCurrent!G21),"",BLcorrectedCurrent!G21/BLcorrectedCurrent!G$3)</f>
        <v>-47.107768246449474</v>
      </c>
      <c r="H21">
        <f>IF(ISBLANK(BLcorrectedCurrent!H21),"",BLcorrectedCurrent!H21/BLcorrectedCurrent!H$3)</f>
        <v>-123.40113468902472</v>
      </c>
      <c r="I21">
        <f>IF(ISBLANK(BLcorrectedCurrent!I21),"",BLcorrectedCurrent!I21/BLcorrectedCurrent!I$3)</f>
        <v>-51.816945650784362</v>
      </c>
      <c r="J21">
        <f>IF(ISBLANK(BLcorrectedCurrent!J21),"",BLcorrectedCurrent!J21/BLcorrectedCurrent!J$3)</f>
        <v>85.43180818502131</v>
      </c>
      <c r="K21">
        <f>IF(ISBLANK(BLcorrectedCurrent!K21),"",BLcorrectedCurrent!K21/BLcorrectedCurrent!K$3)</f>
        <v>-151.61927445168044</v>
      </c>
      <c r="L21">
        <f>IF(ISBLANK(BLcorrectedCurrent!L21),"",BLcorrectedCurrent!L21/BLcorrectedCurrent!L$3)</f>
        <v>-7.9137911595966823</v>
      </c>
      <c r="M21">
        <f>IF(ISBLANK(BLcorrectedCurrent!M21),"",BLcorrectedCurrent!M21/BLcorrectedCurrent!M$3)</f>
        <v>-106.49130807617445</v>
      </c>
      <c r="N21">
        <f>IF(ISBLANK(BLcorrectedCurrent!N21),"",BLcorrectedCurrent!N21/BLcorrectedCurrent!N$3)</f>
        <v>-27.529083341162515</v>
      </c>
      <c r="O21">
        <f>IF(ISBLANK(BLcorrectedCurrent!O21),"",BLcorrectedCurrent!O21/BLcorrectedCurrent!O$3)</f>
        <v>-15.078861138673341</v>
      </c>
      <c r="P21">
        <f>IF(ISBLANK(BLcorrectedCurrent!P21),"",BLcorrectedCurrent!P21/BLcorrectedCurrent!P$3)</f>
        <v>-27.648163805839612</v>
      </c>
      <c r="Q21">
        <f>IF(ISBLANK(BLcorrectedCurrent!Q21),"",BLcorrectedCurrent!Q21/BLcorrectedCurrent!Q$3)</f>
        <v>-23.501422650953113</v>
      </c>
      <c r="R21">
        <f>IF(ISBLANK(BLcorrectedCurrent!R21),"",BLcorrectedCurrent!R21/BLcorrectedCurrent!R$3)</f>
        <v>-16.773535543705428</v>
      </c>
      <c r="S21">
        <f>IF(ISBLANK(BLcorrectedCurrent!S21),"",BLcorrectedCurrent!S21/BLcorrectedCurrent!S$3)</f>
        <v>-7.9622889055374539</v>
      </c>
      <c r="T21">
        <f>IF(ISBLANK(BLcorrectedCurrent!T21),"",BLcorrectedCurrent!T21/BLcorrectedCurrent!T$3)</f>
        <v>-9.4829412926327787</v>
      </c>
      <c r="U21">
        <f>IF(ISBLANK(BLcorrectedCurrent!U21),"",BLcorrectedCurrent!U21/BLcorrectedCurrent!U$3)</f>
        <v>-18.28042738398107</v>
      </c>
      <c r="V21">
        <f>IF(ISBLANK(BLcorrectedCurrent!V21),"",BLcorrectedCurrent!V21/BLcorrectedCurrent!V$3)</f>
        <v>-62.651526558422368</v>
      </c>
      <c r="W21">
        <f>IF(ISBLANK(BLcorrectedCurrent!W21),"",BLcorrectedCurrent!W21/BLcorrectedCurrent!W$3)</f>
        <v>6.5008525910477184</v>
      </c>
      <c r="X21">
        <f>IF(ISBLANK(BLcorrectedCurrent!X21),"",BLcorrectedCurrent!X21/BLcorrectedCurrent!X$3)</f>
        <v>-32.285064188551566</v>
      </c>
      <c r="Y21">
        <f>IF(ISBLANK(BLcorrectedCurrent!Y21),"",BLcorrectedCurrent!Y21/BLcorrectedCurrent!Y$3)</f>
        <v>-30.872015530097791</v>
      </c>
      <c r="Z21">
        <f>IF(ISBLANK(BLcorrectedCurrent!Z21),"",BLcorrectedCurrent!Z21/BLcorrectedCurrent!Z$3)</f>
        <v>-55.756321728089056</v>
      </c>
      <c r="AA21">
        <f>IF(ISBLANK(BLcorrectedCurrent!AA21),"",BLcorrectedCurrent!AA21/BLcorrectedCurrent!AA$3)</f>
        <v>-49.729463499060074</v>
      </c>
      <c r="AB21">
        <f>IF(ISBLANK(BLcorrectedCurrent!AB21),"",BLcorrectedCurrent!AB21/BLcorrectedCurrent!AB$3)</f>
        <v>-9.7907364892496336</v>
      </c>
      <c r="AC21">
        <f>IF(ISBLANK(BLcorrectedCurrent!AC21),"",BLcorrectedCurrent!AC21/BLcorrectedCurrent!AC$3)</f>
        <v>-65.183717125063623</v>
      </c>
      <c r="AD21">
        <f>IF(ISBLANK(BLcorrectedCurrent!AD21),"",BLcorrectedCurrent!AD21/BLcorrectedCurrent!AD$3)</f>
        <v>-23.756841437133204</v>
      </c>
      <c r="AE21">
        <f>IF(ISBLANK(BLcorrectedCurrent!AE21),"",BLcorrectedCurrent!AE21/BLcorrectedCurrent!AE$3)</f>
        <v>-17.483059039447891</v>
      </c>
      <c r="AF21">
        <f>IF(ISBLANK(BLcorrectedCurrent!AF21),"",BLcorrectedCurrent!AF21/BLcorrectedCurrent!AF$3)</f>
        <v>-32.070738655747171</v>
      </c>
      <c r="AG21">
        <f>IF(ISBLANK(BLcorrectedCurrent!AG21),"",BLcorrectedCurrent!AG21/BLcorrectedCurrent!AG$3)</f>
        <v>-21.664856182180166</v>
      </c>
      <c r="AH21">
        <f>IF(ISBLANK(BLcorrectedCurrent!AH21),"",BLcorrectedCurrent!AH21/BLcorrectedCurrent!AH$3)</f>
        <v>-4.0077521548149084</v>
      </c>
      <c r="AI21">
        <f>IF(ISBLANK(BLcorrectedCurrent!AI21),"",BLcorrectedCurrent!AI21/BLcorrectedCurrent!AI$3)</f>
        <v>-4.8377903198993781</v>
      </c>
      <c r="AJ21">
        <f>IF(ISBLANK(BLcorrectedCurrent!AJ21),"",BLcorrectedCurrent!AJ21/BLcorrectedCurrent!AJ$3)</f>
        <v>-41.094463848349193</v>
      </c>
      <c r="AK21">
        <f>IF(ISBLANK(BLcorrectedCurrent!AK21),"",BLcorrectedCurrent!AK21/BLcorrectedCurrent!AK$3)</f>
        <v>-7.6996589620372884</v>
      </c>
      <c r="AL21">
        <f>IF(ISBLANK(BLcorrectedCurrent!AL21),"",BLcorrectedCurrent!AL21/BLcorrectedCurrent!AL$3)</f>
        <v>-8.8312891677118834</v>
      </c>
      <c r="AM21">
        <f>IF(ISBLANK(BLcorrectedCurrent!AM21),"",BLcorrectedCurrent!AM21/BLcorrectedCurrent!AM$3)</f>
        <v>-16.989581854947904</v>
      </c>
      <c r="AN21" t="str">
        <f>IF(ISBLANK(BLcorrectedCurrent!AN21),"",BLcorrectedCurrent!AN21/BLcorrectedCurrent!AN$3)</f>
        <v/>
      </c>
      <c r="AO21">
        <f>IF(ISBLANK(BLcorrectedCurrent!AO21),"",BLcorrectedCurrent!AO21/BLcorrectedCurrent!AO$3)</f>
        <v>-6.3892159861027089</v>
      </c>
      <c r="AP21">
        <f>IF(ISBLANK(BLcorrectedCurrent!AP21),"",BLcorrectedCurrent!AP21/BLcorrectedCurrent!AP$3)</f>
        <v>-0.428355071472376</v>
      </c>
      <c r="AQ21">
        <f>IF(ISBLANK(BLcorrectedCurrent!AQ21),"",BLcorrectedCurrent!AQ21/BLcorrectedCurrent!AQ$3)</f>
        <v>-9.3814627325394699</v>
      </c>
      <c r="AR21">
        <f>IF(ISBLANK(BLcorrectedCurrent!AR21),"",BLcorrectedCurrent!AR21/BLcorrectedCurrent!AR$3)</f>
        <v>-0.74855421550094881</v>
      </c>
      <c r="AS21">
        <f>IF(ISBLANK(BLcorrectedCurrent!AS21),"",BLcorrectedCurrent!AS21/BLcorrectedCurrent!AS$3)</f>
        <v>-9.835017733917681</v>
      </c>
      <c r="AT21">
        <f>IF(ISBLANK(BLcorrectedCurrent!AT21),"",BLcorrectedCurrent!AT21/BLcorrectedCurrent!AT$3)</f>
        <v>-4.3632057645523163</v>
      </c>
      <c r="AU21">
        <f>IF(ISBLANK(BLcorrectedCurrent!AU21),"",BLcorrectedCurrent!AU21/BLcorrectedCurrent!AU$3)</f>
        <v>-16.065305103283759</v>
      </c>
      <c r="AV21">
        <f>IF(ISBLANK(BLcorrectedCurrent!AV21),"",BLcorrectedCurrent!AV21/BLcorrectedCurrent!AV$3)</f>
        <v>2.4907268139064676</v>
      </c>
      <c r="AW21">
        <f>IF(ISBLANK(BLcorrectedCurrent!AW21),"",BLcorrectedCurrent!AW21/BLcorrectedCurrent!AW$3)</f>
        <v>-61.893010772493369</v>
      </c>
      <c r="AX21">
        <f>IF(ISBLANK(BLcorrectedCurrent!AX21),"",BLcorrectedCurrent!AX21/BLcorrectedCurrent!AX$3)</f>
        <v>-74.146293752618206</v>
      </c>
      <c r="AY21">
        <f>IF(ISBLANK(BLcorrectedCurrent!AY21),"",BLcorrectedCurrent!AY21/BLcorrectedCurrent!AY$3)</f>
        <v>-25.385457503146728</v>
      </c>
      <c r="AZ21">
        <f>IF(ISBLANK(BLcorrectedCurrent!AZ21),"",BLcorrectedCurrent!AZ21/BLcorrectedCurrent!AZ$3)</f>
        <v>-102.5233908697066</v>
      </c>
      <c r="BA21">
        <f>IF(ISBLANK(BLcorrectedCurrent!BA21),"",BLcorrectedCurrent!BA21/BLcorrectedCurrent!BA$3)</f>
        <v>-33.356199973959576</v>
      </c>
      <c r="BB21">
        <f>IF(ISBLANK(BLcorrectedCurrent!BB21),"",BLcorrectedCurrent!BB21/BLcorrectedCurrent!BB$3)</f>
        <v>-21.447968098758164</v>
      </c>
      <c r="BC21">
        <f>IF(ISBLANK(BLcorrectedCurrent!BC21),"",BLcorrectedCurrent!BC21/BLcorrectedCurrent!BC$3)</f>
        <v>-2.7465316733965643</v>
      </c>
      <c r="BD21">
        <f>IF(ISBLANK(BLcorrectedCurrent!BD21),"",BLcorrectedCurrent!BD21/BLcorrectedCurrent!BD$3)</f>
        <v>3.758385180792061</v>
      </c>
      <c r="BE21">
        <f>IF(ISBLANK(BLcorrectedCurrent!BE21),"",BLcorrectedCurrent!BE21/BLcorrectedCurrent!BE$3)</f>
        <v>-20.074268875793464</v>
      </c>
      <c r="BF21" t="str">
        <f>IF(ISBLANK(BLcorrectedCurrent!BF21),"",BLcorrectedCurrent!BF21/BLcorrectedCurrent!BF$3)</f>
        <v/>
      </c>
      <c r="BG21">
        <f>IF(ISBLANK(BLcorrectedCurrent!BG21),"",BLcorrectedCurrent!BG21/BLcorrectedCurrent!BG$3)</f>
        <v>-32.720337897931685</v>
      </c>
      <c r="BH21">
        <f>IF(ISBLANK(BLcorrectedCurrent!BH21),"",BLcorrectedCurrent!BH21/BLcorrectedCurrent!BH$3)</f>
        <v>-3.5261925485516574</v>
      </c>
      <c r="BI21">
        <f>IF(ISBLANK(BLcorrectedCurrent!BI21),"",BLcorrectedCurrent!BI21/BLcorrectedCurrent!BI$3)</f>
        <v>-1.2687558695456083</v>
      </c>
      <c r="BJ21">
        <f>IF(ISBLANK(BLcorrectedCurrent!BJ21),"",BLcorrectedCurrent!BJ21/BLcorrectedCurrent!BJ$3)</f>
        <v>-4.1722715770132837</v>
      </c>
      <c r="BK21">
        <f>IF(ISBLANK(BLcorrectedCurrent!BK21),"",BLcorrectedCurrent!BK21/BLcorrectedCurrent!BK$3)</f>
        <v>-9.26492698829259</v>
      </c>
      <c r="BL21">
        <f>IF(ISBLANK(BLcorrectedCurrent!BL21),"",BLcorrectedCurrent!BL21/BLcorrectedCurrent!BL$3)</f>
        <v>-6.4460419788159529</v>
      </c>
      <c r="BM21">
        <f>IF(ISBLANK(BLcorrectedCurrent!BM21),"",BLcorrectedCurrent!BM21/BLcorrectedCurrent!BM$3)</f>
        <v>-20.495179300427431</v>
      </c>
      <c r="BN21">
        <f>IF(ISBLANK(BLcorrectedCurrent!BN21),"",BLcorrectedCurrent!BN21/BLcorrectedCurrent!BN$3)</f>
        <v>32.757788032196892</v>
      </c>
      <c r="BO21">
        <f>IF(ISBLANK(BLcorrectedCurrent!BO21),"",BLcorrectedCurrent!BO21/BLcorrectedCurrent!BO$3)</f>
        <v>16.932681741795552</v>
      </c>
      <c r="BP21">
        <f>IF(ISBLANK(BLcorrectedCurrent!BP21),"",BLcorrectedCurrent!BP21/BLcorrectedCurrent!BP$3)</f>
        <v>15.302774345840007</v>
      </c>
      <c r="BQ21">
        <f>IF(ISBLANK(BLcorrectedCurrent!BQ21),"",BLcorrectedCurrent!BQ21/BLcorrectedCurrent!BQ$3)</f>
        <v>19.508595445349965</v>
      </c>
      <c r="BR21">
        <f>IF(ISBLANK(BLcorrectedCurrent!BR21),"",BLcorrectedCurrent!BR21/BLcorrectedCurrent!BR$3)</f>
        <v>0.29657067808912368</v>
      </c>
      <c r="BS21">
        <f>IF(ISBLANK(BLcorrectedCurrent!BS21),"",BLcorrectedCurrent!BS21/BLcorrectedCurrent!BS$3)</f>
        <v>-4.0536734769494087</v>
      </c>
      <c r="BT21">
        <f>IF(ISBLANK(BLcorrectedCurrent!BT21),"",BLcorrectedCurrent!BT21/BLcorrectedCurrent!BT$3)</f>
        <v>-7.5365284015091696</v>
      </c>
      <c r="BU21">
        <f>IF(ISBLANK(BLcorrectedCurrent!BU21),"",BLcorrectedCurrent!BU21/BLcorrectedCurrent!BU$3)</f>
        <v>-29.345739131763967</v>
      </c>
      <c r="BV21">
        <f>IF(ISBLANK(BLcorrectedCurrent!BV21),"",BLcorrectedCurrent!BV21/BLcorrectedCurrent!BV$3)</f>
        <v>-1.0124328653592005</v>
      </c>
      <c r="BW21">
        <f>IF(ISBLANK(BLcorrectedCurrent!BW21),"",BLcorrectedCurrent!BW21/BLcorrectedCurrent!BW$3)</f>
        <v>-14.468312114461911</v>
      </c>
      <c r="BX21">
        <f>IF(ISBLANK(BLcorrectedCurrent!BX21),"",BLcorrectedCurrent!BX21/BLcorrectedCurrent!BX$3)</f>
        <v>-8.3372607048761509</v>
      </c>
      <c r="BZ21">
        <f>IF(ISBLANK(BLcorrectedCurrent!BZ21),"",BLcorrectedCurrent!BZ21/BLcorrectedCurrent!BZ$3)</f>
        <v>-1.5305015586288433</v>
      </c>
      <c r="CA21">
        <f>IF(ISBLANK(BLcorrectedCurrent!CA21),"",BLcorrectedCurrent!CA21/BLcorrectedCurrent!CA$3)</f>
        <v>11.531046525319887</v>
      </c>
      <c r="CB21">
        <f>IF(ISBLANK(BLcorrectedCurrent!CB21),"",BLcorrectedCurrent!CB21/BLcorrectedCurrent!CB$3)</f>
        <v>-4.0923437336095105</v>
      </c>
      <c r="CC21">
        <f>IF(ISBLANK(BLcorrectedCurrent!CC21),"",BLcorrectedCurrent!CC21/BLcorrectedCurrent!CC$3)</f>
        <v>-25.349633245883055</v>
      </c>
      <c r="CD21">
        <f>IF(ISBLANK(BLcorrectedCurrent!CD21),"",BLcorrectedCurrent!CD21/BLcorrectedCurrent!CD$3)</f>
        <v>-17.471928140603215</v>
      </c>
    </row>
    <row r="22" spans="1:82" x14ac:dyDescent="0.2">
      <c r="A22" s="3">
        <f t="shared" si="0"/>
        <v>70</v>
      </c>
      <c r="B22">
        <f>IF(ISBLANK(BLcorrectedCurrent!B22),"",BLcorrectedCurrent!B22/BLcorrectedCurrent!B$3)</f>
        <v>-152.89894886795361</v>
      </c>
      <c r="C22">
        <f>IF(ISBLANK(BLcorrectedCurrent!C22),"",BLcorrectedCurrent!C22/BLcorrectedCurrent!C$3)</f>
        <v>-43.434258625651637</v>
      </c>
      <c r="D22">
        <f>IF(ISBLANK(BLcorrectedCurrent!D22),"",BLcorrectedCurrent!D22/BLcorrectedCurrent!D$3)</f>
        <v>21.407721359587143</v>
      </c>
      <c r="E22">
        <f>IF(ISBLANK(BLcorrectedCurrent!E22),"",BLcorrectedCurrent!E22/BLcorrectedCurrent!E$3)</f>
        <v>44.926024665484803</v>
      </c>
      <c r="F22">
        <f>IF(ISBLANK(BLcorrectedCurrent!F22),"",BLcorrectedCurrent!F22/BLcorrectedCurrent!F$3)</f>
        <v>221.80720737350416</v>
      </c>
      <c r="G22">
        <f>IF(ISBLANK(BLcorrectedCurrent!G22),"",BLcorrectedCurrent!G22/BLcorrectedCurrent!G$3)</f>
        <v>-12.70043418193179</v>
      </c>
      <c r="H22">
        <f>IF(ISBLANK(BLcorrectedCurrent!H22),"",BLcorrectedCurrent!H22/BLcorrectedCurrent!H$3)</f>
        <v>-79.150557193438459</v>
      </c>
      <c r="I22">
        <f>IF(ISBLANK(BLcorrectedCurrent!I22),"",BLcorrectedCurrent!I22/BLcorrectedCurrent!I$3)</f>
        <v>-11.586908134830114</v>
      </c>
      <c r="J22">
        <f>IF(ISBLANK(BLcorrectedCurrent!J22),"",BLcorrectedCurrent!J22/BLcorrectedCurrent!J$3)</f>
        <v>71.172899505896424</v>
      </c>
      <c r="K22">
        <f>IF(ISBLANK(BLcorrectedCurrent!K22),"",BLcorrectedCurrent!K22/BLcorrectedCurrent!K$3)</f>
        <v>-88.273803502992379</v>
      </c>
      <c r="L22">
        <f>IF(ISBLANK(BLcorrectedCurrent!L22),"",BLcorrectedCurrent!L22/BLcorrectedCurrent!L$3)</f>
        <v>9.1232005476887448</v>
      </c>
      <c r="M22">
        <f>IF(ISBLANK(BLcorrectedCurrent!M22),"",BLcorrectedCurrent!M22/BLcorrectedCurrent!M$3)</f>
        <v>-50.814045557191996</v>
      </c>
      <c r="N22">
        <f>IF(ISBLANK(BLcorrectedCurrent!N22),"",BLcorrectedCurrent!N22/BLcorrectedCurrent!N$3)</f>
        <v>13.540281718581305</v>
      </c>
      <c r="O22">
        <f>IF(ISBLANK(BLcorrectedCurrent!O22),"",BLcorrectedCurrent!O22/BLcorrectedCurrent!O$3)</f>
        <v>23.797858001856849</v>
      </c>
      <c r="P22">
        <f>IF(ISBLANK(BLcorrectedCurrent!P22),"",BLcorrectedCurrent!P22/BLcorrectedCurrent!P$3)</f>
        <v>28.287623728602814</v>
      </c>
      <c r="Q22">
        <f>IF(ISBLANK(BLcorrectedCurrent!Q22),"",BLcorrectedCurrent!Q22/BLcorrectedCurrent!Q$3)</f>
        <v>18.442907095685438</v>
      </c>
      <c r="R22">
        <f>IF(ISBLANK(BLcorrectedCurrent!R22),"",BLcorrectedCurrent!R22/BLcorrectedCurrent!R$3)</f>
        <v>13.488056216881128</v>
      </c>
      <c r="S22">
        <f>IF(ISBLANK(BLcorrectedCurrent!S22),"",BLcorrectedCurrent!S22/BLcorrectedCurrent!S$3)</f>
        <v>28.133496113348684</v>
      </c>
      <c r="T22">
        <f>IF(ISBLANK(BLcorrectedCurrent!T22),"",BLcorrectedCurrent!T22/BLcorrectedCurrent!T$3)</f>
        <v>9.3548774383477618</v>
      </c>
      <c r="U22">
        <f>IF(ISBLANK(BLcorrectedCurrent!U22),"",BLcorrectedCurrent!U22/BLcorrectedCurrent!U$3)</f>
        <v>15.601099614677798</v>
      </c>
      <c r="V22">
        <f>IF(ISBLANK(BLcorrectedCurrent!V22),"",BLcorrectedCurrent!V22/BLcorrectedCurrent!V$3)</f>
        <v>25.455497396557686</v>
      </c>
      <c r="W22">
        <f>IF(ISBLANK(BLcorrectedCurrent!W22),"",BLcorrectedCurrent!W22/BLcorrectedCurrent!W$3)</f>
        <v>11.260886185877496</v>
      </c>
      <c r="X22">
        <f>IF(ISBLANK(BLcorrectedCurrent!X22),"",BLcorrectedCurrent!X22/BLcorrectedCurrent!X$3)</f>
        <v>-2.9837844550947992</v>
      </c>
      <c r="Y22">
        <f>IF(ISBLANK(BLcorrectedCurrent!Y22),"",BLcorrectedCurrent!Y22/BLcorrectedCurrent!Y$3)</f>
        <v>27.973190322521532</v>
      </c>
      <c r="Z22">
        <f>IF(ISBLANK(BLcorrectedCurrent!Z22),"",BLcorrectedCurrent!Z22/BLcorrectedCurrent!Z$3)</f>
        <v>28.609842480612119</v>
      </c>
      <c r="AA22">
        <f>IF(ISBLANK(BLcorrectedCurrent!AA22),"",BLcorrectedCurrent!AA22/BLcorrectedCurrent!AA$3)</f>
        <v>50.681076792128785</v>
      </c>
      <c r="AB22">
        <f>IF(ISBLANK(BLcorrectedCurrent!AB22),"",BLcorrectedCurrent!AB22/BLcorrectedCurrent!AB$3)</f>
        <v>2.9224046901910925</v>
      </c>
      <c r="AC22">
        <f>IF(ISBLANK(BLcorrectedCurrent!AC22),"",BLcorrectedCurrent!AC22/BLcorrectedCurrent!AC$3)</f>
        <v>-27.857033973154277</v>
      </c>
      <c r="AD22">
        <f>IF(ISBLANK(BLcorrectedCurrent!AD22),"",BLcorrectedCurrent!AD22/BLcorrectedCurrent!AD$3)</f>
        <v>-5.7183078965526875</v>
      </c>
      <c r="AE22">
        <f>IF(ISBLANK(BLcorrectedCurrent!AE22),"",BLcorrectedCurrent!AE22/BLcorrectedCurrent!AE$3)</f>
        <v>92.990437594764032</v>
      </c>
      <c r="AF22">
        <f>IF(ISBLANK(BLcorrectedCurrent!AF22),"",BLcorrectedCurrent!AF22/BLcorrectedCurrent!AF$3)</f>
        <v>14.598698547642639</v>
      </c>
      <c r="AG22">
        <f>IF(ISBLANK(BLcorrectedCurrent!AG22),"",BLcorrectedCurrent!AG22/BLcorrectedCurrent!AG$3)</f>
        <v>13.626571768190923</v>
      </c>
      <c r="AH22">
        <f>IF(ISBLANK(BLcorrectedCurrent!AH22),"",BLcorrectedCurrent!AH22/BLcorrectedCurrent!AH$3)</f>
        <v>6.8261468212899201</v>
      </c>
      <c r="AI22">
        <f>IF(ISBLANK(BLcorrectedCurrent!AI22),"",BLcorrectedCurrent!AI22/BLcorrectedCurrent!AI$3)</f>
        <v>6.9913541798965335</v>
      </c>
      <c r="AJ22">
        <f>IF(ISBLANK(BLcorrectedCurrent!AJ22),"",BLcorrectedCurrent!AJ22/BLcorrectedCurrent!AJ$3)</f>
        <v>23.895925184171698</v>
      </c>
      <c r="AK22">
        <f>IF(ISBLANK(BLcorrectedCurrent!AK22),"",BLcorrectedCurrent!AK22/BLcorrectedCurrent!AK$3)</f>
        <v>-2.3991435516054254</v>
      </c>
      <c r="AL22">
        <f>IF(ISBLANK(BLcorrectedCurrent!AL22),"",BLcorrectedCurrent!AL22/BLcorrectedCurrent!AL$3)</f>
        <v>6.7110977555746185</v>
      </c>
      <c r="AM22">
        <f>IF(ISBLANK(BLcorrectedCurrent!AM22),"",BLcorrectedCurrent!AM22/BLcorrectedCurrent!AM$3)</f>
        <v>-4.2750010974208177</v>
      </c>
      <c r="AN22" t="str">
        <f>IF(ISBLANK(BLcorrectedCurrent!AN22),"",BLcorrectedCurrent!AN22/BLcorrectedCurrent!AN$3)</f>
        <v/>
      </c>
      <c r="AO22">
        <f>IF(ISBLANK(BLcorrectedCurrent!AO22),"",BLcorrectedCurrent!AO22/BLcorrectedCurrent!AO$3)</f>
        <v>18.305176593233096</v>
      </c>
      <c r="AP22">
        <f>IF(ISBLANK(BLcorrectedCurrent!AP22),"",BLcorrectedCurrent!AP22/BLcorrectedCurrent!AP$3)</f>
        <v>11.723779240270988</v>
      </c>
      <c r="AQ22">
        <f>IF(ISBLANK(BLcorrectedCurrent!AQ22),"",BLcorrectedCurrent!AQ22/BLcorrectedCurrent!AQ$3)</f>
        <v>18.391400705247506</v>
      </c>
      <c r="AR22">
        <f>IF(ISBLANK(BLcorrectedCurrent!AR22),"",BLcorrectedCurrent!AR22/BLcorrectedCurrent!AR$3)</f>
        <v>11.670541412302365</v>
      </c>
      <c r="AS22">
        <f>IF(ISBLANK(BLcorrectedCurrent!AS22),"",BLcorrectedCurrent!AS22/BLcorrectedCurrent!AS$3)</f>
        <v>3.4951198891363875</v>
      </c>
      <c r="AT22">
        <f>IF(ISBLANK(BLcorrectedCurrent!AT22),"",BLcorrectedCurrent!AT22/BLcorrectedCurrent!AT$3)</f>
        <v>0.44244024772074331</v>
      </c>
      <c r="AU22">
        <f>IF(ISBLANK(BLcorrectedCurrent!AU22),"",BLcorrectedCurrent!AU22/BLcorrectedCurrent!AU$3)</f>
        <v>11.362664119262428</v>
      </c>
      <c r="AV22">
        <f>IF(ISBLANK(BLcorrectedCurrent!AV22),"",BLcorrectedCurrent!AV22/BLcorrectedCurrent!AV$3)</f>
        <v>7.8110408116817531</v>
      </c>
      <c r="AW22">
        <f>IF(ISBLANK(BLcorrectedCurrent!AW22),"",BLcorrectedCurrent!AW22/BLcorrectedCurrent!AW$3)</f>
        <v>51.247518465963402</v>
      </c>
      <c r="AX22">
        <f>IF(ISBLANK(BLcorrectedCurrent!AX22),"",BLcorrectedCurrent!AX22/BLcorrectedCurrent!AX$3)</f>
        <v>-30.625096684071696</v>
      </c>
      <c r="AY22">
        <f>IF(ISBLANK(BLcorrectedCurrent!AY22),"",BLcorrectedCurrent!AY22/BLcorrectedCurrent!AY$3)</f>
        <v>9.9794849850891136</v>
      </c>
      <c r="AZ22">
        <f>IF(ISBLANK(BLcorrectedCurrent!AZ22),"",BLcorrectedCurrent!AZ22/BLcorrectedCurrent!AZ$3)</f>
        <v>-40.738510370552852</v>
      </c>
      <c r="BA22">
        <f>IF(ISBLANK(BLcorrectedCurrent!BA22),"",BLcorrectedCurrent!BA22/BLcorrectedCurrent!BA$3)</f>
        <v>-13.153192345693837</v>
      </c>
      <c r="BB22">
        <f>IF(ISBLANK(BLcorrectedCurrent!BB22),"",BLcorrectedCurrent!BB22/BLcorrectedCurrent!BB$3)</f>
        <v>13.370582336196202</v>
      </c>
      <c r="BC22">
        <f>IF(ISBLANK(BLcorrectedCurrent!BC22),"",BLcorrectedCurrent!BC22/BLcorrectedCurrent!BC$3)</f>
        <v>2.9076000668395112</v>
      </c>
      <c r="BD22">
        <f>IF(ISBLANK(BLcorrectedCurrent!BD22),"",BLcorrectedCurrent!BD22/BLcorrectedCurrent!BD$3)</f>
        <v>15.983794472983103</v>
      </c>
      <c r="BE22">
        <f>IF(ISBLANK(BLcorrectedCurrent!BE22),"",BLcorrectedCurrent!BE22/BLcorrectedCurrent!BE$3)</f>
        <v>0.10128884246617838</v>
      </c>
      <c r="BF22">
        <f>IF(ISBLANK(BLcorrectedCurrent!BF22),"",BLcorrectedCurrent!BF22/BLcorrectedCurrent!BF$3)</f>
        <v>11.618027098983566</v>
      </c>
      <c r="BG22">
        <f>IF(ISBLANK(BLcorrectedCurrent!BG22),"",BLcorrectedCurrent!BG22/BLcorrectedCurrent!BG$3)</f>
        <v>-10.45824000152399</v>
      </c>
      <c r="BH22">
        <f>IF(ISBLANK(BLcorrectedCurrent!BH22),"",BLcorrectedCurrent!BH22/BLcorrectedCurrent!BH$3)</f>
        <v>6.8112028858160585</v>
      </c>
      <c r="BI22">
        <f>IF(ISBLANK(BLcorrectedCurrent!BI22),"",BLcorrectedCurrent!BI22/BLcorrectedCurrent!BI$3)</f>
        <v>3.950502795055554</v>
      </c>
      <c r="BJ22">
        <f>IF(ISBLANK(BLcorrectedCurrent!BJ22),"",BLcorrectedCurrent!BJ22/BLcorrectedCurrent!BJ$3)</f>
        <v>-0.39229981211692183</v>
      </c>
      <c r="BK22">
        <f>IF(ISBLANK(BLcorrectedCurrent!BK22),"",BLcorrectedCurrent!BK22/BLcorrectedCurrent!BK$3)</f>
        <v>2.8306246281882812</v>
      </c>
      <c r="BL22">
        <f>IF(ISBLANK(BLcorrectedCurrent!BL22),"",BLcorrectedCurrent!BL22/BLcorrectedCurrent!BL$3)</f>
        <v>7.3399081457571738</v>
      </c>
      <c r="BM22">
        <f>IF(ISBLANK(BLcorrectedCurrent!BM22),"",BLcorrectedCurrent!BM22/BLcorrectedCurrent!BM$3)</f>
        <v>-6.9485080995748811</v>
      </c>
      <c r="BN22">
        <f>IF(ISBLANK(BLcorrectedCurrent!BN22),"",BLcorrectedCurrent!BN22/BLcorrectedCurrent!BN$3)</f>
        <v>54.261976242248622</v>
      </c>
      <c r="BO22">
        <f>IF(ISBLANK(BLcorrectedCurrent!BO22),"",BLcorrectedCurrent!BO22/BLcorrectedCurrent!BO$3)</f>
        <v>27.120393469285041</v>
      </c>
      <c r="BP22">
        <f>IF(ISBLANK(BLcorrectedCurrent!BP22),"",BLcorrectedCurrent!BP22/BLcorrectedCurrent!BP$3)</f>
        <v>27.207502196447642</v>
      </c>
      <c r="BQ22">
        <f>IF(ISBLANK(BLcorrectedCurrent!BQ22),"",BLcorrectedCurrent!BQ22/BLcorrectedCurrent!BQ$3)</f>
        <v>37.564421912848275</v>
      </c>
      <c r="BR22">
        <f>IF(ISBLANK(BLcorrectedCurrent!BR22),"",BLcorrectedCurrent!BR22/BLcorrectedCurrent!BR$3)</f>
        <v>24.086829354042063</v>
      </c>
      <c r="BS22">
        <f>IF(ISBLANK(BLcorrectedCurrent!BS22),"",BLcorrectedCurrent!BS22/BLcorrectedCurrent!BS$3)</f>
        <v>20.18118238497998</v>
      </c>
      <c r="BT22">
        <f>IF(ISBLANK(BLcorrectedCurrent!BT22),"",BLcorrectedCurrent!BT22/BLcorrectedCurrent!BT$3)</f>
        <v>5.5671733119402864</v>
      </c>
      <c r="BU22">
        <f>IF(ISBLANK(BLcorrectedCurrent!BU22),"",BLcorrectedCurrent!BU22/BLcorrectedCurrent!BU$3)</f>
        <v>-21.623552672685044</v>
      </c>
      <c r="BV22">
        <f>IF(ISBLANK(BLcorrectedCurrent!BV22),"",BLcorrectedCurrent!BV22/BLcorrectedCurrent!BV$3)</f>
        <v>1.5039081698245096</v>
      </c>
      <c r="BW22">
        <f>IF(ISBLANK(BLcorrectedCurrent!BW22),"",BLcorrectedCurrent!BW22/BLcorrectedCurrent!BW$3)</f>
        <v>-3.0500983727681183</v>
      </c>
      <c r="BX22">
        <f>IF(ISBLANK(BLcorrectedCurrent!BX22),"",BLcorrectedCurrent!BX22/BLcorrectedCurrent!BX$3)</f>
        <v>-1.022948621522322</v>
      </c>
      <c r="BZ22">
        <f>IF(ISBLANK(BLcorrectedCurrent!BZ22),"",BLcorrectedCurrent!BZ22/BLcorrectedCurrent!BZ$3)</f>
        <v>16.707942342924209</v>
      </c>
      <c r="CA22">
        <f>IF(ISBLANK(BLcorrectedCurrent!CA22),"",BLcorrectedCurrent!CA22/BLcorrectedCurrent!CA$3)</f>
        <v>25.697305484160516</v>
      </c>
      <c r="CB22">
        <f>IF(ISBLANK(BLcorrectedCurrent!CB22),"",BLcorrectedCurrent!CB22/BLcorrectedCurrent!CB$3)</f>
        <v>2.3805173877141543</v>
      </c>
      <c r="CC22">
        <f>IF(ISBLANK(BLcorrectedCurrent!CC22),"",BLcorrectedCurrent!CC22/BLcorrectedCurrent!CC$3)</f>
        <v>-17.644336166958279</v>
      </c>
      <c r="CD22">
        <f>IF(ISBLANK(BLcorrectedCurrent!CD22),"",BLcorrectedCurrent!CD22/BLcorrectedCurrent!CD$3)</f>
        <v>-4.2261084464088228</v>
      </c>
    </row>
    <row r="23" spans="1:82" x14ac:dyDescent="0.2">
      <c r="A23" s="3">
        <f t="shared" si="0"/>
        <v>80</v>
      </c>
      <c r="B23">
        <f>IF(ISBLANK(BLcorrectedCurrent!B23),"",BLcorrectedCurrent!B23/BLcorrectedCurrent!B$3)</f>
        <v>-61.969206988167045</v>
      </c>
      <c r="C23">
        <f>IF(ISBLANK(BLcorrectedCurrent!C23),"",BLcorrectedCurrent!C23/BLcorrectedCurrent!C$3)</f>
        <v>-21.566285815572236</v>
      </c>
      <c r="D23">
        <f>IF(ISBLANK(BLcorrectedCurrent!D23),"",BLcorrectedCurrent!D23/BLcorrectedCurrent!D$3)</f>
        <v>42.753242312418571</v>
      </c>
      <c r="E23">
        <f>IF(ISBLANK(BLcorrectedCurrent!E23),"",BLcorrectedCurrent!E23/BLcorrectedCurrent!E$3)</f>
        <v>111.70372807769179</v>
      </c>
      <c r="F23">
        <f>IF(ISBLANK(BLcorrectedCurrent!F23),"",BLcorrectedCurrent!F23/BLcorrectedCurrent!F$3)</f>
        <v>379.42728350016381</v>
      </c>
      <c r="G23">
        <f>IF(ISBLANK(BLcorrectedCurrent!G23),"",BLcorrectedCurrent!G23/BLcorrectedCurrent!G$3)</f>
        <v>24.404135413931971</v>
      </c>
      <c r="H23">
        <f>IF(ISBLANK(BLcorrectedCurrent!H23),"",BLcorrectedCurrent!H23/BLcorrectedCurrent!H$3)</f>
        <v>-30.781553162271489</v>
      </c>
      <c r="I23">
        <f>IF(ISBLANK(BLcorrectedCurrent!I23),"",BLcorrectedCurrent!I23/BLcorrectedCurrent!I$3)</f>
        <v>24.104277994340073</v>
      </c>
      <c r="J23">
        <f>IF(ISBLANK(BLcorrectedCurrent!J23),"",BLcorrectedCurrent!J23/BLcorrectedCurrent!J$3)</f>
        <v>230.56365657961561</v>
      </c>
      <c r="K23">
        <f>IF(ISBLANK(BLcorrectedCurrent!K23),"",BLcorrectedCurrent!K23/BLcorrectedCurrent!K$3)</f>
        <v>-26.681620431039921</v>
      </c>
      <c r="L23">
        <f>IF(ISBLANK(BLcorrectedCurrent!L23),"",BLcorrectedCurrent!L23/BLcorrectedCurrent!L$3)</f>
        <v>21.425272720811812</v>
      </c>
      <c r="M23">
        <f>IF(ISBLANK(BLcorrectedCurrent!M23),"",BLcorrectedCurrent!M23/BLcorrectedCurrent!M$3)</f>
        <v>31.046738928408534</v>
      </c>
      <c r="N23">
        <f>IF(ISBLANK(BLcorrectedCurrent!N23),"",BLcorrectedCurrent!N23/BLcorrectedCurrent!N$3)</f>
        <v>38.534778792000075</v>
      </c>
      <c r="O23">
        <f>IF(ISBLANK(BLcorrectedCurrent!O23),"",BLcorrectedCurrent!O23/BLcorrectedCurrent!O$3)</f>
        <v>50.603955490423324</v>
      </c>
      <c r="P23">
        <f>IF(ISBLANK(BLcorrectedCurrent!P23),"",BLcorrectedCurrent!P23/BLcorrectedCurrent!P$3)</f>
        <v>76.026706575794023</v>
      </c>
      <c r="Q23">
        <f>IF(ISBLANK(BLcorrectedCurrent!Q23),"",BLcorrectedCurrent!Q23/BLcorrectedCurrent!Q$3)</f>
        <v>27.527079009666384</v>
      </c>
      <c r="R23">
        <f>IF(ISBLANK(BLcorrectedCurrent!R23),"",BLcorrectedCurrent!R23/BLcorrectedCurrent!R$3)</f>
        <v>26.774438298093635</v>
      </c>
      <c r="S23">
        <f>IF(ISBLANK(BLcorrectedCurrent!S23),"",BLcorrectedCurrent!S23/BLcorrectedCurrent!S$3)</f>
        <v>42.224106138435253</v>
      </c>
      <c r="T23">
        <f>IF(ISBLANK(BLcorrectedCurrent!T23),"",BLcorrectedCurrent!T23/BLcorrectedCurrent!T$3)</f>
        <v>20.423600816473666</v>
      </c>
      <c r="U23">
        <f>IF(ISBLANK(BLcorrectedCurrent!U23),"",BLcorrectedCurrent!U23/BLcorrectedCurrent!U$3)</f>
        <v>49.464519648532672</v>
      </c>
      <c r="V23">
        <f>IF(ISBLANK(BLcorrectedCurrent!V23),"",BLcorrectedCurrent!V23/BLcorrectedCurrent!V$3)</f>
        <v>86.174165470248582</v>
      </c>
      <c r="W23">
        <f>IF(ISBLANK(BLcorrectedCurrent!W23),"",BLcorrectedCurrent!W23/BLcorrectedCurrent!W$3)</f>
        <v>18.43802658955434</v>
      </c>
      <c r="X23">
        <f>IF(ISBLANK(BLcorrectedCurrent!X23),"",BLcorrectedCurrent!X23/BLcorrectedCurrent!X$3)</f>
        <v>44.37064434099748</v>
      </c>
      <c r="Y23">
        <f>IF(ISBLANK(BLcorrectedCurrent!Y23),"",BLcorrectedCurrent!Y23/BLcorrectedCurrent!Y$3)</f>
        <v>50.472989676438729</v>
      </c>
      <c r="Z23">
        <f>IF(ISBLANK(BLcorrectedCurrent!Z23),"",BLcorrectedCurrent!Z23/BLcorrectedCurrent!Z$3)</f>
        <v>69.730814622743267</v>
      </c>
      <c r="AA23">
        <f>IF(ISBLANK(BLcorrectedCurrent!AA23),"",BLcorrectedCurrent!AA23/BLcorrectedCurrent!AA$3)</f>
        <v>81.633833971245593</v>
      </c>
      <c r="AB23">
        <f>IF(ISBLANK(BLcorrectedCurrent!AB23),"",BLcorrectedCurrent!AB23/BLcorrectedCurrent!AB$3)</f>
        <v>10.413250499324654</v>
      </c>
      <c r="AC23">
        <f>IF(ISBLANK(BLcorrectedCurrent!AC23),"",BLcorrectedCurrent!AC23/BLcorrectedCurrent!AC$3)</f>
        <v>13.319466708681961</v>
      </c>
      <c r="AD23">
        <f>IF(ISBLANK(BLcorrectedCurrent!AD23),"",BLcorrectedCurrent!AD23/BLcorrectedCurrent!AD$3)</f>
        <v>30.245368563725016</v>
      </c>
      <c r="AE23">
        <f>IF(ISBLANK(BLcorrectedCurrent!AE23),"",BLcorrectedCurrent!AE23/BLcorrectedCurrent!AE$3)</f>
        <v>167.90116327214923</v>
      </c>
      <c r="AF23">
        <f>IF(ISBLANK(BLcorrectedCurrent!AF23),"",BLcorrectedCurrent!AF23/BLcorrectedCurrent!AF$3)</f>
        <v>30.530148783332642</v>
      </c>
      <c r="AG23">
        <f>IF(ISBLANK(BLcorrectedCurrent!AG23),"",BLcorrectedCurrent!AG23/BLcorrectedCurrent!AG$3)</f>
        <v>27.98231431233345</v>
      </c>
      <c r="AH23">
        <f>IF(ISBLANK(BLcorrectedCurrent!AH23),"",BLcorrectedCurrent!AH23/BLcorrectedCurrent!AH$3)</f>
        <v>9.3908042620929049</v>
      </c>
      <c r="AI23">
        <f>IF(ISBLANK(BLcorrectedCurrent!AI23),"",BLcorrectedCurrent!AI23/BLcorrectedCurrent!AI$3)</f>
        <v>22.235757819401538</v>
      </c>
      <c r="AJ23">
        <f>IF(ISBLANK(BLcorrectedCurrent!AJ23),"",BLcorrectedCurrent!AJ23/BLcorrectedCurrent!AJ$3)</f>
        <v>27.289279857712206</v>
      </c>
      <c r="AK23">
        <f>IF(ISBLANK(BLcorrectedCurrent!AK23),"",BLcorrectedCurrent!AK23/BLcorrectedCurrent!AK$3)</f>
        <v>8.8545452954741783</v>
      </c>
      <c r="AL23">
        <f>IF(ISBLANK(BLcorrectedCurrent!AL23),"",BLcorrectedCurrent!AL23/BLcorrectedCurrent!AL$3)</f>
        <v>15.54802642008589</v>
      </c>
      <c r="AM23">
        <f>IF(ISBLANK(BLcorrectedCurrent!AM23),"",BLcorrectedCurrent!AM23/BLcorrectedCurrent!AM$3)</f>
        <v>16.34364511710428</v>
      </c>
      <c r="AN23" t="str">
        <f>IF(ISBLANK(BLcorrectedCurrent!AN23),"",BLcorrectedCurrent!AN23/BLcorrectedCurrent!AN$3)</f>
        <v/>
      </c>
      <c r="AO23">
        <f>IF(ISBLANK(BLcorrectedCurrent!AO23),"",BLcorrectedCurrent!AO23/BLcorrectedCurrent!AO$3)</f>
        <v>23.933900724010748</v>
      </c>
      <c r="AP23">
        <f>IF(ISBLANK(BLcorrectedCurrent!AP23),"",BLcorrectedCurrent!AP23/BLcorrectedCurrent!AP$3)</f>
        <v>16.765325384757393</v>
      </c>
      <c r="AQ23">
        <f>IF(ISBLANK(BLcorrectedCurrent!AQ23),"",BLcorrectedCurrent!AQ23/BLcorrectedCurrent!AQ$3)</f>
        <v>-5.6444774372042872</v>
      </c>
      <c r="AR23">
        <f>IF(ISBLANK(BLcorrectedCurrent!AR23),"",BLcorrectedCurrent!AR23/BLcorrectedCurrent!AR$3)</f>
        <v>13.958011712423239</v>
      </c>
      <c r="AS23">
        <f>IF(ISBLANK(BLcorrectedCurrent!AS23),"",BLcorrectedCurrent!AS23/BLcorrectedCurrent!AS$3)</f>
        <v>3.9603940979856214</v>
      </c>
      <c r="AT23">
        <f>IF(ISBLANK(BLcorrectedCurrent!AT23),"",BLcorrectedCurrent!AT23/BLcorrectedCurrent!AT$3)</f>
        <v>8.3946272025302182</v>
      </c>
      <c r="AU23">
        <f>IF(ISBLANK(BLcorrectedCurrent!AU23),"",BLcorrectedCurrent!AU23/BLcorrectedCurrent!AU$3)</f>
        <v>21.421200912345657</v>
      </c>
      <c r="AV23">
        <f>IF(ISBLANK(BLcorrectedCurrent!AV23),"",BLcorrectedCurrent!AV23/BLcorrectedCurrent!AV$3)</f>
        <v>11.927903161111031</v>
      </c>
      <c r="AW23">
        <f>IF(ISBLANK(BLcorrectedCurrent!AW23),"",BLcorrectedCurrent!AW23/BLcorrectedCurrent!AW$3)</f>
        <v>66.136674885086236</v>
      </c>
      <c r="AX23">
        <f>IF(ISBLANK(BLcorrectedCurrent!AX23),"",BLcorrectedCurrent!AX23/BLcorrectedCurrent!AX$3)</f>
        <v>12.522594211590675</v>
      </c>
      <c r="AY23">
        <f>IF(ISBLANK(BLcorrectedCurrent!AY23),"",BLcorrectedCurrent!AY23/BLcorrectedCurrent!AY$3)</f>
        <v>28.680723484851693</v>
      </c>
      <c r="AZ23">
        <f>IF(ISBLANK(BLcorrectedCurrent!AZ23),"",BLcorrectedCurrent!AZ23/BLcorrectedCurrent!AZ$3)</f>
        <v>29.229896792334177</v>
      </c>
      <c r="BA23">
        <f>IF(ISBLANK(BLcorrectedCurrent!BA23),"",BLcorrectedCurrent!BA23/BLcorrectedCurrent!BA$3)</f>
        <v>15.098251054119583</v>
      </c>
      <c r="BB23" t="str">
        <f>IF(ISBLANK(BLcorrectedCurrent!BB23),"",BLcorrectedCurrent!BB23/BLcorrectedCurrent!BB$3)</f>
        <v/>
      </c>
      <c r="BC23">
        <f>IF(ISBLANK(BLcorrectedCurrent!BC23),"",BLcorrectedCurrent!BC23/BLcorrectedCurrent!BC$3)</f>
        <v>7.6060691817761406</v>
      </c>
      <c r="BD23">
        <f>IF(ISBLANK(BLcorrectedCurrent!BD23),"",BLcorrectedCurrent!BD23/BLcorrectedCurrent!BD$3)</f>
        <v>22.378010675632943</v>
      </c>
      <c r="BE23">
        <f>IF(ISBLANK(BLcorrectedCurrent!BE23),"",BLcorrectedCurrent!BE23/BLcorrectedCurrent!BE$3)</f>
        <v>-1.6722300237709775</v>
      </c>
      <c r="BF23">
        <f>IF(ISBLANK(BLcorrectedCurrent!BF23),"",BLcorrectedCurrent!BF23/BLcorrectedCurrent!BF$3)</f>
        <v>15.274736401725129</v>
      </c>
      <c r="BG23">
        <f>IF(ISBLANK(BLcorrectedCurrent!BG23),"",BLcorrectedCurrent!BG23/BLcorrectedCurrent!BG$3)</f>
        <v>9.5207075107864831</v>
      </c>
      <c r="BH23">
        <f>IF(ISBLANK(BLcorrectedCurrent!BH23),"",BLcorrectedCurrent!BH23/BLcorrectedCurrent!BH$3)</f>
        <v>6.6071960483445507</v>
      </c>
      <c r="BI23" t="str">
        <f>IF(ISBLANK(BLcorrectedCurrent!BI23),"",BLcorrectedCurrent!BI23/BLcorrectedCurrent!BI$3)</f>
        <v/>
      </c>
      <c r="BJ23">
        <f>IF(ISBLANK(BLcorrectedCurrent!BJ23),"",BLcorrectedCurrent!BJ23/BLcorrectedCurrent!BJ$3)</f>
        <v>3.6206000939255989</v>
      </c>
      <c r="BK23">
        <f>IF(ISBLANK(BLcorrectedCurrent!BK23),"",BLcorrectedCurrent!BK23/BLcorrectedCurrent!BK$3)</f>
        <v>12.452626817168939</v>
      </c>
      <c r="BL23">
        <f>IF(ISBLANK(BLcorrectedCurrent!BL23),"",BLcorrectedCurrent!BL23/BLcorrectedCurrent!BL$3)</f>
        <v>15.61455157112097</v>
      </c>
      <c r="BM23">
        <f>IF(ISBLANK(BLcorrectedCurrent!BM23),"",BLcorrectedCurrent!BM23/BLcorrectedCurrent!BM$3)</f>
        <v>-6.1488178033271286</v>
      </c>
      <c r="BN23">
        <f>IF(ISBLANK(BLcorrectedCurrent!BN23),"",BLcorrectedCurrent!BN23/BLcorrectedCurrent!BN$3)</f>
        <v>66.461776004934748</v>
      </c>
      <c r="BO23">
        <f>IF(ISBLANK(BLcorrectedCurrent!BO23),"",BLcorrectedCurrent!BO23/BLcorrectedCurrent!BO$3)</f>
        <v>39.429052116224511</v>
      </c>
      <c r="BP23">
        <f>IF(ISBLANK(BLcorrectedCurrent!BP23),"",BLcorrectedCurrent!BP23/BLcorrectedCurrent!BP$3)</f>
        <v>37.537442859097006</v>
      </c>
      <c r="BQ23">
        <f>IF(ISBLANK(BLcorrectedCurrent!BQ23),"",BLcorrectedCurrent!BQ23/BLcorrectedCurrent!BQ$3)</f>
        <v>59.55171643136557</v>
      </c>
      <c r="BR23">
        <f>IF(ISBLANK(BLcorrectedCurrent!BR23),"",BLcorrectedCurrent!BR23/BLcorrectedCurrent!BR$3)</f>
        <v>37.97699285464472</v>
      </c>
      <c r="BS23">
        <f>IF(ISBLANK(BLcorrectedCurrent!BS23),"",BLcorrectedCurrent!BS23/BLcorrectedCurrent!BS$3)</f>
        <v>37.320987063399464</v>
      </c>
      <c r="BT23">
        <f>IF(ISBLANK(BLcorrectedCurrent!BT23),"",BLcorrectedCurrent!BT23/BLcorrectedCurrent!BT$3)</f>
        <v>12.447485350963852</v>
      </c>
      <c r="BU23">
        <f>IF(ISBLANK(BLcorrectedCurrent!BU23),"",BLcorrectedCurrent!BU23/BLcorrectedCurrent!BU$3)</f>
        <v>7.2496564581043392</v>
      </c>
      <c r="BV23">
        <f>IF(ISBLANK(BLcorrectedCurrent!BV23),"",BLcorrectedCurrent!BV23/BLcorrectedCurrent!BV$3)</f>
        <v>1.7454470888218732</v>
      </c>
      <c r="BW23">
        <f>IF(ISBLANK(BLcorrectedCurrent!BW23),"",BLcorrectedCurrent!BW23/BLcorrectedCurrent!BW$3)</f>
        <v>11.49111144001141</v>
      </c>
      <c r="BX23">
        <f>IF(ISBLANK(BLcorrectedCurrent!BX23),"",BLcorrectedCurrent!BX23/BLcorrectedCurrent!BX$3)</f>
        <v>1.3575197188474786</v>
      </c>
      <c r="BZ23">
        <f>IF(ISBLANK(BLcorrectedCurrent!BZ23),"",BLcorrectedCurrent!BZ23/BLcorrectedCurrent!BZ$3)</f>
        <v>13.828774972208482</v>
      </c>
      <c r="CA23">
        <f>IF(ISBLANK(BLcorrectedCurrent!CA23),"",BLcorrectedCurrent!CA23/BLcorrectedCurrent!CA$3)</f>
        <v>37.02469516346688</v>
      </c>
      <c r="CB23">
        <f>IF(ISBLANK(BLcorrectedCurrent!CB23),"",BLcorrectedCurrent!CB23/BLcorrectedCurrent!CB$3)</f>
        <v>2.9249688182290554</v>
      </c>
      <c r="CC23">
        <f>IF(ISBLANK(BLcorrectedCurrent!CC23),"",BLcorrectedCurrent!CC23/BLcorrectedCurrent!CC$3)</f>
        <v>-8.9468955845555769</v>
      </c>
      <c r="CD23">
        <f>IF(ISBLANK(BLcorrectedCurrent!CD23),"",BLcorrectedCurrent!CD23/BLcorrectedCurrent!CD$3)</f>
        <v>7.6262196594027341</v>
      </c>
    </row>
    <row r="24" spans="1:82" x14ac:dyDescent="0.2">
      <c r="A24" s="3">
        <f t="shared" si="0"/>
        <v>90</v>
      </c>
      <c r="B24">
        <f>IF(ISBLANK(BLcorrectedCurrent!B24),"",BLcorrectedCurrent!B24/BLcorrectedCurrent!B$3)</f>
        <v>158.49863369477876</v>
      </c>
      <c r="C24">
        <f>IF(ISBLANK(BLcorrectedCurrent!C24),"",BLcorrectedCurrent!C24/BLcorrectedCurrent!C$3)</f>
        <v>15.152923329126867</v>
      </c>
      <c r="K24">
        <f>IF(ISBLANK(BLcorrectedCurrent!K24),"",BLcorrectedCurrent!K24/BLcorrectedCurrent!K$3)</f>
        <v>22.985200327439529</v>
      </c>
      <c r="M24">
        <f>IF(ISBLANK(BLcorrectedCurrent!M24),"",BLcorrectedCurrent!M24/BLcorrectedCurrent!M$3)</f>
        <v>55.641294564541766</v>
      </c>
    </row>
    <row r="25" spans="1:82" x14ac:dyDescent="0.2">
      <c r="A25" s="3">
        <f>A24+10</f>
        <v>100</v>
      </c>
      <c r="B25">
        <f>IF(ISBLANK(BLcorrectedCurrent!B25),"",BLcorrectedCurrent!B25/BLcorrectedCurrent!B$3)</f>
        <v>262.73379597581436</v>
      </c>
      <c r="C25">
        <f>IF(ISBLANK(BLcorrectedCurrent!C25),"",BLcorrectedCurrent!C25/BLcorrectedCurrent!C$3)</f>
        <v>28.763947675827183</v>
      </c>
      <c r="K25">
        <f>IF(ISBLANK(BLcorrectedCurrent!K25),"",BLcorrectedCurrent!K25/BLcorrectedCurrent!K$3)</f>
        <v>58.482767373900657</v>
      </c>
      <c r="M25">
        <f>IF(ISBLANK(BLcorrectedCurrent!M25),"",BLcorrectedCurrent!M25/BLcorrectedCurrent!M$3)</f>
        <v>97.631083411517253</v>
      </c>
    </row>
    <row r="26" spans="1:82" x14ac:dyDescent="0.2">
      <c r="A26" s="3">
        <f t="shared" si="0"/>
        <v>110</v>
      </c>
      <c r="B26">
        <f>IF(ISBLANK(BLcorrectedCurrent!B26),"",BLcorrectedCurrent!B26/BLcorrectedCurrent!B$3)</f>
        <v>333.04023984006733</v>
      </c>
      <c r="C26">
        <f>IF(ISBLANK(BLcorrectedCurrent!C26),"",BLcorrectedCurrent!C26/BLcorrectedCurrent!C$3)</f>
        <v>43.149187766805156</v>
      </c>
      <c r="K26">
        <f>IF(ISBLANK(BLcorrectedCurrent!K26),"",BLcorrectedCurrent!K26/BLcorrectedCurrent!K$3)</f>
        <v>88.001137562540862</v>
      </c>
      <c r="M26">
        <f>IF(ISBLANK(BLcorrectedCurrent!M26),"",BLcorrectedCurrent!M26/BLcorrectedCurrent!M$3)</f>
        <v>117.38115193052866</v>
      </c>
    </row>
    <row r="27" spans="1:82" x14ac:dyDescent="0.2">
      <c r="A27" s="3">
        <f t="shared" si="0"/>
        <v>120</v>
      </c>
      <c r="B27">
        <f>IF(ISBLANK(BLcorrectedCurrent!B27),"",BLcorrectedCurrent!B27/BLcorrectedCurrent!B$3)</f>
        <v>380.2206083686674</v>
      </c>
      <c r="K27" t="str">
        <f>IF(ISBLANK(BLcorrectedCurrent!K27),"",BLcorrectedCurrent!K27/BLcorrectedCurrent!K$3)</f>
        <v/>
      </c>
      <c r="M27" t="str">
        <f>IF(ISBLANK(BLcorrectedCurrent!M27),"",BLcorrectedCurrent!M27/BLcorrectedCurrent!M$3)</f>
        <v/>
      </c>
    </row>
    <row r="28" spans="1:82" x14ac:dyDescent="0.2">
      <c r="A28" s="3">
        <f t="shared" si="0"/>
        <v>130</v>
      </c>
      <c r="B28">
        <f>IF(ISBLANK(BLcorrectedCurrent!B28),"",BLcorrectedCurrent!B28/BLcorrectedCurrent!B$3)</f>
        <v>406.35696050452896</v>
      </c>
      <c r="K28" t="str">
        <f>IF(ISBLANK(BLcorrectedCurrent!K28),"",BLcorrectedCurrent!K28/BLcorrectedCurrent!K$3)</f>
        <v/>
      </c>
      <c r="M28" t="str">
        <f>IF(ISBLANK(BLcorrectedCurrent!M28),"",BLcorrectedCurrent!M28/BLcorrectedCurrent!M$3)</f>
        <v/>
      </c>
    </row>
    <row r="32" spans="1:82" x14ac:dyDescent="0.2">
      <c r="C32" s="11"/>
    </row>
    <row r="34" spans="2:13" x14ac:dyDescent="0.2">
      <c r="B34" t="s">
        <v>120</v>
      </c>
      <c r="C34" t="s">
        <v>120</v>
      </c>
      <c r="D34" t="s">
        <v>120</v>
      </c>
      <c r="E34" t="s">
        <v>120</v>
      </c>
      <c r="G34" t="s">
        <v>120</v>
      </c>
      <c r="H34" t="s">
        <v>120</v>
      </c>
      <c r="I34" t="s">
        <v>120</v>
      </c>
      <c r="J34" t="s">
        <v>120</v>
      </c>
      <c r="K34" t="s">
        <v>120</v>
      </c>
      <c r="L34" t="s">
        <v>120</v>
      </c>
      <c r="M34" t="s">
        <v>120</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5D2C-5DFB-2544-AF1A-4C37A8623FDC}">
  <dimension ref="A1:CR13"/>
  <sheetViews>
    <sheetView topLeftCell="BP1" zoomScale="108" workbookViewId="0">
      <selection activeCell="CA13" sqref="CA13"/>
    </sheetView>
  </sheetViews>
  <sheetFormatPr baseColWidth="10" defaultColWidth="8.83203125" defaultRowHeight="15" x14ac:dyDescent="0.2"/>
  <cols>
    <col min="1" max="1" width="21.6640625" style="3" bestFit="1" customWidth="1"/>
  </cols>
  <sheetData>
    <row r="1" spans="1:96" x14ac:dyDescent="0.2">
      <c r="A1" s="2" t="s">
        <v>4</v>
      </c>
      <c r="B1" t="str">
        <f>RawCurrent!B1</f>
        <v>REdC</v>
      </c>
      <c r="C1" t="str">
        <f>RawCurrent!C1</f>
        <v>REdC</v>
      </c>
      <c r="D1" t="str">
        <f>RawCurrent!D1</f>
        <v>REdC</v>
      </c>
      <c r="E1" t="str">
        <f>RawCurrent!E1</f>
        <v>REdC</v>
      </c>
      <c r="F1" t="str">
        <f>RawCurrent!F1</f>
        <v>REdC</v>
      </c>
      <c r="G1" t="str">
        <f>RawCurrent!G1</f>
        <v>REdC</v>
      </c>
      <c r="H1" t="str">
        <f>RawCurrent!H1</f>
        <v>REdC</v>
      </c>
      <c r="I1" t="str">
        <f>RawCurrent!I1</f>
        <v>REdC</v>
      </c>
      <c r="J1" t="str">
        <f>RawCurrent!J1</f>
        <v>REdC</v>
      </c>
      <c r="K1" t="str">
        <f>RawCurrent!K1</f>
        <v>REdC</v>
      </c>
      <c r="L1" t="str">
        <f>RawCurrent!L1</f>
        <v>REdC</v>
      </c>
      <c r="M1" t="str">
        <f>RawCurrent!M1</f>
        <v>REdC</v>
      </c>
      <c r="N1" t="str">
        <f>RawCurrent!N1</f>
        <v>REdC</v>
      </c>
      <c r="O1" t="str">
        <f>RawCurrent!O1</f>
        <v>REdC</v>
      </c>
      <c r="P1" t="str">
        <f>RawCurrent!P1</f>
        <v>REdC</v>
      </c>
      <c r="Q1" t="str">
        <f>RawCurrent!Q1</f>
        <v>REdC</v>
      </c>
      <c r="R1" t="str">
        <f>RawCurrent!R1</f>
        <v>REdC</v>
      </c>
      <c r="S1" t="str">
        <f>RawCurrent!S1</f>
        <v>REdC</v>
      </c>
      <c r="T1" t="str">
        <f>RawCurrent!T1</f>
        <v>REdC</v>
      </c>
      <c r="U1" t="str">
        <f>RawCurrent!U1</f>
        <v>REdC</v>
      </c>
      <c r="V1" t="str">
        <f>RawCurrent!V1</f>
        <v>REdC</v>
      </c>
      <c r="W1" t="str">
        <f>RawCurrent!W1</f>
        <v>REdC</v>
      </c>
      <c r="X1" t="str">
        <f>RawCurrent!X1</f>
        <v>REdC</v>
      </c>
      <c r="Y1" t="str">
        <f>RawCurrent!Y1</f>
        <v>REdC</v>
      </c>
      <c r="Z1" t="str">
        <f>RawCurrent!Z1</f>
        <v>REdC</v>
      </c>
      <c r="AA1" t="str">
        <f>RawCurrent!AA1</f>
        <v>REdC</v>
      </c>
      <c r="AB1" t="str">
        <f>RawCurrent!AB1</f>
        <v>REdC</v>
      </c>
      <c r="AC1" t="str">
        <f>RawCurrent!AC1</f>
        <v>REdC</v>
      </c>
      <c r="AD1" t="str">
        <f>RawCurrent!AD1</f>
        <v>REdC</v>
      </c>
      <c r="AE1" t="str">
        <f>RawCurrent!AE1</f>
        <v>REdC</v>
      </c>
      <c r="AF1" t="str">
        <f>RawCurrent!AF1</f>
        <v>REdC</v>
      </c>
      <c r="AG1" t="str">
        <f>RawCurrent!AG1</f>
        <v>REdC</v>
      </c>
      <c r="AH1" t="str">
        <f>RawCurrent!AH1</f>
        <v>REdC</v>
      </c>
      <c r="AI1" t="str">
        <f>RawCurrent!AI1</f>
        <v>REdC</v>
      </c>
      <c r="AJ1" t="str">
        <f>RawCurrent!AJ1</f>
        <v>REdC</v>
      </c>
      <c r="AK1" t="str">
        <f>RawCurrent!AK1</f>
        <v>REdC</v>
      </c>
      <c r="AL1" t="str">
        <f>RawCurrent!AL1</f>
        <v>REdC</v>
      </c>
      <c r="AM1" t="str">
        <f>RawCurrent!AM1</f>
        <v>REdC</v>
      </c>
      <c r="AN1" t="str">
        <f>RawCurrent!AO1</f>
        <v>REdC</v>
      </c>
      <c r="AO1" t="str">
        <f>RawCurrent!AP1</f>
        <v>REdC</v>
      </c>
      <c r="AP1" t="str">
        <f>RawCurrent!AQ1</f>
        <v>REdC</v>
      </c>
      <c r="AQ1" t="str">
        <f>RawCurrent!AR1</f>
        <v>REdC</v>
      </c>
      <c r="AR1" t="str">
        <f>RawCurrent!AS1</f>
        <v>REdC</v>
      </c>
      <c r="AS1" t="str">
        <f>RawCurrent!AT1</f>
        <v>REdC</v>
      </c>
      <c r="AT1" t="str">
        <f>RawCurrent!AU1</f>
        <v>REdC</v>
      </c>
      <c r="AU1" t="str">
        <f>RawCurrent!AV1</f>
        <v>REdC</v>
      </c>
      <c r="AV1" t="str">
        <f>RawCurrent!AW1</f>
        <v>REdC</v>
      </c>
      <c r="AW1" t="str">
        <f>RawCurrent!AX1</f>
        <v>REdC</v>
      </c>
      <c r="AX1" t="str">
        <f>RawCurrent!AY1</f>
        <v>REdC</v>
      </c>
      <c r="AY1" t="str">
        <f>RawCurrent!AZ1</f>
        <v>REdC</v>
      </c>
      <c r="AZ1" t="str">
        <f>RawCurrent!BA1</f>
        <v>REdC</v>
      </c>
      <c r="BA1" t="str">
        <f>RawCurrent!BB1</f>
        <v>REdC</v>
      </c>
      <c r="BB1" t="str">
        <f>RawCurrent!BC1</f>
        <v>REdC</v>
      </c>
      <c r="BC1" t="str">
        <f>RawCurrent!BD1</f>
        <v>REdC</v>
      </c>
      <c r="BD1" t="str">
        <f>RawCurrent!BE1</f>
        <v>REdC</v>
      </c>
      <c r="BE1" t="str">
        <f>RawCurrent!BF1</f>
        <v>REdC</v>
      </c>
      <c r="BF1" t="str">
        <f>RawCurrent!BG1</f>
        <v>REdC</v>
      </c>
      <c r="BG1" t="str">
        <f>RawCurrent!BH1</f>
        <v>REdC</v>
      </c>
      <c r="BH1" t="str">
        <f>RawCurrent!BI1</f>
        <v>REdC</v>
      </c>
      <c r="BI1" t="str">
        <f>RawCurrent!BJ1</f>
        <v>REdC</v>
      </c>
      <c r="BJ1" t="str">
        <f>RawCurrent!BK1</f>
        <v>REdC</v>
      </c>
      <c r="BK1" t="str">
        <f>RawCurrent!BL1</f>
        <v>REdC</v>
      </c>
      <c r="BL1" t="str">
        <f>RawCurrent!BM1</f>
        <v>REdC</v>
      </c>
      <c r="BM1" t="str">
        <f>RawCurrent!BN1</f>
        <v>REdC</v>
      </c>
      <c r="BN1" t="str">
        <f>RawCurrent!BQ1</f>
        <v>REdC</v>
      </c>
      <c r="BO1" t="str">
        <f>RawCurrent!BR1</f>
        <v>REdC</v>
      </c>
      <c r="BP1" t="str">
        <f>RawCurrent!BS1</f>
        <v>REdC</v>
      </c>
      <c r="BQ1" t="str">
        <f>RawCurrent!BT1</f>
        <v>REdC</v>
      </c>
      <c r="BR1" t="str">
        <f>RawCurrent!BU1</f>
        <v>REdC</v>
      </c>
      <c r="BS1" t="str">
        <f>RawCurrent!BV1</f>
        <v>REdC</v>
      </c>
      <c r="BT1" t="str">
        <f>RawCurrent!BW1</f>
        <v>REdC</v>
      </c>
      <c r="BU1" t="str">
        <f>RawCurrent!BX1</f>
        <v>REdC</v>
      </c>
      <c r="BV1" t="str">
        <f>RawCurrent!BZ1</f>
        <v>REdC</v>
      </c>
      <c r="BW1" t="str">
        <f>RawCurrent!CA1</f>
        <v>REdC</v>
      </c>
      <c r="BX1" t="str">
        <f>RawCurrent!CB1</f>
        <v>REdC</v>
      </c>
      <c r="BY1" t="str">
        <f>RawCurrent!CC1</f>
        <v>REdC</v>
      </c>
      <c r="BZ1" t="str">
        <f>RawCurrent!CD1</f>
        <v>REdC</v>
      </c>
      <c r="CA1" t="s">
        <v>280</v>
      </c>
      <c r="CB1" t="s">
        <v>252</v>
      </c>
      <c r="CC1" t="s">
        <v>218</v>
      </c>
      <c r="CD1" t="s">
        <v>260</v>
      </c>
      <c r="CE1" t="s">
        <v>254</v>
      </c>
      <c r="CF1" t="s">
        <v>258</v>
      </c>
      <c r="CG1" t="s">
        <v>281</v>
      </c>
      <c r="CH1" t="s">
        <v>282</v>
      </c>
      <c r="CI1" t="s">
        <v>283</v>
      </c>
      <c r="CJ1" t="s">
        <v>284</v>
      </c>
      <c r="CK1" t="s">
        <v>285</v>
      </c>
      <c r="CL1" t="s">
        <v>286</v>
      </c>
      <c r="CM1" t="s">
        <v>265</v>
      </c>
      <c r="CN1" t="s">
        <v>266</v>
      </c>
      <c r="CO1" t="s">
        <v>267</v>
      </c>
      <c r="CP1" t="s">
        <v>287</v>
      </c>
      <c r="CQ1" t="s">
        <v>288</v>
      </c>
      <c r="CR1" t="s">
        <v>289</v>
      </c>
    </row>
    <row r="2" spans="1:96" x14ac:dyDescent="0.2">
      <c r="A2" s="2" t="s">
        <v>3</v>
      </c>
      <c r="B2" t="str">
        <f>RawCurrent!B2</f>
        <v>WT1_REdC_IV_18704034</v>
      </c>
      <c r="C2" t="str">
        <f>RawCurrent!C2</f>
        <v>WT2_REdC_IV_1.26.2018 WT cell 5 IV'</v>
      </c>
      <c r="D2" t="str">
        <f>RawCurrent!D2</f>
        <v>WT3_REdC_IV_17728035 Final</v>
      </c>
      <c r="E2" t="str">
        <f>RawCurrent!E2</f>
        <v>WT4_REdC_IV_18705015</v>
      </c>
      <c r="F2" t="str">
        <f>RawCurrent!F2</f>
        <v>WT5_REdC_IV_17728025 Final</v>
      </c>
      <c r="G2" t="str">
        <f>RawCurrent!G2</f>
        <v>WT6_REdC_IV_wt iv final</v>
      </c>
      <c r="H2" t="str">
        <f>RawCurrent!H2</f>
        <v>WT7_REdC_IV_1.26.2018</v>
      </c>
      <c r="I2" t="str">
        <f>RawCurrent!I2</f>
        <v>WT8_REdC_IV</v>
      </c>
      <c r="J2" t="str">
        <f>RawCurrent!J2</f>
        <v>WT9_REdC_IV_17504013 Final</v>
      </c>
      <c r="K2" t="str">
        <f>RawCurrent!K2</f>
        <v>WT10_REdC_IV_1.26.2018 WT cell 2 IV' -120 conditioning</v>
      </c>
      <c r="L2" t="str">
        <f>RawCurrent!L2</f>
        <v>WT11_REdC_IV_17723017</v>
      </c>
      <c r="M2" t="str">
        <f>RawCurrent!M2</f>
        <v>WT12_REdC_IV_17721049 Final filtered</v>
      </c>
      <c r="N2" t="str">
        <f>RawCurrent!N2</f>
        <v>WT13_REdC_IV_17723001</v>
      </c>
      <c r="O2" t="str">
        <f>RawCurrent!O2</f>
        <v>WT14_REdC_IV_19n15007</v>
      </c>
      <c r="P2" t="str">
        <f>RawCurrent!P2</f>
        <v>WT15_REdC_IV_19825000</v>
      </c>
      <c r="Q2" t="str">
        <f>RawCurrent!Q2</f>
        <v>WT16_REdC_IV_18705033</v>
      </c>
      <c r="R2" t="str">
        <f>RawCurrent!R2</f>
        <v>WT17_REdC_IV_17721059</v>
      </c>
      <c r="S2" t="str">
        <f>RawCurrent!S2</f>
        <v>WT19_REdC_IV_19n23000 (-80:-10); WT19_REdC_IV_19n23009 (0:+80)</v>
      </c>
      <c r="T2" t="str">
        <f>RawCurrent!T2</f>
        <v>WT20_REdC_IV_18115016</v>
      </c>
      <c r="U2" t="str">
        <f>RawCurrent!U2</f>
        <v>WT21_REdC_IV_19o30001 (-80:0),WT21_REdC_IV_19o30004(10:+80)</v>
      </c>
      <c r="V2" t="str">
        <f>RawCurrent!V2</f>
        <v>WT23_REdC_1.19.2018 IV cell 2 WT leak</v>
      </c>
      <c r="W2" t="str">
        <f>RawCurrent!W2</f>
        <v>WT24_REdC_IV_18705003(-80:10),WT24_REdC_IV_18705002(20:+80)</v>
      </c>
      <c r="X2" t="str">
        <f>RawCurrent!X2</f>
        <v>WT25_REdC_IV_18704045</v>
      </c>
      <c r="Y2" t="str">
        <f>RawCurrent!Y2</f>
        <v>WT26_REdC_IV_17809014</v>
      </c>
      <c r="Z2" t="str">
        <f>RawCurrent!Z2</f>
        <v>WT27_REdC_IV_1.23.2018 IV cell 1 WT</v>
      </c>
      <c r="AA2" t="str">
        <f>RawCurrent!AA2</f>
        <v>WT28_REdC_IV_1.23.2018 IV cell 1 WT</v>
      </c>
      <c r="AB2" t="str">
        <f>RawCurrent!AB2</f>
        <v>WT29_REdC_IV_18o19010</v>
      </c>
      <c r="AC2" t="str">
        <f>RawCurrent!AC2</f>
        <v>WT30_REdC_IV_1.26.2018 WT cell 1 IV p8 20 sweeps</v>
      </c>
      <c r="AD2" t="str">
        <f>RawCurrent!AD2</f>
        <v>WT31_REdC_IV_18o07001</v>
      </c>
      <c r="AE2" t="str">
        <f>RawCurrent!AE2</f>
        <v>WT33_REdC_IV_17728018</v>
      </c>
      <c r="AF2" t="str">
        <f>RawCurrent!AF2</f>
        <v>WT38_REdC_IV_19o21015</v>
      </c>
      <c r="AG2" t="str">
        <f>RawCurrent!AG2</f>
        <v>WT39_REdC_IV_17429002</v>
      </c>
      <c r="AH2" t="str">
        <f>RawCurrent!AH2</f>
        <v>WT40_REdC_IV_17810003</v>
      </c>
      <c r="AI2" t="str">
        <f>RawCurrent!AI2</f>
        <v>WT43_REdC_IV_1.26.2018 WT cell 4 IV</v>
      </c>
      <c r="AJ2" t="str">
        <f>RawCurrent!AJ2</f>
        <v>WT44_REdC_IV_1.14.2018 IV cell 2 NaV1.4 wt</v>
      </c>
      <c r="AK2" t="str">
        <f>RawCurrent!AK2</f>
        <v>WT47_REdC_IV_19911011</v>
      </c>
      <c r="AL2" t="str">
        <f>RawCurrent!AL2</f>
        <v>WT48_REdC_IV_19n06031</v>
      </c>
      <c r="AM2" t="str">
        <f>RawCurrent!AM2</f>
        <v>WT50_REdC_IV_19n06011</v>
      </c>
      <c r="AN2" t="str">
        <f>RawCurrent!AO2</f>
        <v>WT54_REdC_IV_1.19.2018 IV cell 1 WT</v>
      </c>
      <c r="AO2" t="str">
        <f>RawCurrent!AP2</f>
        <v>WT63_REdC_IV_19n07011</v>
      </c>
      <c r="AP2" t="str">
        <f>RawCurrent!AQ2</f>
        <v>WT66_REdC_IV_18704009</v>
      </c>
      <c r="AQ2" t="str">
        <f>RawCurrent!AR2</f>
        <v>WT69_REdC_IV_18o18036</v>
      </c>
      <c r="AR2" t="str">
        <f>RawCurrent!AS2</f>
        <v>WT71_REdC_IV_17722009</v>
      </c>
      <c r="AS2" t="str">
        <f>RawCurrent!AT2</f>
        <v>WT74_REdC_IV_0003.abf</v>
      </c>
      <c r="AT2" t="str">
        <f>RawCurrent!AU2</f>
        <v>WT75_REdC_IV_0015.abf</v>
      </c>
      <c r="AU2" t="str">
        <f>RawCurrent!AV2</f>
        <v>WT76_REdC_IV_0012.abf</v>
      </c>
      <c r="AV2" t="str">
        <f>RawCurrent!AW2</f>
        <v>EPN1_REdC_IV_17725093.abf</v>
      </c>
      <c r="AW2" t="str">
        <f>RawCurrent!AX2</f>
        <v>EPN2_REdC_IV_17725017.abf</v>
      </c>
      <c r="AX2" t="str">
        <f>RawCurrent!AY2</f>
        <v>EPN3_REdC_IV_18115045.abf</v>
      </c>
      <c r="AY2" t="str">
        <f>RawCurrent!AZ2</f>
        <v>EPN4_REdC_IV_IV cell 2 NaV1.4 EPN.abf</v>
      </c>
      <c r="AZ2" t="str">
        <f>RawCurrent!BA2</f>
        <v>EPN5_REdC_IV_17725043.abf</v>
      </c>
      <c r="BA2" t="str">
        <f>RawCurrent!BB2</f>
        <v>EPN6_REdC_IV_1.14.2018 IV cell 1 NaV1.4 EPN.abf</v>
      </c>
      <c r="BB2" t="str">
        <f>RawCurrent!BC2</f>
        <v>EPN7_REdC_IV_17718015.abf</v>
      </c>
      <c r="BC2" t="str">
        <f>RawCurrent!BD2</f>
        <v>EPN9_REdC_IV_17725067.abf</v>
      </c>
      <c r="BD2" t="str">
        <f>RawCurrent!BE2</f>
        <v>EPN10_REdC_IV_2016_09_30_0029.abf</v>
      </c>
      <c r="BE2" t="str">
        <f>RawCurrent!BF2</f>
        <v>EPN11_REdC_IV_17725020.abf</v>
      </c>
      <c r="BF2" t="str">
        <f>RawCurrent!BG2</f>
        <v>EPN12_REdC_IV_1.19.2018 IV cell 1 EPN'.abf</v>
      </c>
      <c r="BG2" t="str">
        <f>RawCurrent!BH2</f>
        <v>EPN13_REdC_IV_2016_09_30_0015.abf</v>
      </c>
      <c r="BH2" t="str">
        <f>RawCurrent!BI2</f>
        <v>EPN14_REdC_IV_17725071.abf</v>
      </c>
      <c r="BI2" t="str">
        <f>RawCurrent!BJ2</f>
        <v>EPN18_REdC_IV_0012.abf</v>
      </c>
      <c r="BJ2" t="str">
        <f>RawCurrent!BK2</f>
        <v>LVNV1_REdC_IV_17724088.abf</v>
      </c>
      <c r="BK2" t="str">
        <f>RawCurrent!BL2</f>
        <v>LVNV2_REdC_IV_17724059.abf;LVNV2_REdC_IV_17724048.abf;LVNV2_REdC_IV_17724046.abf</v>
      </c>
      <c r="BL2" t="str">
        <f>RawCurrent!BM2</f>
        <v>LVNV3_REdC_IV_17726022.abf</v>
      </c>
      <c r="BM2" t="str">
        <f>RawCurrent!BN2</f>
        <v>LVNV4_REdC_IV_17429000.abf</v>
      </c>
      <c r="BN2" t="str">
        <f>RawCurrent!BQ2</f>
        <v>LVNV5_REdC_IV_17724073.abf</v>
      </c>
      <c r="BO2" t="str">
        <f>RawCurrent!BR2</f>
        <v>LVNV6_REdC_IV_19915011.abf</v>
      </c>
      <c r="BP2" t="str">
        <f>RawCurrent!BS2</f>
        <v>LVNV7_REdC_IV_19d06007.abf</v>
      </c>
      <c r="BQ2" t="str">
        <f>RawCurrent!BT2</f>
        <v>LVNV8_REdC_IV_17724003.abf;LVNV8_REdC_IV_17724001.abf</v>
      </c>
      <c r="BR2" t="str">
        <f>RawCurrent!BU2</f>
        <v>LVNV9_REdC_IV_17724034.abf</v>
      </c>
      <c r="BS2" t="str">
        <f>RawCurrent!BV2</f>
        <v>LVNV10_REdC_IV_17726060.abf;LVNV10_REdC_IV_17726061.abf</v>
      </c>
      <c r="BT2" t="str">
        <f>RawCurrent!BW2</f>
        <v>LVNV12_REdC_IV_19912002.abf</v>
      </c>
      <c r="BU2" t="str">
        <f>RawCurrent!BX2</f>
        <v>LVNV14_REdC_IV_17726099.abf;LVNV14_REdC_IV_17726072.abf;LVNV14_REdC_IV_17726074.abf;LVNV14_REdC_IV_17726083.abf;LVNV14_REdC_IV_17726088.abf;LVNV14_REdC_IV_17726095.abf;LVNV14_REdC_IV_17726098.abf;LVNV14_REdC_IV_17726100.abf</v>
      </c>
      <c r="BV2" t="str">
        <f>RawCurrent!BZ2</f>
        <v>LVNV16_REdC_IV_17726035.abf</v>
      </c>
      <c r="BW2" t="str">
        <f>RawCurrent!CA2</f>
        <v>LVNV18_REdC_IV_19911028.abf;LVNV18_REdC_IV_19911026.abf;LVNV18_REdC_IV_19911027.abf;LVNV18_REdC_IV_19911029.abf</v>
      </c>
      <c r="BX2" t="str">
        <f>RawCurrent!CB2</f>
        <v>LVNV19_REdC_IV_17714002.abf;LVNV19_REdC_IV_17714003.abf</v>
      </c>
      <c r="BY2" t="str">
        <f>RawCurrent!CC2</f>
        <v>LVNV20_REdC_IV_17726011.abf</v>
      </c>
      <c r="BZ2" t="str">
        <f>RawCurrent!CD2</f>
        <v>LVNV21_REdC_IV_17615002.abf;LVNV4_REdC_IV_17615007.abf</v>
      </c>
    </row>
    <row r="3" spans="1:96" x14ac:dyDescent="0.2">
      <c r="A3" s="2" t="s">
        <v>2</v>
      </c>
      <c r="B3">
        <f>RawCurrent!B3</f>
        <v>6.391800536699999</v>
      </c>
      <c r="C3">
        <f>RawCurrent!C3</f>
        <v>3.1770135480600001</v>
      </c>
      <c r="D3">
        <f>RawCurrent!D3</f>
        <v>12.816808360899998</v>
      </c>
      <c r="E3">
        <f>RawCurrent!E3</f>
        <v>6.4393644018000007</v>
      </c>
      <c r="F3">
        <f>RawCurrent!F3</f>
        <v>4.1415547519999993</v>
      </c>
      <c r="G3">
        <f>RawCurrent!G3</f>
        <v>6.7330414951999993</v>
      </c>
      <c r="H3">
        <f>RawCurrent!H3</f>
        <v>6.1017497671000003</v>
      </c>
      <c r="I3">
        <f>RawCurrent!I3</f>
        <v>5.2679979476000014</v>
      </c>
      <c r="J3">
        <f>RawCurrent!J3</f>
        <v>1.9426925711999996</v>
      </c>
      <c r="K3">
        <f>RawCurrent!K3</f>
        <v>7.2663764387999992</v>
      </c>
      <c r="L3">
        <f>RawCurrent!L3</f>
        <v>9.8133792090527017</v>
      </c>
      <c r="M3">
        <f>RawCurrent!M3</f>
        <v>5.9634416576470928</v>
      </c>
      <c r="N3">
        <f>RawCurrent!N3</f>
        <v>8.621972916599999</v>
      </c>
      <c r="O3">
        <f>RawCurrent!O3</f>
        <v>6.9784064186600006</v>
      </c>
      <c r="P3">
        <f>RawCurrent!P3</f>
        <v>5.9439750680000003</v>
      </c>
      <c r="Q3">
        <f>RawCurrent!Q3</f>
        <v>9.3769842030999975</v>
      </c>
      <c r="R3">
        <f>RawCurrent!R3</f>
        <v>5.7659015617000007</v>
      </c>
      <c r="S3">
        <f>RawCurrent!S3</f>
        <v>4.9435101709999989</v>
      </c>
      <c r="T3">
        <f>RawCurrent!T3</f>
        <v>6.3687977963999991</v>
      </c>
      <c r="U3">
        <f>RawCurrent!U3</f>
        <v>4.2012945678399998</v>
      </c>
      <c r="V3">
        <f>RawCurrent!V3</f>
        <v>1.94224344706537</v>
      </c>
      <c r="W3">
        <f>RawCurrent!W3</f>
        <v>5.6914977681000014</v>
      </c>
      <c r="X3">
        <f>RawCurrent!X3</f>
        <v>3.5272978020000001</v>
      </c>
      <c r="Y3">
        <f>RawCurrent!Y3</f>
        <v>3.3474243279999998</v>
      </c>
      <c r="Z3">
        <f>RawCurrent!Z3</f>
        <v>1.9251146577599998</v>
      </c>
      <c r="AA3">
        <f>RawCurrent!AA3</f>
        <v>1.9583813354699993</v>
      </c>
      <c r="AB3">
        <f>RawCurrent!AB3</f>
        <v>12.688791656000001</v>
      </c>
      <c r="AC3">
        <f>RawCurrent!AC3</f>
        <v>4.3809950771999997</v>
      </c>
      <c r="AD3">
        <f>RawCurrent!AD3</f>
        <v>6.8273253735999999</v>
      </c>
      <c r="AE3">
        <f>RawCurrent!AE3</f>
        <v>2.3971099300000001</v>
      </c>
      <c r="AF3">
        <f>RawCurrent!AF3</f>
        <v>3.900568452299999</v>
      </c>
      <c r="AG3">
        <f>RawCurrent!AG3</f>
        <v>4.0726768946000007</v>
      </c>
      <c r="AH3">
        <f>RawCurrent!AH3</f>
        <v>7.5345529800000008</v>
      </c>
      <c r="AI3">
        <f>RawCurrent!AI3</f>
        <v>4.4405213595999999</v>
      </c>
      <c r="AJ3">
        <f>RawCurrent!AJ3</f>
        <v>2.5034119380000006</v>
      </c>
      <c r="AK3">
        <f>RawCurrent!AK3</f>
        <v>5.8217415102857135</v>
      </c>
      <c r="AL3">
        <f>RawCurrent!AL3</f>
        <v>5.4120773374000004</v>
      </c>
      <c r="AM3">
        <f>RawCurrent!AM3</f>
        <v>3.1308680299499994</v>
      </c>
      <c r="AN3">
        <f>RawCurrent!AO3</f>
        <v>4.6828832297511145</v>
      </c>
      <c r="AO3">
        <f>RawCurrent!AP3</f>
        <v>4.5696121390500002</v>
      </c>
      <c r="AP3">
        <f>RawCurrent!AQ3</f>
        <v>5.4771448991999998</v>
      </c>
      <c r="AQ3">
        <f>RawCurrent!AR3</f>
        <v>4.5332182904499998</v>
      </c>
      <c r="AR3">
        <f>RawCurrent!AS3</f>
        <v>6.2772916932000005</v>
      </c>
      <c r="AS3">
        <f>RawCurrent!AT3</f>
        <v>7.2507659897804499</v>
      </c>
      <c r="AT3">
        <f>RawCurrent!AU3</f>
        <v>5.2424940364182175</v>
      </c>
      <c r="AU3">
        <f>RawCurrent!AV3</f>
        <v>7.8035580797046311</v>
      </c>
      <c r="AV3">
        <f>RawCurrent!AW3</f>
        <v>4.3081732437999998</v>
      </c>
      <c r="AW3">
        <f>RawCurrent!AX3</f>
        <v>5.9116515077315306</v>
      </c>
      <c r="AX3">
        <f>RawCurrent!AY3</f>
        <v>6.3690267548859678</v>
      </c>
      <c r="AY3">
        <f>RawCurrent!AZ3</f>
        <v>1.9958043233230687</v>
      </c>
      <c r="AZ3">
        <f>RawCurrent!BA3</f>
        <v>5.0152046884003711</v>
      </c>
      <c r="BA3">
        <f>RawCurrent!BB3</f>
        <v>2.8197356420516986</v>
      </c>
      <c r="BB3">
        <f>RawCurrent!BC3</f>
        <v>6.8148693932681876</v>
      </c>
      <c r="BC3">
        <f>RawCurrent!BD3</f>
        <v>5.2707788291051818</v>
      </c>
      <c r="BD3">
        <f>RawCurrent!BE3</f>
        <v>3.9566496721089051</v>
      </c>
      <c r="BE3">
        <f>RawCurrent!BF3</f>
        <v>5.5692706669773777</v>
      </c>
      <c r="BF3">
        <f>RawCurrent!BG3</f>
        <v>4.7930427101559818</v>
      </c>
      <c r="BG3">
        <f>RawCurrent!BH3</f>
        <v>4.9504883473366341</v>
      </c>
      <c r="BH3">
        <f>RawCurrent!BI3</f>
        <v>10.871165677992973</v>
      </c>
      <c r="BI3">
        <f>RawCurrent!BJ3</f>
        <v>7.4679808898985423</v>
      </c>
      <c r="BJ3">
        <f>RawCurrent!BK3</f>
        <v>19.946134186819162</v>
      </c>
      <c r="BK3">
        <f>RawCurrent!BL3</f>
        <v>6.4223087544769069</v>
      </c>
      <c r="BL3">
        <f>RawCurrent!BM3</f>
        <v>3.6916910040154773</v>
      </c>
      <c r="BM3">
        <f>RawCurrent!BN3</f>
        <v>3.9347221929654719</v>
      </c>
      <c r="BN3">
        <f>RawCurrent!BQ3</f>
        <v>3.6236144062996232</v>
      </c>
      <c r="BO3">
        <f>RawCurrent!BR3</f>
        <v>4.5734651714511285</v>
      </c>
      <c r="BP3">
        <f>RawCurrent!BS3</f>
        <v>6.030428868010616</v>
      </c>
      <c r="BQ3">
        <f>RawCurrent!BT3</f>
        <v>6.5530017198397887</v>
      </c>
      <c r="BR3">
        <f>RawCurrent!BU3</f>
        <v>3.777933176509281</v>
      </c>
      <c r="BS3">
        <f>RawCurrent!BV3</f>
        <v>21.360497201093356</v>
      </c>
      <c r="BT3">
        <f>RawCurrent!BW3</f>
        <v>5.1578729531264251</v>
      </c>
      <c r="BU3">
        <f>RawCurrent!BX3</f>
        <v>7.618925827711827</v>
      </c>
      <c r="BV3">
        <f>RawCurrent!BZ3</f>
        <v>4.5653243432231205</v>
      </c>
      <c r="BW3">
        <f>RawCurrent!CA3</f>
        <v>2.6636050095151971</v>
      </c>
      <c r="BX3">
        <f>RawCurrent!CB3</f>
        <v>4.3495176746170765</v>
      </c>
      <c r="BY3">
        <f>RawCurrent!CC3</f>
        <v>4.424043523818284</v>
      </c>
      <c r="BZ3">
        <f>RawCurrent!CD3</f>
        <v>1.5789424310550071</v>
      </c>
    </row>
    <row r="4" spans="1:96" x14ac:dyDescent="0.2">
      <c r="A4" s="3" t="s">
        <v>1</v>
      </c>
      <c r="B4" t="str">
        <f>RawCurrent!B4</f>
        <v>WT</v>
      </c>
      <c r="C4" t="str">
        <f>RawCurrent!C4</f>
        <v>WT</v>
      </c>
      <c r="D4" t="str">
        <f>RawCurrent!D4</f>
        <v>WT</v>
      </c>
      <c r="E4" t="str">
        <f>RawCurrent!E4</f>
        <v>WT</v>
      </c>
      <c r="F4" t="str">
        <f>RawCurrent!F4</f>
        <v>WT</v>
      </c>
      <c r="G4" t="str">
        <f>RawCurrent!G4</f>
        <v>WT</v>
      </c>
      <c r="H4" t="str">
        <f>RawCurrent!H4</f>
        <v>WT</v>
      </c>
      <c r="I4" t="str">
        <f>RawCurrent!I4</f>
        <v>WT</v>
      </c>
      <c r="J4" t="str">
        <f>RawCurrent!J4</f>
        <v>WT</v>
      </c>
      <c r="K4" t="str">
        <f>RawCurrent!K4</f>
        <v>WT</v>
      </c>
      <c r="L4" t="str">
        <f>RawCurrent!L4</f>
        <v>WT</v>
      </c>
      <c r="M4" t="str">
        <f>RawCurrent!M4</f>
        <v>WT</v>
      </c>
      <c r="N4" t="str">
        <f>RawCurrent!N4</f>
        <v>WT</v>
      </c>
      <c r="O4" t="str">
        <f>RawCurrent!O4</f>
        <v>WT</v>
      </c>
      <c r="P4" t="str">
        <f>RawCurrent!P4</f>
        <v>WT</v>
      </c>
      <c r="Q4" t="str">
        <f>RawCurrent!Q4</f>
        <v>WT</v>
      </c>
      <c r="R4" t="str">
        <f>RawCurrent!R4</f>
        <v>WT</v>
      </c>
      <c r="S4" t="str">
        <f>RawCurrent!S4</f>
        <v>WT</v>
      </c>
      <c r="T4" t="str">
        <f>RawCurrent!T4</f>
        <v>WT</v>
      </c>
      <c r="U4" t="str">
        <f>RawCurrent!U4</f>
        <v>WT</v>
      </c>
      <c r="V4" t="str">
        <f>RawCurrent!V4</f>
        <v>WT</v>
      </c>
      <c r="W4" t="str">
        <f>RawCurrent!W4</f>
        <v>WT</v>
      </c>
      <c r="X4" t="str">
        <f>RawCurrent!X4</f>
        <v>WT</v>
      </c>
      <c r="Y4" t="str">
        <f>RawCurrent!Y4</f>
        <v>WT</v>
      </c>
      <c r="Z4" t="str">
        <f>RawCurrent!Z4</f>
        <v>WT</v>
      </c>
      <c r="AA4" t="str">
        <f>RawCurrent!AA4</f>
        <v>WT</v>
      </c>
      <c r="AB4" t="str">
        <f>RawCurrent!AB4</f>
        <v>WT</v>
      </c>
      <c r="AC4" t="str">
        <f>RawCurrent!AC4</f>
        <v>WT</v>
      </c>
      <c r="AD4" t="str">
        <f>RawCurrent!AD4</f>
        <v>WT</v>
      </c>
      <c r="AE4" t="str">
        <f>RawCurrent!AE4</f>
        <v>WT</v>
      </c>
      <c r="AF4" t="str">
        <f>RawCurrent!AF4</f>
        <v>WT</v>
      </c>
      <c r="AG4" t="str">
        <f>RawCurrent!AG4</f>
        <v>WT</v>
      </c>
      <c r="AH4" t="str">
        <f>RawCurrent!AH4</f>
        <v>WT</v>
      </c>
      <c r="AI4" t="str">
        <f>RawCurrent!AI4</f>
        <v>WT</v>
      </c>
      <c r="AJ4" t="str">
        <f>RawCurrent!AJ4</f>
        <v>WT</v>
      </c>
      <c r="AK4" t="str">
        <f>RawCurrent!AK4</f>
        <v>WT</v>
      </c>
      <c r="AL4" t="str">
        <f>RawCurrent!AL4</f>
        <v>WT</v>
      </c>
      <c r="AM4" t="str">
        <f>RawCurrent!AM4</f>
        <v>WT</v>
      </c>
      <c r="AN4" t="str">
        <f>RawCurrent!AO4</f>
        <v>WT</v>
      </c>
      <c r="AO4" t="str">
        <f>RawCurrent!AP4</f>
        <v>WT</v>
      </c>
      <c r="AP4" t="str">
        <f>RawCurrent!AQ4</f>
        <v>WT</v>
      </c>
      <c r="AQ4" t="str">
        <f>RawCurrent!AR4</f>
        <v>WT</v>
      </c>
      <c r="AR4" t="str">
        <f>RawCurrent!AS4</f>
        <v>WT</v>
      </c>
      <c r="AS4" t="str">
        <f>RawCurrent!AT4</f>
        <v>WT</v>
      </c>
      <c r="AT4" t="str">
        <f>RawCurrent!AU4</f>
        <v>WT</v>
      </c>
      <c r="AU4" t="str">
        <f>RawCurrent!AV4</f>
        <v>WT</v>
      </c>
      <c r="AV4" t="str">
        <f>RawCurrent!AW4</f>
        <v>EPN</v>
      </c>
      <c r="AW4" t="str">
        <f>RawCurrent!AX4</f>
        <v>EPN</v>
      </c>
      <c r="AX4" t="str">
        <f>RawCurrent!AY4</f>
        <v>EPN</v>
      </c>
      <c r="AY4" t="str">
        <f>RawCurrent!AZ4</f>
        <v>EPN</v>
      </c>
      <c r="AZ4" t="str">
        <f>RawCurrent!BA4</f>
        <v>EPN</v>
      </c>
      <c r="BA4" t="str">
        <f>RawCurrent!BB4</f>
        <v>EPN</v>
      </c>
      <c r="BB4" t="str">
        <f>RawCurrent!BC4</f>
        <v>EPN</v>
      </c>
      <c r="BC4" t="str">
        <f>RawCurrent!BD4</f>
        <v>EPN</v>
      </c>
      <c r="BD4" t="str">
        <f>RawCurrent!BE4</f>
        <v>EPN</v>
      </c>
      <c r="BE4" t="str">
        <f>RawCurrent!BF4</f>
        <v>EPN</v>
      </c>
      <c r="BF4" t="str">
        <f>RawCurrent!BG4</f>
        <v>EPN</v>
      </c>
      <c r="BG4" t="str">
        <f>RawCurrent!BH4</f>
        <v>EPN</v>
      </c>
      <c r="BH4" t="str">
        <f>RawCurrent!BI4</f>
        <v>EPN</v>
      </c>
      <c r="BI4" t="str">
        <f>RawCurrent!BJ4</f>
        <v>EPN</v>
      </c>
      <c r="BJ4" t="str">
        <f>RawCurrent!BK4</f>
        <v>LVNV</v>
      </c>
      <c r="BK4" t="str">
        <f>RawCurrent!BL4</f>
        <v>LVNV</v>
      </c>
      <c r="BL4" t="str">
        <f>RawCurrent!BM4</f>
        <v>LVNV</v>
      </c>
      <c r="BM4" t="str">
        <f>RawCurrent!BN4</f>
        <v>LVNV</v>
      </c>
      <c r="BN4" t="str">
        <f>RawCurrent!BQ4</f>
        <v>LVNV</v>
      </c>
      <c r="BO4" t="str">
        <f>RawCurrent!BR4</f>
        <v>LVNV</v>
      </c>
      <c r="BP4" t="str">
        <f>RawCurrent!BS4</f>
        <v>LVNV</v>
      </c>
      <c r="BQ4" t="str">
        <f>RawCurrent!BT4</f>
        <v>LVNV</v>
      </c>
      <c r="BR4" t="str">
        <f>RawCurrent!BU4</f>
        <v>LVNV</v>
      </c>
      <c r="BS4" t="str">
        <f>RawCurrent!BV4</f>
        <v>LVNV</v>
      </c>
      <c r="BT4" t="str">
        <f>RawCurrent!BW4</f>
        <v>LVNV</v>
      </c>
      <c r="BU4" t="str">
        <f>RawCurrent!BX4</f>
        <v>LVNV</v>
      </c>
      <c r="BV4" t="str">
        <f>RawCurrent!BZ4</f>
        <v>LVNV</v>
      </c>
      <c r="BW4" t="str">
        <f>RawCurrent!CA4</f>
        <v>LVNV</v>
      </c>
      <c r="BX4" t="str">
        <f>RawCurrent!CB4</f>
        <v>LVNV</v>
      </c>
      <c r="BY4" t="str">
        <f>RawCurrent!CC4</f>
        <v>LVNV</v>
      </c>
      <c r="BZ4" t="str">
        <f>RawCurrent!CD4</f>
        <v>LVNV</v>
      </c>
    </row>
    <row r="5" spans="1:96" x14ac:dyDescent="0.2">
      <c r="A5" s="3" t="s">
        <v>0</v>
      </c>
      <c r="B5" t="str">
        <f>RawCurrent!B5</f>
        <v>WT1</v>
      </c>
      <c r="C5" t="str">
        <f>RawCurrent!C5</f>
        <v>WT2</v>
      </c>
      <c r="D5" t="str">
        <f>RawCurrent!D5</f>
        <v>WT3</v>
      </c>
      <c r="E5" t="str">
        <f>RawCurrent!E5</f>
        <v>WT4</v>
      </c>
      <c r="F5" t="str">
        <f>RawCurrent!F5</f>
        <v>WT5</v>
      </c>
      <c r="G5" t="str">
        <f>RawCurrent!G5</f>
        <v>WT6</v>
      </c>
      <c r="H5" t="str">
        <f>RawCurrent!H5</f>
        <v>WT7</v>
      </c>
      <c r="I5" t="str">
        <f>RawCurrent!I5</f>
        <v>WT8</v>
      </c>
      <c r="J5" t="str">
        <f>RawCurrent!J5</f>
        <v>WT9</v>
      </c>
      <c r="K5" t="str">
        <f>RawCurrent!K5</f>
        <v>WT10</v>
      </c>
      <c r="L5" t="str">
        <f>RawCurrent!L5</f>
        <v>WT11</v>
      </c>
      <c r="M5" t="str">
        <f>RawCurrent!M5</f>
        <v>WT12</v>
      </c>
      <c r="N5" t="str">
        <f>RawCurrent!N5</f>
        <v>WT13</v>
      </c>
      <c r="O5" t="str">
        <f>RawCurrent!O5</f>
        <v>WT14</v>
      </c>
      <c r="P5" t="str">
        <f>RawCurrent!P5</f>
        <v>WT15</v>
      </c>
      <c r="Q5" t="str">
        <f>RawCurrent!Q5</f>
        <v>WT16</v>
      </c>
      <c r="R5" t="str">
        <f>RawCurrent!R5</f>
        <v>WT17</v>
      </c>
      <c r="S5" t="str">
        <f>RawCurrent!S5</f>
        <v>WT19</v>
      </c>
      <c r="T5" t="str">
        <f>RawCurrent!T5</f>
        <v>WT20</v>
      </c>
      <c r="U5" t="str">
        <f>RawCurrent!U5</f>
        <v>WT21</v>
      </c>
      <c r="V5" t="str">
        <f>RawCurrent!V5</f>
        <v>WT23</v>
      </c>
      <c r="W5" t="str">
        <f>RawCurrent!W5</f>
        <v>WT24</v>
      </c>
      <c r="X5" t="str">
        <f>RawCurrent!X5</f>
        <v>WT25</v>
      </c>
      <c r="Y5" t="str">
        <f>RawCurrent!Y5</f>
        <v>WT26</v>
      </c>
      <c r="Z5" t="str">
        <f>RawCurrent!Z5</f>
        <v>WT27</v>
      </c>
      <c r="AA5" t="str">
        <f>RawCurrent!AA5</f>
        <v>WT28</v>
      </c>
      <c r="AB5" t="str">
        <f>RawCurrent!AB5</f>
        <v>WT29</v>
      </c>
      <c r="AC5" t="str">
        <f>RawCurrent!AC5</f>
        <v>WT30</v>
      </c>
      <c r="AD5" t="str">
        <f>RawCurrent!AD5</f>
        <v>WT31</v>
      </c>
      <c r="AE5" t="str">
        <f>RawCurrent!AE5</f>
        <v>WT33</v>
      </c>
      <c r="AF5" t="str">
        <f>RawCurrent!AF5</f>
        <v>WT38</v>
      </c>
      <c r="AG5" t="str">
        <f>RawCurrent!AG5</f>
        <v>WT39</v>
      </c>
      <c r="AH5" t="str">
        <f>RawCurrent!AH5</f>
        <v>WT40</v>
      </c>
      <c r="AI5" t="str">
        <f>RawCurrent!AI5</f>
        <v>WT43</v>
      </c>
      <c r="AJ5" t="str">
        <f>RawCurrent!AJ5</f>
        <v>WT44</v>
      </c>
      <c r="AK5" t="str">
        <f>RawCurrent!AK5</f>
        <v>WT47</v>
      </c>
      <c r="AL5" t="str">
        <f>RawCurrent!AL5</f>
        <v>WT48</v>
      </c>
      <c r="AM5" t="str">
        <f>RawCurrent!AM5</f>
        <v>WT50</v>
      </c>
      <c r="AN5" t="str">
        <f>RawCurrent!AO5</f>
        <v>WT54</v>
      </c>
      <c r="AO5" t="str">
        <f>RawCurrent!AP5</f>
        <v>WT63</v>
      </c>
      <c r="AP5" t="str">
        <f>RawCurrent!AQ5</f>
        <v>WT66</v>
      </c>
      <c r="AQ5" t="str">
        <f>RawCurrent!AR5</f>
        <v>WT69</v>
      </c>
      <c r="AR5" t="str">
        <f>RawCurrent!AS5</f>
        <v>WT71</v>
      </c>
      <c r="AS5" t="str">
        <f>RawCurrent!AT5</f>
        <v>WT74</v>
      </c>
      <c r="AT5" t="str">
        <f>RawCurrent!AU5</f>
        <v>WT75</v>
      </c>
      <c r="AU5" t="str">
        <f>RawCurrent!AV5</f>
        <v>WT76</v>
      </c>
      <c r="AV5" t="str">
        <f>RawCurrent!AW5</f>
        <v>EPN1</v>
      </c>
      <c r="AW5" t="str">
        <f>RawCurrent!AX5</f>
        <v>EPN2</v>
      </c>
      <c r="AX5" t="str">
        <f>RawCurrent!AY5</f>
        <v>EPN3</v>
      </c>
      <c r="AY5" t="str">
        <f>RawCurrent!AZ5</f>
        <v>EPN4</v>
      </c>
      <c r="AZ5" t="str">
        <f>RawCurrent!BA5</f>
        <v>EPN5</v>
      </c>
      <c r="BA5" t="str">
        <f>RawCurrent!BB5</f>
        <v>EPN6</v>
      </c>
      <c r="BB5" t="str">
        <f>RawCurrent!BC5</f>
        <v>EPN7</v>
      </c>
      <c r="BC5" t="str">
        <f>RawCurrent!BD5</f>
        <v>EPN9</v>
      </c>
      <c r="BD5" t="str">
        <f>RawCurrent!BE5</f>
        <v>EPN10</v>
      </c>
      <c r="BE5" t="str">
        <f>RawCurrent!BF5</f>
        <v>EPN11</v>
      </c>
      <c r="BF5" t="str">
        <f>RawCurrent!BG5</f>
        <v>EPN12</v>
      </c>
      <c r="BG5" t="str">
        <f>RawCurrent!BH5</f>
        <v>EPN13</v>
      </c>
      <c r="BH5" t="str">
        <f>RawCurrent!BI5</f>
        <v>EPN14</v>
      </c>
      <c r="BI5" t="str">
        <f>RawCurrent!BJ5</f>
        <v>EPN18</v>
      </c>
      <c r="BJ5" t="str">
        <f>RawCurrent!BK5</f>
        <v>LVNV1</v>
      </c>
      <c r="BK5" t="str">
        <f>RawCurrent!BL5</f>
        <v>LVNV2</v>
      </c>
      <c r="BL5" t="str">
        <f>RawCurrent!BM5</f>
        <v>LVNV3</v>
      </c>
      <c r="BM5" t="str">
        <f>RawCurrent!BN5</f>
        <v>LVNV4</v>
      </c>
      <c r="BN5" t="str">
        <f>RawCurrent!BQ5</f>
        <v>LVNV5</v>
      </c>
      <c r="BO5" t="str">
        <f>RawCurrent!BR5</f>
        <v>LVNV6</v>
      </c>
      <c r="BP5" t="str">
        <f>RawCurrent!BS5</f>
        <v>LVNV7</v>
      </c>
      <c r="BQ5" t="str">
        <f>RawCurrent!BT5</f>
        <v>LVNV8</v>
      </c>
      <c r="BR5" t="str">
        <f>RawCurrent!BU5</f>
        <v>LVNV9</v>
      </c>
      <c r="BS5" t="str">
        <f>RawCurrent!BV5</f>
        <v>LVNV10</v>
      </c>
      <c r="BT5" t="str">
        <f>RawCurrent!BW5</f>
        <v>LVNV12</v>
      </c>
      <c r="BU5" t="str">
        <f>RawCurrent!BX5</f>
        <v>LVNV14</v>
      </c>
      <c r="BV5" t="str">
        <f>RawCurrent!BZ5</f>
        <v>LVNV16</v>
      </c>
      <c r="BW5" t="str">
        <f>RawCurrent!CA5</f>
        <v>LVNV18</v>
      </c>
      <c r="BX5" t="str">
        <f>RawCurrent!CB5</f>
        <v>LVNV19</v>
      </c>
      <c r="BY5" t="str">
        <f>RawCurrent!CC5</f>
        <v>LVNV20</v>
      </c>
      <c r="BZ5" t="str">
        <f>RawCurrent!CD5</f>
        <v>LVNV21</v>
      </c>
    </row>
    <row r="6" spans="1:96" x14ac:dyDescent="0.2">
      <c r="A6" t="s">
        <v>271</v>
      </c>
      <c r="B6">
        <v>-12.1503781849103</v>
      </c>
      <c r="C6">
        <v>-22.920367165043199</v>
      </c>
      <c r="D6">
        <v>-13.692466288166401</v>
      </c>
      <c r="E6">
        <v>-13.7739912749749</v>
      </c>
      <c r="F6">
        <v>-6.8306731005564796</v>
      </c>
      <c r="G6">
        <v>-24.80142</v>
      </c>
      <c r="H6">
        <v>-6.1100420394694801</v>
      </c>
      <c r="I6">
        <v>-24.5813451707068</v>
      </c>
      <c r="J6">
        <v>-11.7308230079746</v>
      </c>
      <c r="K6">
        <v>-12.157215833798</v>
      </c>
      <c r="L6">
        <v>-9.5842567598400894</v>
      </c>
      <c r="M6">
        <v>-17.204332565182298</v>
      </c>
      <c r="N6">
        <v>-22.7638409507381</v>
      </c>
      <c r="O6">
        <v>-13.7514869640138</v>
      </c>
      <c r="P6">
        <v>2.7542770290099901</v>
      </c>
      <c r="Q6">
        <v>-7.0849668848326104</v>
      </c>
      <c r="R6">
        <v>-5.0308551650444899</v>
      </c>
      <c r="S6">
        <v>-21.591595803230799</v>
      </c>
      <c r="T6">
        <v>-20.390579505771701</v>
      </c>
      <c r="U6">
        <v>-14.017968354452901</v>
      </c>
      <c r="V6">
        <v>-4.8414936590587399</v>
      </c>
      <c r="W6">
        <v>-8.1029957183992494</v>
      </c>
      <c r="X6">
        <v>-10.5865220460987</v>
      </c>
      <c r="Y6">
        <v>-5.6778402218675099</v>
      </c>
      <c r="Z6">
        <v>-5.4327842905896899</v>
      </c>
      <c r="AA6">
        <v>-5.6821169932989104</v>
      </c>
      <c r="AB6">
        <v>-12.1751729024956</v>
      </c>
      <c r="AC6">
        <v>-19.349361411639801</v>
      </c>
      <c r="AD6">
        <v>8.4264781199716907</v>
      </c>
      <c r="AE6">
        <v>11.0581977520342</v>
      </c>
      <c r="AF6">
        <v>-8.2412581078319302</v>
      </c>
      <c r="AG6">
        <v>-10.254582057525999</v>
      </c>
      <c r="AH6">
        <v>-5.84051647419163</v>
      </c>
      <c r="AI6">
        <v>-9.5047566229044804</v>
      </c>
      <c r="AJ6">
        <v>-6.82274660854854</v>
      </c>
      <c r="AK6">
        <v>-14.12142257516</v>
      </c>
      <c r="AL6">
        <v>-1.7395159827834601</v>
      </c>
      <c r="AM6">
        <v>-7.19192604795892</v>
      </c>
      <c r="AN6">
        <v>-9.5058807031436992</v>
      </c>
      <c r="AO6">
        <v>-5.1821070771960303</v>
      </c>
      <c r="AP6">
        <v>-7.5705003247443603</v>
      </c>
      <c r="AQ6">
        <v>-6.8075009442211103</v>
      </c>
      <c r="AR6">
        <v>-9.2315158013624004</v>
      </c>
      <c r="AS6">
        <v>-3.0970021411207802</v>
      </c>
      <c r="AT6">
        <v>-6.9083631479361101</v>
      </c>
      <c r="AU6">
        <v>-2.8944566060766102</v>
      </c>
      <c r="AV6">
        <v>-2.4157457461644101</v>
      </c>
      <c r="AW6">
        <v>-14.878333810825501</v>
      </c>
      <c r="AX6">
        <v>-16.187518609908899</v>
      </c>
      <c r="AY6">
        <v>-4.9243413960720401</v>
      </c>
      <c r="AZ6">
        <v>-3.9301145599682901</v>
      </c>
      <c r="BA6">
        <v>-4.9699413640085197</v>
      </c>
      <c r="BB6">
        <v>-13.7011302918071</v>
      </c>
      <c r="BC6">
        <v>-6.5411896116328903</v>
      </c>
      <c r="BD6">
        <v>-9.0090055374725093</v>
      </c>
      <c r="BE6">
        <v>-0.18039924240937599</v>
      </c>
      <c r="BF6">
        <v>-2.5350669918770099</v>
      </c>
      <c r="BG6">
        <v>-10.8638321428881</v>
      </c>
      <c r="BH6">
        <v>-6.1575567216446103</v>
      </c>
      <c r="BI6">
        <v>-4.3926390994350299</v>
      </c>
      <c r="BJ6">
        <v>-4.04772267051968</v>
      </c>
      <c r="BK6">
        <v>-10.616974439548899</v>
      </c>
      <c r="BL6">
        <v>-8.8786224874228594</v>
      </c>
      <c r="BM6">
        <v>-11.61254064095</v>
      </c>
      <c r="BN6">
        <v>-3.9763967520955399</v>
      </c>
      <c r="BO6">
        <v>-7.8827248126090197</v>
      </c>
      <c r="BP6">
        <v>-15.0025859666396</v>
      </c>
      <c r="BQ6">
        <v>-5.3044437612665201</v>
      </c>
      <c r="BR6">
        <v>-5.7989916109374304</v>
      </c>
      <c r="BS6">
        <v>-9.4920126632422193</v>
      </c>
      <c r="BT6">
        <v>4.2339958391853303</v>
      </c>
      <c r="BU6">
        <v>-9.1438007615101604</v>
      </c>
      <c r="BV6">
        <v>-3.9529977283036599</v>
      </c>
      <c r="BW6">
        <v>-3.5108667459763598</v>
      </c>
      <c r="BX6">
        <v>-12.196678909248901</v>
      </c>
      <c r="BY6">
        <v>1.6531832276238301</v>
      </c>
      <c r="BZ6">
        <v>-4.7744385945639003</v>
      </c>
      <c r="CA6">
        <f>AVERAGE(B6:AP6,AR6:AT6)</f>
        <v>-9.8861371143988084</v>
      </c>
      <c r="CB6">
        <f>STDEV(B6:AU6)</f>
        <v>7.5687575459032876</v>
      </c>
      <c r="CC6">
        <f>STDEV(B6:AU6)/SQRT(COUNT(B6:AU6))</f>
        <v>1.1159524182301193</v>
      </c>
      <c r="CD6">
        <f>AVERAGE(AV6:BI6)</f>
        <v>-7.1919153661510205</v>
      </c>
      <c r="CE6">
        <f>STDEV(AV6:BI6)</f>
        <v>4.983539521874599</v>
      </c>
      <c r="CF6">
        <f>STDEV(AV6:BI6)/SQRT(COUNT(AV6:BI6))</f>
        <v>1.331906961735855</v>
      </c>
      <c r="CG6">
        <f>AVERAGE(BJ6:BZ6)</f>
        <v>-6.4885070281191535</v>
      </c>
      <c r="CH6">
        <f>STDEV(BJ6:BZ6)</f>
        <v>4.9100584730631498</v>
      </c>
      <c r="CI6">
        <f>STDEV(BJ6:BZ6)/SQRT(COUNT(BJ6:BZ6))</f>
        <v>1.1908641007293137</v>
      </c>
      <c r="CJ6">
        <f>MEDIAN(B6:AU6)</f>
        <v>-8.7363869545971653</v>
      </c>
      <c r="CK6">
        <f>_xlfn.QUARTILE.EXC((B6:AU6),3)</f>
        <v>-5.6810478004410605</v>
      </c>
      <c r="CL6">
        <f>_xlfn.QUARTILE.EXC((B6:AU6),1)</f>
        <v>-13.757113041754074</v>
      </c>
      <c r="CM6">
        <f>MEDIAN(AV6:BI6)</f>
        <v>-5.563749042826565</v>
      </c>
      <c r="CN6">
        <f>_xlfn.QUARTILE.EXC((AV6:BI6),3)</f>
        <v>-3.5813526679454699</v>
      </c>
      <c r="CO6">
        <f>_xlfn.QUARTILE.EXC((AV6:BI6),1)</f>
        <v>-11.573156680117851</v>
      </c>
      <c r="CP6">
        <f>MEDIAN(BJ6:BZ6)</f>
        <v>-5.7989916109374304</v>
      </c>
      <c r="CQ6">
        <f>_xlfn.QUARTILE.EXC((BJ6:BZ6),3)</f>
        <v>-3.9646972401995999</v>
      </c>
      <c r="CR6">
        <f>_xlfn.QUARTILE.EXC((BJ6:BZ6),1)</f>
        <v>-10.054493551395559</v>
      </c>
    </row>
    <row r="7" spans="1:96" x14ac:dyDescent="0.2">
      <c r="A7" t="s">
        <v>272</v>
      </c>
      <c r="B7">
        <v>1.23393024698081</v>
      </c>
      <c r="C7">
        <v>1.0488791254057801</v>
      </c>
      <c r="D7">
        <v>1.41806993240853</v>
      </c>
      <c r="E7">
        <v>0.54830400670128099</v>
      </c>
      <c r="F7">
        <v>1.6803739260219299</v>
      </c>
      <c r="G7">
        <v>0.23458000000000001</v>
      </c>
      <c r="H7">
        <v>0.47536870132101899</v>
      </c>
      <c r="I7">
        <v>0.60058869270295601</v>
      </c>
      <c r="J7">
        <v>0.83494702235714702</v>
      </c>
      <c r="K7">
        <v>0.74313043978545801</v>
      </c>
      <c r="L7">
        <v>0.678552327966921</v>
      </c>
      <c r="M7">
        <v>0.60444568410667399</v>
      </c>
      <c r="N7">
        <v>0.76737288981563001</v>
      </c>
      <c r="O7">
        <v>0.36165287403308699</v>
      </c>
      <c r="P7">
        <v>0.36315164618788998</v>
      </c>
      <c r="Q7">
        <v>1.3139824248087599</v>
      </c>
      <c r="R7">
        <v>1.14611689408518</v>
      </c>
      <c r="S7">
        <v>0.90001153287079405</v>
      </c>
      <c r="T7">
        <v>0.86670737221034599</v>
      </c>
      <c r="U7">
        <v>0.43381841548962902</v>
      </c>
      <c r="V7">
        <v>0.92057901148392896</v>
      </c>
      <c r="W7">
        <v>1.5155405879859101</v>
      </c>
      <c r="X7">
        <v>0.54232451673820103</v>
      </c>
      <c r="Y7">
        <v>0.77995808554005897</v>
      </c>
      <c r="Z7">
        <v>0.64941612095823598</v>
      </c>
      <c r="AA7">
        <v>0.76401902852999004</v>
      </c>
      <c r="AB7">
        <v>0.65387477855381804</v>
      </c>
      <c r="AC7">
        <v>0.70572556102383499</v>
      </c>
      <c r="AD7">
        <v>1.4660265267280099</v>
      </c>
      <c r="AE7">
        <v>2.4396729745570398</v>
      </c>
      <c r="AF7">
        <v>1.1376686414863799</v>
      </c>
      <c r="AG7">
        <v>1.12303167200056</v>
      </c>
      <c r="AH7">
        <v>1.8154953799509299</v>
      </c>
      <c r="AI7">
        <v>0.76334655400138796</v>
      </c>
      <c r="AJ7">
        <v>1.1056111994455</v>
      </c>
      <c r="AK7">
        <v>0.748257360332377</v>
      </c>
      <c r="AL7">
        <v>1.21559876744909</v>
      </c>
      <c r="AM7">
        <v>0.80655102514084298</v>
      </c>
      <c r="AN7">
        <v>2.53918806957142</v>
      </c>
      <c r="AO7">
        <v>1.6302039878124499</v>
      </c>
      <c r="AP7">
        <v>4.5211297978056804</v>
      </c>
      <c r="AQ7">
        <v>2.2786289787448002</v>
      </c>
      <c r="AR7">
        <v>1.6959751341487199</v>
      </c>
      <c r="AS7">
        <v>1.3309334130825401</v>
      </c>
      <c r="AT7">
        <v>1.10210879978534</v>
      </c>
      <c r="AU7">
        <v>1.9232703405213301</v>
      </c>
      <c r="AV7">
        <v>1.92236709477476</v>
      </c>
      <c r="AW7">
        <v>0.82043595668401004</v>
      </c>
      <c r="AX7">
        <v>0.65351161786850898</v>
      </c>
      <c r="AY7">
        <v>1.1459319465444999</v>
      </c>
      <c r="AZ7">
        <v>0.64410215347736799</v>
      </c>
      <c r="BA7">
        <v>2.8363013413848401</v>
      </c>
      <c r="BB7">
        <v>1.0684900057983699</v>
      </c>
      <c r="BC7">
        <v>1.3790272863355799</v>
      </c>
      <c r="BD7">
        <v>1.1763760509830701</v>
      </c>
      <c r="BE7">
        <v>2.56538456480413</v>
      </c>
      <c r="BF7">
        <v>1.3052122738104499</v>
      </c>
      <c r="BG7">
        <v>0.95993015816957195</v>
      </c>
      <c r="BH7">
        <v>3.3797945537134502</v>
      </c>
      <c r="BI7">
        <v>0.54866405030241705</v>
      </c>
      <c r="BJ7">
        <v>0.92580722816519601</v>
      </c>
      <c r="BK7">
        <v>0.76912779314370505</v>
      </c>
      <c r="BL7">
        <v>1.36326969126357</v>
      </c>
      <c r="BM7">
        <v>1.3780759625132799</v>
      </c>
      <c r="BN7">
        <v>1.7394218324884601</v>
      </c>
      <c r="BO7">
        <v>0.63984539341489799</v>
      </c>
      <c r="BP7">
        <v>0.48696285354108998</v>
      </c>
      <c r="BQ7">
        <v>1.33861191390957</v>
      </c>
      <c r="BR7">
        <v>1.7114870300885801</v>
      </c>
      <c r="BS7">
        <v>1.2744793190256001</v>
      </c>
      <c r="BT7">
        <v>1.1365610278996501</v>
      </c>
      <c r="BU7">
        <v>1.05241896130544</v>
      </c>
      <c r="BV7">
        <v>3.4232161414130302</v>
      </c>
      <c r="BW7">
        <v>1.18053706227249</v>
      </c>
      <c r="BX7">
        <v>1.0445080452836299</v>
      </c>
      <c r="BY7">
        <v>3.23326219964577</v>
      </c>
      <c r="BZ7">
        <v>1.21876050816792</v>
      </c>
    </row>
    <row r="8" spans="1:96" x14ac:dyDescent="0.2">
      <c r="A8" t="s">
        <v>273</v>
      </c>
      <c r="B8">
        <v>-6.1786478893241004</v>
      </c>
      <c r="C8">
        <v>-5.9082155248763897</v>
      </c>
      <c r="D8">
        <v>-4.9468922489643203</v>
      </c>
      <c r="E8">
        <v>-5.45602603673104</v>
      </c>
      <c r="F8">
        <v>-8.4475550343206898</v>
      </c>
      <c r="G8">
        <v>-3.43127</v>
      </c>
      <c r="H8">
        <v>-6.5885706797416201</v>
      </c>
      <c r="I8">
        <v>-3.22546875193478</v>
      </c>
      <c r="J8">
        <v>-4.4947631894785696</v>
      </c>
      <c r="K8">
        <v>-5.6015220931492502</v>
      </c>
      <c r="L8">
        <v>-5.9627579402037298</v>
      </c>
      <c r="M8">
        <v>-4.1292251245935097</v>
      </c>
      <c r="N8">
        <v>-2.6668218644877402</v>
      </c>
      <c r="O8">
        <v>-5.1734314938678398</v>
      </c>
      <c r="P8">
        <v>-4.4812430808570101</v>
      </c>
      <c r="Q8">
        <v>-6.1232715024834699</v>
      </c>
      <c r="R8">
        <v>-5.9718159428922704</v>
      </c>
      <c r="S8">
        <v>-7.69559094516383</v>
      </c>
      <c r="T8">
        <v>-6.6287758683752598</v>
      </c>
      <c r="U8">
        <v>-4.8411603542621604</v>
      </c>
      <c r="V8">
        <v>-7.3572729084325799</v>
      </c>
      <c r="W8">
        <v>-5.2717250817781096</v>
      </c>
      <c r="X8">
        <v>-6.22455968101871</v>
      </c>
      <c r="Y8">
        <v>-6.6789570733028203</v>
      </c>
      <c r="Z8">
        <v>-8.68807571298853</v>
      </c>
      <c r="AA8">
        <v>-8.5740009726795297</v>
      </c>
      <c r="AB8">
        <v>-5.9583581243452999</v>
      </c>
      <c r="AC8">
        <v>-5.3238335240330104</v>
      </c>
      <c r="AD8">
        <v>-6.5339585926600199</v>
      </c>
      <c r="AE8">
        <v>-12.1196142589251</v>
      </c>
      <c r="AF8">
        <v>-7.4944863441924303</v>
      </c>
      <c r="AG8">
        <v>-6.8607813205913404</v>
      </c>
      <c r="AH8">
        <v>-6.4007379359503904</v>
      </c>
      <c r="AI8">
        <v>-6.8977820967516204</v>
      </c>
      <c r="AJ8">
        <v>-7.2829482796415501</v>
      </c>
      <c r="AK8">
        <v>-6.3763018835550502</v>
      </c>
      <c r="AL8">
        <v>-5.1544016364354102</v>
      </c>
      <c r="AM8">
        <v>-6.0409614784035401</v>
      </c>
      <c r="AN8">
        <v>-8.2168831359286401</v>
      </c>
      <c r="AO8">
        <v>-5.4105666056186799</v>
      </c>
      <c r="AP8">
        <v>-7.1195687439763802</v>
      </c>
      <c r="AQ8">
        <v>-7.1682834914331899</v>
      </c>
      <c r="AR8">
        <v>-6.8378135202799104</v>
      </c>
      <c r="AS8">
        <v>-7.7480843406401601</v>
      </c>
      <c r="AT8">
        <v>-5.9771389473543701</v>
      </c>
      <c r="AU8">
        <v>-6.8770844419708297</v>
      </c>
      <c r="AV8">
        <v>-7.1471238121131497</v>
      </c>
      <c r="AW8">
        <v>-7.0422752485256197</v>
      </c>
      <c r="AX8">
        <v>-7.17486178498205</v>
      </c>
      <c r="AY8">
        <v>-7.0070143349458602</v>
      </c>
      <c r="AZ8">
        <v>-7.6545740720067004</v>
      </c>
      <c r="BA8">
        <v>-7.37423240269717</v>
      </c>
      <c r="BB8">
        <v>-5.7610645061089603</v>
      </c>
      <c r="BC8">
        <v>-5.8166007560987598</v>
      </c>
      <c r="BD8">
        <v>-6.0629814561539099</v>
      </c>
      <c r="BE8">
        <v>-6.7469628793206304</v>
      </c>
      <c r="BF8">
        <v>-8.4875382233067498</v>
      </c>
      <c r="BG8">
        <v>-5.9004737075260998</v>
      </c>
      <c r="BH8">
        <v>-5.3958200210043001</v>
      </c>
      <c r="BI8">
        <v>-7.4415958064713097</v>
      </c>
      <c r="BJ8">
        <v>-6.9253110089714802</v>
      </c>
      <c r="BK8">
        <v>-7.1690110741791102</v>
      </c>
      <c r="BL8">
        <v>-6.4091608843475996</v>
      </c>
      <c r="BM8">
        <v>-4.9760289590835898</v>
      </c>
      <c r="BN8">
        <v>-7.7503203043799997</v>
      </c>
      <c r="BO8">
        <v>-6.8275253983844699</v>
      </c>
      <c r="BP8">
        <v>-6.6682058183499402</v>
      </c>
      <c r="BQ8">
        <v>-7.1151902344964197</v>
      </c>
      <c r="BR8">
        <v>-8.2024845879444506</v>
      </c>
      <c r="BS8">
        <v>-7.3023102758116503</v>
      </c>
      <c r="BT8">
        <v>-6.77018895277984</v>
      </c>
      <c r="BU8">
        <v>-7.1936010877464804</v>
      </c>
      <c r="BV8">
        <v>-6.4172623216555804</v>
      </c>
      <c r="BW8">
        <v>-8.0976281534043402</v>
      </c>
      <c r="BX8">
        <v>-9.0372277500167009</v>
      </c>
      <c r="BY8">
        <v>-9.6121007593390093</v>
      </c>
      <c r="BZ8">
        <v>-8.0165267343283109</v>
      </c>
      <c r="CA8">
        <f>AVERAGE(B8:AP8,AR8:AT8)</f>
        <v>-6.2386781310270631</v>
      </c>
      <c r="CB8">
        <f t="shared" ref="CB8:CB12" si="0">STDEV(B8:AU8)</f>
        <v>1.6130936096788984</v>
      </c>
      <c r="CC8">
        <f t="shared" ref="CC8:CC12" si="1">STDEV(B8:AU8)/SQRT(COUNT(B8:AU8))</f>
        <v>0.23783767727202088</v>
      </c>
      <c r="CD8">
        <f t="shared" ref="CD8:CD12" si="2">AVERAGE(AV8:BI8)</f>
        <v>-6.7866513579472345</v>
      </c>
      <c r="CE8">
        <f t="shared" ref="CE8:CE12" si="3">STDEV(AV8:BI8)</f>
        <v>0.87937404839629407</v>
      </c>
      <c r="CF8">
        <f t="shared" ref="CF8:CF12" si="4">STDEV(AV8:BI8)/SQRT(COUNT(AV8:BI8))</f>
        <v>0.23502260027994995</v>
      </c>
      <c r="CG8">
        <f t="shared" ref="CG8:CG12" si="5">AVERAGE(BJ8:BZ8)</f>
        <v>-7.322946135601117</v>
      </c>
      <c r="CH8">
        <f t="shared" ref="CH8:CH12" si="6">STDEV(BJ8:BZ8)</f>
        <v>1.0782362729301762</v>
      </c>
      <c r="CI8">
        <f t="shared" ref="CI8:CI12" si="7">STDEV(BJ8:BZ8)/SQRT(COUNT(BJ8:BZ8))</f>
        <v>0.26151070839196638</v>
      </c>
      <c r="CJ8">
        <f t="shared" ref="CJ8:CJ12" si="8">MEDIAN(B8:AU8)</f>
        <v>-6.2016037851714056</v>
      </c>
      <c r="CK8">
        <f t="shared" ref="CK8:CK12" si="9">_xlfn.QUARTILE.EXC((B8:AU8),3)</f>
        <v>-5.3108064134692849</v>
      </c>
      <c r="CL8">
        <f t="shared" ref="CL8:CL12" si="10">_xlfn.QUARTILE.EXC((B8:AU8),1)</f>
        <v>-7.1317474308405826</v>
      </c>
      <c r="CM8">
        <f t="shared" ref="CM8:CM12" si="11">MEDIAN(AV8:BI8)</f>
        <v>-7.0246447917357404</v>
      </c>
      <c r="CN8">
        <f t="shared" ref="CN8:CN12" si="12">_xlfn.QUARTILE.EXC((AV8:BI8),3)</f>
        <v>-5.8795054696692652</v>
      </c>
      <c r="CO8">
        <f t="shared" ref="CO8:CO12" si="13">_xlfn.QUARTILE.EXC((AV8:BI8),1)</f>
        <v>-7.3910732536407053</v>
      </c>
      <c r="CP8">
        <f t="shared" ref="CP8:CP12" si="14">MEDIAN(BJ8:BZ8)</f>
        <v>-7.1690110741791102</v>
      </c>
      <c r="CQ8">
        <f t="shared" ref="CQ8:CQ12" si="15">_xlfn.QUARTILE.EXC((BJ8:BZ8),3)</f>
        <v>-6.7191973855648897</v>
      </c>
      <c r="CR8">
        <f t="shared" ref="CR8:CR12" si="16">_xlfn.QUARTILE.EXC((BJ8:BZ8),1)</f>
        <v>-8.0570774438663264</v>
      </c>
    </row>
    <row r="9" spans="1:96" x14ac:dyDescent="0.2">
      <c r="A9" t="s">
        <v>274</v>
      </c>
      <c r="B9">
        <v>0.992423554897091</v>
      </c>
      <c r="C9">
        <v>0.83780559041814295</v>
      </c>
      <c r="D9">
        <v>1.0586651686939199</v>
      </c>
      <c r="E9">
        <v>0.41078677678293002</v>
      </c>
      <c r="F9">
        <v>1.1098603646018499</v>
      </c>
      <c r="G9">
        <v>0.14685000000000001</v>
      </c>
      <c r="H9">
        <v>0.34259185947721499</v>
      </c>
      <c r="I9">
        <v>0.35884734922766498</v>
      </c>
      <c r="J9">
        <v>0.67991364184764302</v>
      </c>
      <c r="K9">
        <v>0.59531018255592405</v>
      </c>
      <c r="L9">
        <v>0.51526158671102695</v>
      </c>
      <c r="M9">
        <v>0.50157441686117099</v>
      </c>
      <c r="N9">
        <v>0.55753774941470102</v>
      </c>
      <c r="O9">
        <v>0.27055855784944499</v>
      </c>
      <c r="P9">
        <v>0.284507509376345</v>
      </c>
      <c r="Q9">
        <v>0.97054170148402696</v>
      </c>
      <c r="R9">
        <v>0.83331784009369603</v>
      </c>
      <c r="S9">
        <v>0.64801512194439204</v>
      </c>
      <c r="T9">
        <v>0.65184828263593098</v>
      </c>
      <c r="U9">
        <v>0.32116159812005501</v>
      </c>
      <c r="V9">
        <v>0.63468967024441802</v>
      </c>
      <c r="W9">
        <v>1.19207808278769</v>
      </c>
      <c r="X9">
        <v>0.40555367979518198</v>
      </c>
      <c r="Y9">
        <v>0.55573272624883896</v>
      </c>
      <c r="Z9">
        <v>0.42182254285934301</v>
      </c>
      <c r="AA9">
        <v>0.499437127863884</v>
      </c>
      <c r="AB9">
        <v>0.49133227813610098</v>
      </c>
      <c r="AC9">
        <v>0.575464503608621</v>
      </c>
      <c r="AD9">
        <v>0.99748064902160505</v>
      </c>
      <c r="AE9">
        <v>1.22276576315353</v>
      </c>
      <c r="AF9">
        <v>0.79261392554726195</v>
      </c>
      <c r="AG9">
        <v>0.812159853635669</v>
      </c>
      <c r="AH9">
        <v>1.3099224958559601</v>
      </c>
      <c r="AI9">
        <v>0.54977910472718305</v>
      </c>
      <c r="AJ9">
        <v>0.77284919251527495</v>
      </c>
      <c r="AK9">
        <v>0.55234800263210904</v>
      </c>
      <c r="AL9">
        <v>0.92714051225446104</v>
      </c>
      <c r="AM9">
        <v>0.59918304964125302</v>
      </c>
      <c r="AN9">
        <v>1.7147955930916201</v>
      </c>
      <c r="AO9">
        <v>1.19438873031204</v>
      </c>
      <c r="AP9">
        <v>3.1989227348081299</v>
      </c>
      <c r="AQ9">
        <v>1.5947060861525699</v>
      </c>
      <c r="AR9">
        <v>1.2262243980735099</v>
      </c>
      <c r="AS9">
        <v>0.89469649557490805</v>
      </c>
      <c r="AT9">
        <v>0.81758581615881698</v>
      </c>
      <c r="AU9">
        <v>1.3398342976376401</v>
      </c>
      <c r="AV9">
        <v>1.3266162229835401</v>
      </c>
      <c r="AW9">
        <v>0.59461296252478102</v>
      </c>
      <c r="AX9">
        <v>0.472985568771502</v>
      </c>
      <c r="AY9">
        <v>0.80436953318628501</v>
      </c>
      <c r="AZ9">
        <v>0.43697071840763002</v>
      </c>
      <c r="BA9">
        <v>1.87571321095295</v>
      </c>
      <c r="BB9">
        <v>0.79878247896948895</v>
      </c>
      <c r="BC9">
        <v>1.02296902022185</v>
      </c>
      <c r="BD9">
        <v>0.88835913470073202</v>
      </c>
      <c r="BE9">
        <v>1.79695649243324</v>
      </c>
      <c r="BF9">
        <v>0.84492083962306397</v>
      </c>
      <c r="BG9">
        <v>0.72859293437136996</v>
      </c>
      <c r="BH9">
        <v>2.45462851189669</v>
      </c>
      <c r="BI9">
        <v>0.37689307384266102</v>
      </c>
      <c r="BJ9">
        <v>0.64841397469796902</v>
      </c>
      <c r="BK9">
        <v>0.54826486519443096</v>
      </c>
      <c r="BL9">
        <v>1.0084163083067801</v>
      </c>
      <c r="BM9">
        <v>1.08766448272268</v>
      </c>
      <c r="BN9">
        <v>1.1702127888642799</v>
      </c>
      <c r="BO9">
        <v>0.45846314003514999</v>
      </c>
      <c r="BP9">
        <v>0.35647309491333301</v>
      </c>
      <c r="BQ9">
        <v>0.93472209397433503</v>
      </c>
      <c r="BR9">
        <v>0.95422704769446198</v>
      </c>
      <c r="BS9">
        <v>0.90013993158470096</v>
      </c>
      <c r="BT9">
        <v>0.77664117850856296</v>
      </c>
      <c r="BU9">
        <v>0.74760387693103503</v>
      </c>
      <c r="BV9">
        <v>2.4304634782795298</v>
      </c>
      <c r="BW9">
        <v>0.77939252045121898</v>
      </c>
      <c r="BX9">
        <v>0.68809918831420802</v>
      </c>
      <c r="BY9">
        <v>1.9242778512129199</v>
      </c>
      <c r="BZ9">
        <v>0.81555114331966005</v>
      </c>
    </row>
    <row r="10" spans="1:96" x14ac:dyDescent="0.2">
      <c r="A10" t="s">
        <v>275</v>
      </c>
      <c r="B10">
        <v>13.821906261124701</v>
      </c>
      <c r="C10">
        <v>3.4697362343557598</v>
      </c>
      <c r="D10">
        <v>3.8985175944930002</v>
      </c>
      <c r="E10">
        <v>9.8947668998629492</v>
      </c>
      <c r="F10">
        <v>19.268280665759999</v>
      </c>
      <c r="G10">
        <v>3.7032400000000001</v>
      </c>
      <c r="H10">
        <v>4.8050109354883199</v>
      </c>
      <c r="I10">
        <v>4.6215980751119901</v>
      </c>
      <c r="J10">
        <v>16.878616870192399</v>
      </c>
      <c r="K10">
        <v>6.3658065211041803</v>
      </c>
      <c r="L10">
        <v>1.9118990098458599</v>
      </c>
      <c r="M10">
        <v>5.3507991390654102</v>
      </c>
      <c r="N10">
        <v>2.5489463235006502</v>
      </c>
      <c r="O10">
        <v>3.4987763549612199</v>
      </c>
      <c r="P10">
        <v>5.7568945047085904</v>
      </c>
      <c r="Q10">
        <v>2.9093269769228001</v>
      </c>
      <c r="R10">
        <v>4.0458327249213504</v>
      </c>
      <c r="S10">
        <v>3.4563863863275901</v>
      </c>
      <c r="T10">
        <v>2.0934590740351702</v>
      </c>
      <c r="U10">
        <v>3.86328754683259</v>
      </c>
      <c r="V10">
        <v>8.1400525750158295</v>
      </c>
      <c r="W10">
        <v>2.4439471218212101</v>
      </c>
      <c r="X10">
        <v>3.8856596885841999</v>
      </c>
      <c r="Y10">
        <v>4.5316861656544303</v>
      </c>
      <c r="Z10">
        <v>6.9416289755770997</v>
      </c>
      <c r="AA10">
        <v>6.93209601633641</v>
      </c>
      <c r="AB10">
        <v>0.96577747354452004</v>
      </c>
      <c r="AC10">
        <v>4.7758189502988699</v>
      </c>
      <c r="AD10">
        <v>2.2597236837901802</v>
      </c>
      <c r="AE10">
        <v>9.0168594508727793</v>
      </c>
      <c r="AF10">
        <v>3.0771674680066199</v>
      </c>
      <c r="AG10">
        <v>2.5568224170617602</v>
      </c>
      <c r="AH10">
        <v>1.5983600386918799</v>
      </c>
      <c r="AI10">
        <v>1.97326436139511</v>
      </c>
      <c r="AJ10">
        <v>3.5753606809131102</v>
      </c>
      <c r="AK10">
        <v>1.2518461481991501</v>
      </c>
      <c r="AL10">
        <v>1.3568104797510001</v>
      </c>
      <c r="AM10">
        <v>2.02810243800121</v>
      </c>
      <c r="AN10">
        <v>1.24228006235147</v>
      </c>
      <c r="AO10">
        <v>0.90582893444146995</v>
      </c>
      <c r="AP10">
        <v>0.60888266686403603</v>
      </c>
      <c r="AQ10">
        <v>0.62703928314186896</v>
      </c>
      <c r="AR10">
        <v>0.56480797376985803</v>
      </c>
      <c r="AS10">
        <v>0.72374008140589996</v>
      </c>
      <c r="AT10">
        <v>2.3229052253806999</v>
      </c>
      <c r="AU10">
        <v>0.60406741350014803</v>
      </c>
      <c r="AV10">
        <v>6.0112373124267702</v>
      </c>
      <c r="AW10">
        <v>4.8506264093158098</v>
      </c>
      <c r="AX10">
        <v>3.15702867633355</v>
      </c>
      <c r="AY10">
        <v>6.3487031882064002</v>
      </c>
      <c r="AZ10">
        <v>2.5905118533549798</v>
      </c>
      <c r="BA10">
        <v>1.7223729787458999</v>
      </c>
      <c r="BB10">
        <v>1.0513285918867401</v>
      </c>
      <c r="BC10">
        <v>1.71730690772534</v>
      </c>
      <c r="BD10">
        <v>1.4605899243693099</v>
      </c>
      <c r="BE10">
        <v>0.99729551518958803</v>
      </c>
      <c r="BF10">
        <v>2.4253554291850499</v>
      </c>
      <c r="BG10">
        <v>0.47577172070797302</v>
      </c>
      <c r="BH10">
        <v>0.29031061226928601</v>
      </c>
      <c r="BI10">
        <v>0.42028364746320501</v>
      </c>
      <c r="BJ10">
        <v>1.23139952885321</v>
      </c>
      <c r="BK10">
        <v>1.5674522539846101</v>
      </c>
      <c r="BL10">
        <v>1.8448646753900499</v>
      </c>
      <c r="BM10">
        <v>2.52289021023015</v>
      </c>
      <c r="BN10">
        <v>2.9700589174090299</v>
      </c>
      <c r="BO10">
        <v>2.1123415562496799</v>
      </c>
      <c r="BP10">
        <v>2.3317772332451101</v>
      </c>
      <c r="BQ10">
        <v>1.03069916947956</v>
      </c>
      <c r="BR10">
        <v>1.35132122112598</v>
      </c>
      <c r="BS10">
        <v>0.22968568317728699</v>
      </c>
      <c r="BT10">
        <v>1.27267924546664</v>
      </c>
      <c r="BU10">
        <v>0.684646303223856</v>
      </c>
      <c r="BV10">
        <v>0.62161428198459201</v>
      </c>
      <c r="BW10">
        <v>1.5940757387598099</v>
      </c>
      <c r="BX10">
        <v>0.43404315404787702</v>
      </c>
      <c r="BY10">
        <v>0.66798491716482</v>
      </c>
      <c r="BZ10">
        <v>1.66496703393998</v>
      </c>
      <c r="CA10">
        <f>AVERAGE(B10:AP10,AR10:AT10)</f>
        <v>4.4509662994623502</v>
      </c>
      <c r="CB10">
        <f t="shared" si="0"/>
        <v>4.0379513943677976</v>
      </c>
      <c r="CC10">
        <f t="shared" si="1"/>
        <v>0.59536345244398259</v>
      </c>
      <c r="CD10">
        <f t="shared" si="2"/>
        <v>2.3941944833699935</v>
      </c>
      <c r="CE10">
        <f t="shared" si="3"/>
        <v>2.0175265588747471</v>
      </c>
      <c r="CF10">
        <f t="shared" si="4"/>
        <v>0.53920665371616494</v>
      </c>
      <c r="CG10">
        <f t="shared" si="5"/>
        <v>1.4195588896313085</v>
      </c>
      <c r="CH10">
        <f t="shared" si="6"/>
        <v>0.77332399850851186</v>
      </c>
      <c r="CI10">
        <f t="shared" si="7"/>
        <v>0.18755861933385815</v>
      </c>
      <c r="CJ10">
        <f t="shared" si="8"/>
        <v>3.4630613103416747</v>
      </c>
      <c r="CK10">
        <f t="shared" si="9"/>
        <v>4.9414579863825923</v>
      </c>
      <c r="CL10">
        <f t="shared" si="10"/>
        <v>1.833514267057365</v>
      </c>
      <c r="CM10">
        <f t="shared" si="11"/>
        <v>1.71983994323562</v>
      </c>
      <c r="CN10">
        <f t="shared" si="12"/>
        <v>3.5804281095791151</v>
      </c>
      <c r="CO10">
        <f t="shared" si="13"/>
        <v>0.86691456656918431</v>
      </c>
      <c r="CP10">
        <f t="shared" si="14"/>
        <v>1.35132122112598</v>
      </c>
      <c r="CQ10">
        <f t="shared" si="15"/>
        <v>1.9786031158198649</v>
      </c>
      <c r="CR10">
        <f t="shared" si="16"/>
        <v>0.67631561019433795</v>
      </c>
    </row>
    <row r="11" spans="1:96" x14ac:dyDescent="0.2">
      <c r="A11" t="s">
        <v>276</v>
      </c>
      <c r="B11">
        <v>0.56334306876040496</v>
      </c>
      <c r="C11">
        <v>0.151097352690166</v>
      </c>
      <c r="D11">
        <v>0.300344465181409</v>
      </c>
      <c r="E11">
        <v>0.27566845472854301</v>
      </c>
      <c r="F11">
        <v>1.1786036408512801</v>
      </c>
      <c r="G11">
        <v>5.382E-2</v>
      </c>
      <c r="H11">
        <v>0.13768076751722</v>
      </c>
      <c r="I11">
        <v>0.17201397851360101</v>
      </c>
      <c r="J11">
        <v>0.77912630331870103</v>
      </c>
      <c r="K11">
        <v>0.20775181277660501</v>
      </c>
      <c r="L11">
        <v>6.3453369127890596E-2</v>
      </c>
      <c r="M11">
        <v>0.14760132791613101</v>
      </c>
      <c r="N11">
        <v>0.122239911625166</v>
      </c>
      <c r="O11">
        <v>6.4792231972239295E-2</v>
      </c>
      <c r="P11">
        <v>0.119677684410524</v>
      </c>
      <c r="Q11">
        <v>0.19003942278830399</v>
      </c>
      <c r="R11">
        <v>0.233885336199146</v>
      </c>
      <c r="S11">
        <v>0.1247516557883</v>
      </c>
      <c r="T11">
        <v>8.2016833003214495E-2</v>
      </c>
      <c r="U11">
        <v>9.0320517839827003E-2</v>
      </c>
      <c r="V11">
        <v>0.33327159258028799</v>
      </c>
      <c r="W11">
        <v>0.18804200364745</v>
      </c>
      <c r="X11">
        <v>0.104280374705449</v>
      </c>
      <c r="Y11">
        <v>0.16220679761967099</v>
      </c>
      <c r="Z11">
        <v>0.180670187619901</v>
      </c>
      <c r="AA11">
        <v>0.20823746194757001</v>
      </c>
      <c r="AB11">
        <v>3.2028731959387401E-2</v>
      </c>
      <c r="AC11">
        <v>0.19406767896288599</v>
      </c>
      <c r="AD11">
        <v>0.16727534206474401</v>
      </c>
      <c r="AE11">
        <v>0.60423444548793004</v>
      </c>
      <c r="AF11">
        <v>0.155668067433371</v>
      </c>
      <c r="AG11">
        <v>0.13115194209704401</v>
      </c>
      <c r="AH11">
        <v>0.13947819777152701</v>
      </c>
      <c r="AI11">
        <v>6.7023772341426896E-2</v>
      </c>
      <c r="AJ11">
        <v>0.18060320787758499</v>
      </c>
      <c r="AK11">
        <v>4.63232432598868E-2</v>
      </c>
      <c r="AL11">
        <v>9.1317156895530702E-2</v>
      </c>
      <c r="AM11">
        <v>8.5381620204655201E-2</v>
      </c>
      <c r="AN11">
        <v>0.117257112771657</v>
      </c>
      <c r="AO11">
        <v>6.9150706425541303E-2</v>
      </c>
      <c r="AP11">
        <v>0.13023227557391101</v>
      </c>
      <c r="AQ11">
        <v>5.4043069999433098E-2</v>
      </c>
      <c r="AR11">
        <v>4.6239350781707503E-2</v>
      </c>
      <c r="AS11">
        <v>4.1661439633692898E-2</v>
      </c>
      <c r="AT11">
        <v>0.12846913832399301</v>
      </c>
      <c r="AU11">
        <v>4.5473302642439699E-2</v>
      </c>
      <c r="AV11">
        <v>0.52453269255221702</v>
      </c>
      <c r="AW11">
        <v>0.198449272650598</v>
      </c>
      <c r="AX11">
        <v>9.2420500343800199E-2</v>
      </c>
      <c r="AY11">
        <v>0.37564035737479101</v>
      </c>
      <c r="AZ11">
        <v>7.9293246715265997E-2</v>
      </c>
      <c r="BA11">
        <v>0.26121003228596801</v>
      </c>
      <c r="BB11">
        <v>5.5938943270339901E-2</v>
      </c>
      <c r="BC11">
        <v>0.11138817106490299</v>
      </c>
      <c r="BD11">
        <v>9.42399561849461E-2</v>
      </c>
      <c r="BE11">
        <v>0.112316885038707</v>
      </c>
      <c r="BF11">
        <v>0.14228060536883799</v>
      </c>
      <c r="BG11">
        <v>2.1573953631140098E-2</v>
      </c>
      <c r="BH11">
        <v>5.6389250481133101E-2</v>
      </c>
      <c r="BI11">
        <v>1.05786099365091E-2</v>
      </c>
      <c r="BJ11">
        <v>5.3328381363919097E-2</v>
      </c>
      <c r="BK11">
        <v>5.3099546611155297E-2</v>
      </c>
      <c r="BL11">
        <v>0.13467914820964</v>
      </c>
      <c r="BM11">
        <v>0.16378731354041801</v>
      </c>
      <c r="BN11">
        <v>0.18956673841133301</v>
      </c>
      <c r="BO11">
        <v>5.60076221543419E-2</v>
      </c>
      <c r="BP11">
        <v>4.9349566094937097E-2</v>
      </c>
      <c r="BQ11">
        <v>6.1966462677863703E-2</v>
      </c>
      <c r="BR11">
        <v>9.5296915473372407E-2</v>
      </c>
      <c r="BS11">
        <v>1.2858659086394299E-2</v>
      </c>
      <c r="BT11">
        <v>7.2685147779196699E-2</v>
      </c>
      <c r="BU11">
        <v>3.4668645857050998E-2</v>
      </c>
      <c r="BV11">
        <v>8.2306083348953896E-2</v>
      </c>
      <c r="BW11">
        <v>6.3371501911529293E-2</v>
      </c>
      <c r="BX11">
        <v>1.7819338486636901E-2</v>
      </c>
      <c r="BY11">
        <v>0.116464143333166</v>
      </c>
      <c r="BZ11">
        <v>9.1596459029794394E-2</v>
      </c>
    </row>
    <row r="12" spans="1:96" x14ac:dyDescent="0.2">
      <c r="A12" t="s">
        <v>277</v>
      </c>
      <c r="B12">
        <v>87.461665498697201</v>
      </c>
      <c r="C12">
        <v>87.747260903525103</v>
      </c>
      <c r="D12">
        <v>67.205672450562702</v>
      </c>
      <c r="E12">
        <v>65.935738809945093</v>
      </c>
      <c r="F12">
        <v>60.6188450100559</v>
      </c>
      <c r="G12">
        <v>73.693989999999999</v>
      </c>
      <c r="H12">
        <v>86.771667722659501</v>
      </c>
      <c r="I12">
        <v>73.000867282778202</v>
      </c>
      <c r="J12">
        <v>62.439658892923397</v>
      </c>
      <c r="K12">
        <v>88.502766092292603</v>
      </c>
      <c r="L12">
        <v>65.796123368636302</v>
      </c>
      <c r="M12">
        <v>81.279351955937699</v>
      </c>
      <c r="N12">
        <v>69.4499385683729</v>
      </c>
      <c r="O12">
        <v>64.418428203541694</v>
      </c>
      <c r="P12">
        <v>65.878931123657495</v>
      </c>
      <c r="Q12">
        <v>68.157191953147802</v>
      </c>
      <c r="R12">
        <v>67.9481040292724</v>
      </c>
      <c r="S12">
        <v>63.768660926500502</v>
      </c>
      <c r="T12">
        <v>66.060355941474199</v>
      </c>
      <c r="U12">
        <v>66.076912568188504</v>
      </c>
      <c r="V12">
        <v>67.860623580591096</v>
      </c>
      <c r="W12">
        <v>63.647511403929499</v>
      </c>
      <c r="X12">
        <v>68.662374929153799</v>
      </c>
      <c r="Y12">
        <v>66.004455308255004</v>
      </c>
      <c r="Z12">
        <v>68.275698706442</v>
      </c>
      <c r="AA12">
        <v>66.350116051765497</v>
      </c>
      <c r="AB12">
        <v>68.906416088170403</v>
      </c>
      <c r="AC12">
        <v>75.873057418447004</v>
      </c>
      <c r="AD12">
        <v>69.800535417390094</v>
      </c>
      <c r="AE12">
        <v>60.733562158786803</v>
      </c>
      <c r="AF12">
        <v>69.016454015835095</v>
      </c>
      <c r="AG12">
        <v>67.106356335620902</v>
      </c>
      <c r="AH12">
        <v>67.476825899755298</v>
      </c>
      <c r="AI12">
        <v>65.400593743596701</v>
      </c>
      <c r="AJ12">
        <v>69.530656180876207</v>
      </c>
      <c r="AK12">
        <v>70.680231388865707</v>
      </c>
      <c r="AL12">
        <v>67.108936551718998</v>
      </c>
      <c r="AM12">
        <v>71.174289037505005</v>
      </c>
      <c r="AN12">
        <v>60.720767923501498</v>
      </c>
      <c r="AO12">
        <v>59.650455881347199</v>
      </c>
      <c r="AP12">
        <v>71.146576487619598</v>
      </c>
      <c r="AQ12">
        <v>56.448080156367197</v>
      </c>
      <c r="AR12">
        <v>70.986360781903102</v>
      </c>
      <c r="AS12">
        <v>68.068107091582704</v>
      </c>
      <c r="AT12">
        <v>67.851326264590099</v>
      </c>
      <c r="AU12">
        <v>57.126368325561103</v>
      </c>
      <c r="AV12">
        <v>67.711591063278803</v>
      </c>
      <c r="AW12">
        <v>76.460896458133803</v>
      </c>
      <c r="AX12">
        <v>68.668013345274204</v>
      </c>
      <c r="AY12">
        <v>76.565548214751004</v>
      </c>
      <c r="AZ12">
        <v>74.293283472812803</v>
      </c>
      <c r="BA12">
        <v>69.277275459511998</v>
      </c>
      <c r="BB12">
        <v>66.599850194672001</v>
      </c>
      <c r="BC12">
        <v>62.399968042080602</v>
      </c>
      <c r="BD12">
        <v>75.286220882418405</v>
      </c>
      <c r="BE12">
        <v>62.286098869186503</v>
      </c>
      <c r="BF12">
        <v>75.031463804519603</v>
      </c>
      <c r="BG12">
        <v>62.905409161400797</v>
      </c>
      <c r="BH12">
        <v>61.758910942974403</v>
      </c>
      <c r="BI12">
        <v>70.478078071923704</v>
      </c>
      <c r="BJ12">
        <v>68.616014149223304</v>
      </c>
      <c r="BK12">
        <v>66.484747371152807</v>
      </c>
      <c r="BL12">
        <v>76.013601669779007</v>
      </c>
      <c r="BM12">
        <v>55.736811402705001</v>
      </c>
      <c r="BN12">
        <v>57.788696488275903</v>
      </c>
      <c r="BO12">
        <v>60.162762126649497</v>
      </c>
      <c r="BP12">
        <v>62.838268311853</v>
      </c>
      <c r="BQ12">
        <v>67.136610165888101</v>
      </c>
      <c r="BR12">
        <v>80.549353312632604</v>
      </c>
      <c r="BS12">
        <v>67.035539703772301</v>
      </c>
      <c r="BT12">
        <v>71.530065800781799</v>
      </c>
      <c r="BU12">
        <v>73.157469137640405</v>
      </c>
      <c r="BV12">
        <v>54.0418691616659</v>
      </c>
      <c r="BW12">
        <v>54.624362359962802</v>
      </c>
      <c r="BX12">
        <v>69.379005105801497</v>
      </c>
      <c r="BY12">
        <v>96.066263888799</v>
      </c>
      <c r="BZ12">
        <v>72.873014066031601</v>
      </c>
      <c r="CA12">
        <f>AVERAGE(B12:AP12,AR12:AT12)</f>
        <v>69.414645907941335</v>
      </c>
      <c r="CB12">
        <f t="shared" si="0"/>
        <v>7.3760032030048732</v>
      </c>
      <c r="CC12">
        <f t="shared" si="1"/>
        <v>1.0875323408558253</v>
      </c>
      <c r="CD12">
        <f t="shared" si="2"/>
        <v>69.265900570209894</v>
      </c>
      <c r="CE12">
        <f t="shared" si="3"/>
        <v>5.5735188266179021</v>
      </c>
      <c r="CF12">
        <f t="shared" si="4"/>
        <v>1.4895855634241788</v>
      </c>
      <c r="CG12">
        <f t="shared" si="5"/>
        <v>67.884379660153797</v>
      </c>
      <c r="CH12">
        <f t="shared" si="6"/>
        <v>10.591008094776845</v>
      </c>
      <c r="CI12">
        <f t="shared" si="7"/>
        <v>2.5686967680315642</v>
      </c>
      <c r="CJ12">
        <f t="shared" si="8"/>
        <v>67.855974922590605</v>
      </c>
      <c r="CK12">
        <f t="shared" si="9"/>
        <v>70.756763737125056</v>
      </c>
      <c r="CL12">
        <f t="shared" si="10"/>
        <v>65.697240962376398</v>
      </c>
      <c r="CM12">
        <f t="shared" si="11"/>
        <v>68.972644402393101</v>
      </c>
      <c r="CN12">
        <f t="shared" si="12"/>
        <v>75.095153073994311</v>
      </c>
      <c r="CO12">
        <f t="shared" si="13"/>
        <v>62.779048881570745</v>
      </c>
      <c r="CP12">
        <f t="shared" si="14"/>
        <v>67.136610165888101</v>
      </c>
      <c r="CQ12">
        <f t="shared" si="15"/>
        <v>73.01524160183601</v>
      </c>
      <c r="CR12">
        <f t="shared" si="16"/>
        <v>58.9757293074627</v>
      </c>
    </row>
    <row r="13" spans="1:96" x14ac:dyDescent="0.2">
      <c r="A13" t="s">
        <v>278</v>
      </c>
      <c r="B13">
        <v>1.6257416907764399</v>
      </c>
      <c r="C13">
        <v>2.0331584755871299</v>
      </c>
      <c r="D13">
        <v>2.57674452490873</v>
      </c>
      <c r="E13">
        <v>0.88481935654382804</v>
      </c>
      <c r="F13">
        <v>1.3145007930519199</v>
      </c>
      <c r="G13">
        <v>0.67959999999999998</v>
      </c>
      <c r="H13">
        <v>1.1975817443550301</v>
      </c>
      <c r="I13">
        <v>1.72896703821269</v>
      </c>
      <c r="J13">
        <v>1.3958036591604199</v>
      </c>
      <c r="K13">
        <v>1.3682090917788701</v>
      </c>
      <c r="L13">
        <v>0.94932104791045502</v>
      </c>
      <c r="M13">
        <v>1.1532828704642999</v>
      </c>
      <c r="N13">
        <v>2.11699588535626</v>
      </c>
      <c r="O13">
        <v>0.578223203142328</v>
      </c>
      <c r="P13">
        <v>0.49808504211369498</v>
      </c>
      <c r="Q13">
        <v>1.8613042992988</v>
      </c>
      <c r="R13">
        <v>1.5923168552678399</v>
      </c>
      <c r="S13">
        <v>1.12328910137327</v>
      </c>
      <c r="T13">
        <v>1.31328253859246</v>
      </c>
      <c r="U13">
        <v>0.77109557540611795</v>
      </c>
      <c r="V13">
        <v>1.0441891519064499</v>
      </c>
      <c r="W13">
        <v>2.1059027482304402</v>
      </c>
      <c r="X13">
        <v>0.82312589338713305</v>
      </c>
      <c r="Y13">
        <v>0.91919139973562403</v>
      </c>
      <c r="Z13">
        <v>0.63515766416387998</v>
      </c>
      <c r="AA13">
        <v>0.70733602218684299</v>
      </c>
      <c r="AB13">
        <v>1.0663152414325401</v>
      </c>
      <c r="AC13">
        <v>1.7170669869417099</v>
      </c>
      <c r="AD13">
        <v>1.56057449901516</v>
      </c>
      <c r="AE13">
        <v>0.89234336289733795</v>
      </c>
      <c r="AF13">
        <v>1.40660231287611</v>
      </c>
      <c r="AG13">
        <v>1.46257547257253</v>
      </c>
      <c r="AH13">
        <v>2.3594547769329801</v>
      </c>
      <c r="AI13">
        <v>0.91713241766222298</v>
      </c>
      <c r="AJ13">
        <v>1.39837261243246</v>
      </c>
      <c r="AK13">
        <v>1.24879241780454</v>
      </c>
      <c r="AL13">
        <v>1.79856449407707</v>
      </c>
      <c r="AM13">
        <v>1.29425248944422</v>
      </c>
      <c r="AN13">
        <v>2.1663723203122101</v>
      </c>
      <c r="AO13">
        <v>1.8115715661882701</v>
      </c>
      <c r="AP13">
        <v>6.2892396804860402</v>
      </c>
      <c r="AQ13">
        <v>1.8387282465597601</v>
      </c>
      <c r="AR13">
        <v>2.5052983205802799</v>
      </c>
      <c r="AS13">
        <v>1.39669714059741</v>
      </c>
      <c r="AT13">
        <v>1.5706901932047199</v>
      </c>
      <c r="AU13">
        <v>1.5277410456970499</v>
      </c>
      <c r="AV13">
        <v>2.1361645297692999</v>
      </c>
      <c r="AW13">
        <v>1.5332172271562401</v>
      </c>
      <c r="AX13">
        <v>0.94273305169245203</v>
      </c>
      <c r="AY13">
        <v>1.90184007257966</v>
      </c>
      <c r="AZ13">
        <v>0.88723258776196801</v>
      </c>
      <c r="BA13">
        <v>4.2938682189394397</v>
      </c>
      <c r="BB13">
        <v>1.68520446727491</v>
      </c>
      <c r="BC13">
        <v>1.6326030001013301</v>
      </c>
      <c r="BD13">
        <v>2.2467540116174902</v>
      </c>
      <c r="BE13">
        <v>2.5787472707538099</v>
      </c>
      <c r="BF13">
        <v>1.6232738860521301</v>
      </c>
      <c r="BG13">
        <v>1.2552426972708099</v>
      </c>
      <c r="BH13">
        <v>5.06985512178432</v>
      </c>
      <c r="BI13">
        <v>0.67557482345657405</v>
      </c>
      <c r="BJ13">
        <v>1.13276842437923</v>
      </c>
      <c r="BK13">
        <v>0.94448530846910494</v>
      </c>
      <c r="BL13">
        <v>2.5387531194648498</v>
      </c>
      <c r="BM13">
        <v>1.6804590019474801</v>
      </c>
      <c r="BN13">
        <v>1.28081610631482</v>
      </c>
      <c r="BO13">
        <v>0.62344042752241302</v>
      </c>
      <c r="BP13">
        <v>0.60502884714885896</v>
      </c>
      <c r="BQ13">
        <v>1.5394555225691999</v>
      </c>
      <c r="BR13">
        <v>2.37531085587807</v>
      </c>
      <c r="BS13">
        <v>1.53681457669933</v>
      </c>
      <c r="BT13">
        <v>1.36649010586671</v>
      </c>
      <c r="BU13">
        <v>1.60008439705395</v>
      </c>
      <c r="BV13">
        <v>2.7066692767051799</v>
      </c>
      <c r="BW13">
        <v>0.75842385057486394</v>
      </c>
      <c r="BX13">
        <v>1.1528782627665399</v>
      </c>
      <c r="BY13">
        <v>7.2026781889681599</v>
      </c>
      <c r="BZ13">
        <v>1.53599267962483</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30D6-17F6-8F4C-BBE2-F79EFEB77555}">
  <dimension ref="A1:S18"/>
  <sheetViews>
    <sheetView workbookViewId="0">
      <selection sqref="A1:S1"/>
    </sheetView>
  </sheetViews>
  <sheetFormatPr baseColWidth="10" defaultRowHeight="15" x14ac:dyDescent="0.2"/>
  <sheetData>
    <row r="1" spans="1:19" x14ac:dyDescent="0.2">
      <c r="A1" t="s">
        <v>250</v>
      </c>
      <c r="B1" t="s">
        <v>259</v>
      </c>
      <c r="C1" t="s">
        <v>257</v>
      </c>
      <c r="D1" t="s">
        <v>253</v>
      </c>
      <c r="E1" t="s">
        <v>260</v>
      </c>
      <c r="F1" t="s">
        <v>254</v>
      </c>
      <c r="G1" t="s">
        <v>331</v>
      </c>
      <c r="H1" t="s">
        <v>261</v>
      </c>
      <c r="I1" t="s">
        <v>255</v>
      </c>
      <c r="J1" t="s">
        <v>256</v>
      </c>
      <c r="K1" t="s">
        <v>262</v>
      </c>
      <c r="L1" t="s">
        <v>263</v>
      </c>
      <c r="M1" t="s">
        <v>264</v>
      </c>
      <c r="N1" t="s">
        <v>265</v>
      </c>
      <c r="O1" t="s">
        <v>266</v>
      </c>
      <c r="P1" t="s">
        <v>267</v>
      </c>
      <c r="Q1" t="s">
        <v>268</v>
      </c>
      <c r="R1" t="s">
        <v>269</v>
      </c>
      <c r="S1" t="s">
        <v>270</v>
      </c>
    </row>
    <row r="2" spans="1:19" x14ac:dyDescent="0.2">
      <c r="A2">
        <v>-80</v>
      </c>
      <c r="B2">
        <v>0.44959639093821036</v>
      </c>
      <c r="C2">
        <v>16.156071008438449</v>
      </c>
      <c r="D2">
        <v>2.3566051602852554</v>
      </c>
      <c r="E2">
        <v>0.42999309311586753</v>
      </c>
      <c r="F2">
        <v>7.7301656298375008</v>
      </c>
      <c r="G2">
        <v>2.2315066036335374</v>
      </c>
      <c r="H2">
        <v>-0.49774520438401249</v>
      </c>
      <c r="I2">
        <v>3.9562152046795136</v>
      </c>
      <c r="J2">
        <v>0.9324888663540698</v>
      </c>
      <c r="K2">
        <v>-1.9052312475336119E-2</v>
      </c>
      <c r="L2">
        <v>5.8692854342129239</v>
      </c>
      <c r="M2">
        <v>-3.3991806332842156</v>
      </c>
      <c r="N2">
        <v>2.1838518073356643</v>
      </c>
      <c r="O2">
        <v>8.2790982402196782</v>
      </c>
      <c r="P2">
        <v>-2.1325476008701072</v>
      </c>
      <c r="Q2">
        <v>-1.0698064506487859</v>
      </c>
      <c r="R2">
        <v>1.6162305814777211</v>
      </c>
      <c r="S2">
        <v>-2.0466929985920097</v>
      </c>
    </row>
    <row r="3" spans="1:19" x14ac:dyDescent="0.2">
      <c r="A3">
        <f>A2+10</f>
        <v>-70</v>
      </c>
      <c r="B3">
        <v>1.0663552072741718</v>
      </c>
      <c r="C3">
        <v>13.30951920308784</v>
      </c>
      <c r="D3">
        <v>1.9413929053994721</v>
      </c>
      <c r="E3">
        <v>-0.42999309311586753</v>
      </c>
      <c r="F3">
        <v>8.1139022480427787</v>
      </c>
      <c r="G3">
        <v>2.2503915845708287</v>
      </c>
      <c r="H3">
        <v>-0.60694700984947136</v>
      </c>
      <c r="I3">
        <v>5.4986547601571054</v>
      </c>
      <c r="J3">
        <v>1.2960453561035929</v>
      </c>
      <c r="K3">
        <v>1.7013826134819796</v>
      </c>
      <c r="L3">
        <v>5.9089961071628805</v>
      </c>
      <c r="M3">
        <v>-2.0611954151224996</v>
      </c>
      <c r="N3">
        <v>-1.6349321200340881</v>
      </c>
      <c r="O3">
        <v>5.0227605810173763</v>
      </c>
      <c r="P3">
        <v>-2.6118734205762406</v>
      </c>
      <c r="Q3">
        <v>-0.23643559257981228</v>
      </c>
      <c r="R3">
        <v>2.3460626001630045</v>
      </c>
      <c r="S3">
        <v>-2.7661793259248166</v>
      </c>
    </row>
    <row r="4" spans="1:19" x14ac:dyDescent="0.2">
      <c r="A4">
        <f t="shared" ref="A4:A18" si="0">A3+10</f>
        <v>-60</v>
      </c>
      <c r="B4">
        <v>-3.5167215037038555</v>
      </c>
      <c r="C4">
        <v>6.9666689807715247</v>
      </c>
      <c r="D4">
        <v>1.0161931116488843</v>
      </c>
      <c r="E4">
        <v>-0.85160338339894626</v>
      </c>
      <c r="F4">
        <v>8.988738995436055</v>
      </c>
      <c r="G4">
        <v>2.5948254393451466</v>
      </c>
      <c r="H4">
        <v>0.49774520438401293</v>
      </c>
      <c r="I4">
        <v>5.0692696853200152</v>
      </c>
      <c r="J4">
        <v>1.1948383233843929</v>
      </c>
      <c r="K4">
        <v>-1.5349731007744627</v>
      </c>
      <c r="L4">
        <v>4.4729825402952335</v>
      </c>
      <c r="M4">
        <v>-4.8148975594058641</v>
      </c>
      <c r="N4">
        <v>-1.7117938990437458</v>
      </c>
      <c r="O4">
        <v>3.57790380189171</v>
      </c>
      <c r="P4">
        <v>-2.7917054860309918</v>
      </c>
      <c r="Q4">
        <v>0.23643559257981228</v>
      </c>
      <c r="R4">
        <v>3.6563737917469679</v>
      </c>
      <c r="S4">
        <v>-2.0699657517703161</v>
      </c>
    </row>
    <row r="5" spans="1:19" x14ac:dyDescent="0.2">
      <c r="A5">
        <f t="shared" si="0"/>
        <v>-50</v>
      </c>
      <c r="B5">
        <v>-0.44959639093821036</v>
      </c>
      <c r="C5">
        <v>13.442556953167381</v>
      </c>
      <c r="D5">
        <v>1.9607984556837235</v>
      </c>
      <c r="E5">
        <v>1.1095527346191316</v>
      </c>
      <c r="F5">
        <v>8.4262355856232052</v>
      </c>
      <c r="G5">
        <v>2.432444691807381</v>
      </c>
      <c r="H5">
        <v>0.8765221352115895</v>
      </c>
      <c r="I5">
        <v>3.670222158418627</v>
      </c>
      <c r="J5">
        <v>0.89015962521426073</v>
      </c>
      <c r="K5">
        <v>1.9052312475336564E-2</v>
      </c>
      <c r="L5">
        <v>5.7983008462633565</v>
      </c>
      <c r="M5">
        <v>-3.4841549433729737</v>
      </c>
      <c r="N5">
        <v>1.6349321200340881</v>
      </c>
      <c r="O5">
        <v>6.535923902847502</v>
      </c>
      <c r="P5">
        <v>-2.9869101001427394</v>
      </c>
      <c r="Q5">
        <v>1.9245211646531868</v>
      </c>
      <c r="R5">
        <v>3.099551368726142</v>
      </c>
      <c r="S5">
        <v>-1.6529707002411396</v>
      </c>
    </row>
    <row r="6" spans="1:19" x14ac:dyDescent="0.2">
      <c r="A6">
        <f t="shared" si="0"/>
        <v>-40</v>
      </c>
      <c r="B6">
        <v>-2.7755460084031727</v>
      </c>
      <c r="C6">
        <v>11.61286784337311</v>
      </c>
      <c r="D6">
        <v>1.6939108692397917</v>
      </c>
      <c r="E6">
        <v>0.23386335585866558</v>
      </c>
      <c r="F6">
        <v>11.159238654314915</v>
      </c>
      <c r="G6">
        <v>2.9824319815493356</v>
      </c>
      <c r="H6">
        <v>0.40240422226882044</v>
      </c>
      <c r="I6">
        <v>5.4887033243556917</v>
      </c>
      <c r="J6">
        <v>1.2936997801910188</v>
      </c>
      <c r="K6">
        <v>-0.39458671202695239</v>
      </c>
      <c r="L6">
        <v>5.9619770828309155</v>
      </c>
      <c r="M6">
        <v>-4.7450472167805779</v>
      </c>
      <c r="N6">
        <v>1.3078890986289755</v>
      </c>
      <c r="O6">
        <v>9.6378097876112552</v>
      </c>
      <c r="P6">
        <v>-2.4892327438263973</v>
      </c>
      <c r="Q6">
        <v>-4.0626873352854975E-2</v>
      </c>
      <c r="R6">
        <v>3.7777034059829582</v>
      </c>
      <c r="S6">
        <v>-2.6387251536354781</v>
      </c>
    </row>
    <row r="7" spans="1:19" x14ac:dyDescent="0.2">
      <c r="A7">
        <f t="shared" si="0"/>
        <v>-30</v>
      </c>
      <c r="B7">
        <v>-21.717926193329223</v>
      </c>
      <c r="C7">
        <v>24.785011611188676</v>
      </c>
      <c r="D7">
        <v>3.6152655079412543</v>
      </c>
      <c r="E7">
        <v>-5.4390133738597042</v>
      </c>
      <c r="F7">
        <v>17.550644869375496</v>
      </c>
      <c r="G7">
        <v>4.6906071441532147</v>
      </c>
      <c r="H7">
        <v>-4.8347399078346314</v>
      </c>
      <c r="I7">
        <v>6.1822578162614441</v>
      </c>
      <c r="J7">
        <v>1.4571721416406682</v>
      </c>
      <c r="K7">
        <v>-11.71263879482941</v>
      </c>
      <c r="L7">
        <v>-3.7166635731083528</v>
      </c>
      <c r="M7">
        <v>-22.131914952431369</v>
      </c>
      <c r="N7">
        <v>-3.7188094868247146</v>
      </c>
      <c r="O7">
        <v>7.6946557786395786</v>
      </c>
      <c r="P7">
        <v>-7.308759788004819</v>
      </c>
      <c r="Q7">
        <v>-4.1764634896214927</v>
      </c>
      <c r="R7">
        <v>0.83555013868008232</v>
      </c>
      <c r="S7">
        <v>-7.9361967962956532</v>
      </c>
    </row>
    <row r="8" spans="1:19" x14ac:dyDescent="0.2">
      <c r="A8">
        <f t="shared" si="0"/>
        <v>-20</v>
      </c>
      <c r="B8">
        <v>-91.795251290944563</v>
      </c>
      <c r="C8">
        <v>92.136283446664137</v>
      </c>
      <c r="D8">
        <v>13.439458201595269</v>
      </c>
      <c r="E8">
        <v>-41.992594105073408</v>
      </c>
      <c r="F8">
        <v>48.46739133943187</v>
      </c>
      <c r="G8">
        <v>12.953455201632044</v>
      </c>
      <c r="H8">
        <v>-21.348281165990375</v>
      </c>
      <c r="I8">
        <v>15.228558259429644</v>
      </c>
      <c r="J8">
        <v>3.5894056043123697</v>
      </c>
      <c r="K8">
        <v>-48.048244080461643</v>
      </c>
      <c r="L8">
        <v>-20.950535733036336</v>
      </c>
      <c r="M8">
        <v>-147.3745869932356</v>
      </c>
      <c r="N8">
        <v>-26.876777015790299</v>
      </c>
      <c r="O8">
        <v>-8.1210778023010519</v>
      </c>
      <c r="P8">
        <v>-41.563757584605426</v>
      </c>
      <c r="Q8">
        <v>-15.81796739982477</v>
      </c>
      <c r="R8">
        <v>-9.3885214560929899</v>
      </c>
      <c r="S8">
        <v>-27.343224206019549</v>
      </c>
    </row>
    <row r="9" spans="1:19" x14ac:dyDescent="0.2">
      <c r="A9">
        <f t="shared" si="0"/>
        <v>-10</v>
      </c>
      <c r="B9">
        <v>-189.2007479273332</v>
      </c>
      <c r="C9">
        <v>186.29938251242135</v>
      </c>
      <c r="D9">
        <v>27.174557846237345</v>
      </c>
      <c r="E9">
        <v>-89.808326118934829</v>
      </c>
      <c r="F9">
        <v>80.608888203076788</v>
      </c>
      <c r="G9">
        <v>21.543631570334078</v>
      </c>
      <c r="H9">
        <v>-48.275019642624905</v>
      </c>
      <c r="I9">
        <v>31.534980116615476</v>
      </c>
      <c r="J9">
        <v>7.6483561130916664</v>
      </c>
      <c r="K9">
        <v>-125.75613346791452</v>
      </c>
      <c r="L9">
        <v>-50.100716284018688</v>
      </c>
      <c r="M9">
        <v>-212.92194599504919</v>
      </c>
      <c r="N9">
        <v>-59.459665368816673</v>
      </c>
      <c r="O9">
        <v>-21.446167200921806</v>
      </c>
      <c r="P9">
        <v>-151.98960542276495</v>
      </c>
      <c r="Q9">
        <v>-35.409993807800916</v>
      </c>
      <c r="R9">
        <v>-21.449159944226349</v>
      </c>
      <c r="S9">
        <v>-69.913513885046214</v>
      </c>
    </row>
    <row r="10" spans="1:19" x14ac:dyDescent="0.2">
      <c r="A10">
        <f t="shared" si="0"/>
        <v>0</v>
      </c>
      <c r="B10">
        <v>-238.64158468347026</v>
      </c>
      <c r="C10">
        <v>227.25610272656175</v>
      </c>
      <c r="D10">
        <v>33.148709492054586</v>
      </c>
      <c r="E10">
        <v>-124.9207983474675</v>
      </c>
      <c r="F10">
        <v>105.87622026958478</v>
      </c>
      <c r="G10">
        <v>28.296610118242629</v>
      </c>
      <c r="H10">
        <v>-67.066043908794498</v>
      </c>
      <c r="I10">
        <v>35.876706743005037</v>
      </c>
      <c r="J10">
        <v>8.456220874873333</v>
      </c>
      <c r="K10">
        <v>-172.26004170620214</v>
      </c>
      <c r="L10">
        <v>-80.828370309909772</v>
      </c>
      <c r="M10">
        <v>-304.72037228045843</v>
      </c>
      <c r="N10">
        <v>-82.470285047818535</v>
      </c>
      <c r="O10">
        <v>-31.928663390149371</v>
      </c>
      <c r="P10">
        <v>-204.300645751003</v>
      </c>
      <c r="Q10">
        <v>-63.513216431628948</v>
      </c>
      <c r="R10">
        <v>-34.171803230080769</v>
      </c>
      <c r="S10">
        <v>-98.074316696122651</v>
      </c>
    </row>
    <row r="11" spans="1:19" x14ac:dyDescent="0.2">
      <c r="A11">
        <f t="shared" si="0"/>
        <v>10</v>
      </c>
      <c r="B11">
        <v>-251.84253355785509</v>
      </c>
      <c r="C11">
        <v>229.6471691789051</v>
      </c>
      <c r="D11">
        <v>33.497482379796544</v>
      </c>
      <c r="E11">
        <v>-134.6027544119332</v>
      </c>
      <c r="F11">
        <v>112.32499112333544</v>
      </c>
      <c r="G11">
        <v>30.020116625424674</v>
      </c>
      <c r="H11">
        <v>-73.792520369972578</v>
      </c>
      <c r="I11">
        <v>35.104401878962463</v>
      </c>
      <c r="J11">
        <v>8.2741868727040462</v>
      </c>
      <c r="K11">
        <v>-197.22675266503276</v>
      </c>
      <c r="L11">
        <v>-87.511318162251669</v>
      </c>
      <c r="M11">
        <v>-328.75149116598931</v>
      </c>
      <c r="N11">
        <v>-91.80495100557097</v>
      </c>
      <c r="O11">
        <v>-38.967705529577032</v>
      </c>
      <c r="P11">
        <v>-208.77532280426101</v>
      </c>
      <c r="Q11">
        <v>-71.888775692094271</v>
      </c>
      <c r="R11">
        <v>-44.216774891307779</v>
      </c>
      <c r="S11">
        <v>-105.52691517387234</v>
      </c>
    </row>
    <row r="12" spans="1:19" x14ac:dyDescent="0.2">
      <c r="A12">
        <f t="shared" si="0"/>
        <v>20</v>
      </c>
      <c r="B12">
        <v>-227.49318727452498</v>
      </c>
      <c r="C12">
        <v>205.66540846687499</v>
      </c>
      <c r="D12">
        <v>29.999383057431732</v>
      </c>
      <c r="E12">
        <v>-127.0267527893899</v>
      </c>
      <c r="F12">
        <v>106.87657840062555</v>
      </c>
      <c r="G12">
        <v>28.563967074701775</v>
      </c>
      <c r="H12">
        <v>-67.126874846171987</v>
      </c>
      <c r="I12">
        <v>31.442492842013412</v>
      </c>
      <c r="J12">
        <v>7.4110666353323884</v>
      </c>
      <c r="K12">
        <v>-163.9078397129168</v>
      </c>
      <c r="L12">
        <v>-92.651743062912871</v>
      </c>
      <c r="M12">
        <v>-278.95675073575461</v>
      </c>
      <c r="N12">
        <v>-84.537504399178204</v>
      </c>
      <c r="O12">
        <v>-38.455088583453843</v>
      </c>
      <c r="P12">
        <v>-189.64173445008083</v>
      </c>
      <c r="Q12">
        <v>-62.204332391020358</v>
      </c>
      <c r="R12">
        <v>-41.929787921077875</v>
      </c>
      <c r="S12">
        <v>-93.136292903221715</v>
      </c>
    </row>
    <row r="13" spans="1:19" x14ac:dyDescent="0.2">
      <c r="A13">
        <f t="shared" si="0"/>
        <v>30</v>
      </c>
      <c r="B13">
        <v>-183.2634090454747</v>
      </c>
      <c r="C13">
        <v>167.43080619736571</v>
      </c>
      <c r="D13">
        <v>24.686325586331076</v>
      </c>
      <c r="E13">
        <v>-107.61805219075774</v>
      </c>
      <c r="F13">
        <v>94.398668391437027</v>
      </c>
      <c r="G13">
        <v>25.229105349174581</v>
      </c>
      <c r="H13">
        <v>-54.477958612996979</v>
      </c>
      <c r="I13">
        <v>24.941791367848229</v>
      </c>
      <c r="J13">
        <v>6.0492729589268848</v>
      </c>
      <c r="K13">
        <v>-127.77097090280915</v>
      </c>
      <c r="L13">
        <v>-71.252368566676125</v>
      </c>
      <c r="M13">
        <v>-235.43669000390912</v>
      </c>
      <c r="N13">
        <v>-69.518001518270253</v>
      </c>
      <c r="O13">
        <v>-30.761279946915355</v>
      </c>
      <c r="P13">
        <v>-153.3287215425454</v>
      </c>
      <c r="Q13">
        <v>-57.117822803418846</v>
      </c>
      <c r="R13">
        <v>-36.113723611631208</v>
      </c>
      <c r="S13">
        <v>-71.642797648416604</v>
      </c>
    </row>
    <row r="14" spans="1:19" x14ac:dyDescent="0.2">
      <c r="A14">
        <f t="shared" si="0"/>
        <v>40</v>
      </c>
      <c r="B14">
        <v>-136.11460136431594</v>
      </c>
      <c r="C14">
        <v>129.1729598015483</v>
      </c>
      <c r="D14">
        <v>19.045513875458173</v>
      </c>
      <c r="E14">
        <v>-82.562008235598569</v>
      </c>
      <c r="F14">
        <v>73.343574996399639</v>
      </c>
      <c r="G14">
        <v>19.601894939834803</v>
      </c>
      <c r="H14">
        <v>-38.824049088465515</v>
      </c>
      <c r="I14">
        <v>17.49044487271604</v>
      </c>
      <c r="J14">
        <v>4.2420559793677102</v>
      </c>
      <c r="K14">
        <v>-92.36198358252895</v>
      </c>
      <c r="L14">
        <v>-47.247619762181756</v>
      </c>
      <c r="M14">
        <v>-173.42022099781059</v>
      </c>
      <c r="N14">
        <v>-56.343486279601251</v>
      </c>
      <c r="O14">
        <v>-23.838848646577855</v>
      </c>
      <c r="P14">
        <v>-114.06728105429995</v>
      </c>
      <c r="Q14">
        <v>-41.343226682411292</v>
      </c>
      <c r="R14">
        <v>-24.162701519494167</v>
      </c>
      <c r="S14">
        <v>-56.278308057414947</v>
      </c>
    </row>
    <row r="15" spans="1:19" x14ac:dyDescent="0.2">
      <c r="A15">
        <f t="shared" si="0"/>
        <v>50</v>
      </c>
      <c r="B15">
        <v>-87.069276932628398</v>
      </c>
      <c r="C15">
        <v>85.30866179684493</v>
      </c>
      <c r="D15">
        <v>12.578075972283358</v>
      </c>
      <c r="E15">
        <v>-56.314771650118615</v>
      </c>
      <c r="F15">
        <v>51.287581277745169</v>
      </c>
      <c r="G15">
        <v>13.70718266697458</v>
      </c>
      <c r="H15">
        <v>-23.067728783395097</v>
      </c>
      <c r="I15">
        <v>12.720009532830639</v>
      </c>
      <c r="J15">
        <v>3.0850554625131927</v>
      </c>
      <c r="K15">
        <v>-58.597876333419862</v>
      </c>
      <c r="L15">
        <v>-25.856723069208186</v>
      </c>
      <c r="M15">
        <v>-122.69099772317222</v>
      </c>
      <c r="N15">
        <v>-39.986260158401606</v>
      </c>
      <c r="O15">
        <v>-12.893202292485011</v>
      </c>
      <c r="P15">
        <v>-78.289936071938016</v>
      </c>
      <c r="Q15">
        <v>-23.598187252633647</v>
      </c>
      <c r="R15">
        <v>-8.9377048376724204</v>
      </c>
      <c r="S15">
        <v>-31.855934948117199</v>
      </c>
    </row>
    <row r="16" spans="1:19" x14ac:dyDescent="0.2">
      <c r="A16">
        <f t="shared" si="0"/>
        <v>60</v>
      </c>
      <c r="B16">
        <v>-39.475551830347293</v>
      </c>
      <c r="C16">
        <v>55.391580412754394</v>
      </c>
      <c r="D16">
        <v>8.1670429705677918</v>
      </c>
      <c r="E16">
        <v>-34.079541160250834</v>
      </c>
      <c r="F16">
        <v>32.280849310496215</v>
      </c>
      <c r="G16">
        <v>8.9530967234246521</v>
      </c>
      <c r="H16">
        <v>-8.3294554499911264</v>
      </c>
      <c r="I16">
        <v>14.06452101921596</v>
      </c>
      <c r="J16">
        <v>3.4111473962321854</v>
      </c>
      <c r="K16">
        <v>-20.981242492219479</v>
      </c>
      <c r="L16">
        <v>-11.049663749557261</v>
      </c>
      <c r="M16">
        <v>-42.473072243160331</v>
      </c>
      <c r="N16">
        <v>-23.883166724281303</v>
      </c>
      <c r="O16">
        <v>-5.5715607364972506</v>
      </c>
      <c r="P16">
        <v>-50.059803998749615</v>
      </c>
      <c r="Q16">
        <v>-8.4295853020322031</v>
      </c>
      <c r="R16">
        <v>-2.3414744168512884</v>
      </c>
      <c r="S16">
        <v>-17.953663450748813</v>
      </c>
    </row>
    <row r="17" spans="1:19" x14ac:dyDescent="0.2">
      <c r="A17">
        <f>A16+10</f>
        <v>70</v>
      </c>
      <c r="B17">
        <v>5.6865027419568266</v>
      </c>
      <c r="C17">
        <v>53.750912314828838</v>
      </c>
      <c r="D17">
        <v>7.9251396568087138</v>
      </c>
      <c r="E17">
        <v>-3.4154382217324022</v>
      </c>
      <c r="F17">
        <v>21.865555977265934</v>
      </c>
      <c r="G17">
        <v>5.8438156455897277</v>
      </c>
      <c r="H17">
        <v>4.726118608691209</v>
      </c>
      <c r="I17">
        <v>17.097798238578761</v>
      </c>
      <c r="J17">
        <v>4.1468251825388132</v>
      </c>
      <c r="K17">
        <v>8.597661045781674</v>
      </c>
      <c r="L17">
        <v>21.186318956763195</v>
      </c>
      <c r="M17">
        <v>-3.3674549826158002</v>
      </c>
      <c r="N17">
        <v>0.99385280542439247</v>
      </c>
      <c r="O17">
        <v>9.6209672827635853</v>
      </c>
      <c r="P17">
        <v>-13.567176713089593</v>
      </c>
      <c r="Q17">
        <v>0.84708130497203116</v>
      </c>
      <c r="R17">
        <v>20.150462546294772</v>
      </c>
      <c r="S17">
        <v>-5.621646732804721</v>
      </c>
    </row>
    <row r="18" spans="1:19" x14ac:dyDescent="0.2">
      <c r="A18">
        <f t="shared" si="0"/>
        <v>80</v>
      </c>
      <c r="B18">
        <v>38.484603431459306</v>
      </c>
      <c r="C18">
        <v>75.041071598177865</v>
      </c>
      <c r="D18">
        <v>11.064202388395037</v>
      </c>
      <c r="E18">
        <v>13.029878871151112</v>
      </c>
      <c r="F18">
        <v>17.903156720618554</v>
      </c>
      <c r="G18">
        <v>5.1681961759965906</v>
      </c>
      <c r="H18">
        <v>14.478211489171766</v>
      </c>
      <c r="I18">
        <v>19.629036385839679</v>
      </c>
      <c r="J18">
        <v>4.7607406087005488</v>
      </c>
      <c r="K18">
        <v>22.339858865711854</v>
      </c>
      <c r="L18">
        <v>46.61713787500419</v>
      </c>
      <c r="M18">
        <v>9.8720765412842262</v>
      </c>
      <c r="N18">
        <v>11.375224007331989</v>
      </c>
      <c r="O18">
        <v>24.669846657023868</v>
      </c>
      <c r="P18">
        <v>4.4217157061793078</v>
      </c>
      <c r="Q18">
        <v>10.463942027747603</v>
      </c>
      <c r="R18">
        <v>35.189297790216919</v>
      </c>
      <c r="S18">
        <v>0.35166463030921435</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1A5C-0E99-CC49-9EB5-DB3B60AB8BF6}">
  <dimension ref="A1:Y168"/>
  <sheetViews>
    <sheetView workbookViewId="0">
      <selection activeCell="A7" sqref="A7:Y168"/>
    </sheetView>
  </sheetViews>
  <sheetFormatPr baseColWidth="10" defaultRowHeight="15" x14ac:dyDescent="0.2"/>
  <cols>
    <col min="3" max="4" width="12.33203125" bestFit="1" customWidth="1"/>
  </cols>
  <sheetData>
    <row r="1" spans="1:25" x14ac:dyDescent="0.2">
      <c r="A1" t="s">
        <v>290</v>
      </c>
      <c r="B1" t="s">
        <v>280</v>
      </c>
      <c r="C1" t="s">
        <v>291</v>
      </c>
      <c r="D1" t="s">
        <v>292</v>
      </c>
      <c r="E1" t="s">
        <v>293</v>
      </c>
      <c r="F1" t="s">
        <v>294</v>
      </c>
      <c r="G1" t="s">
        <v>260</v>
      </c>
      <c r="H1" t="s">
        <v>319</v>
      </c>
      <c r="I1" t="s">
        <v>320</v>
      </c>
      <c r="J1" t="s">
        <v>321</v>
      </c>
      <c r="K1" t="s">
        <v>322</v>
      </c>
      <c r="L1" t="s">
        <v>281</v>
      </c>
      <c r="M1" t="s">
        <v>323</v>
      </c>
      <c r="N1" t="s">
        <v>324</v>
      </c>
      <c r="O1" t="s">
        <v>325</v>
      </c>
      <c r="P1" t="s">
        <v>326</v>
      </c>
      <c r="Q1" t="s">
        <v>284</v>
      </c>
      <c r="R1" t="s">
        <v>285</v>
      </c>
      <c r="S1" t="s">
        <v>286</v>
      </c>
      <c r="T1" t="s">
        <v>265</v>
      </c>
      <c r="U1" t="s">
        <v>266</v>
      </c>
      <c r="V1" t="s">
        <v>267</v>
      </c>
      <c r="W1" t="s">
        <v>287</v>
      </c>
      <c r="X1" t="s">
        <v>288</v>
      </c>
      <c r="Y1" t="s">
        <v>289</v>
      </c>
    </row>
    <row r="2" spans="1:25" x14ac:dyDescent="0.2">
      <c r="A2" t="s">
        <v>271</v>
      </c>
      <c r="B2">
        <v>-9.2765487758382985</v>
      </c>
      <c r="C2">
        <v>7.2262720831571166</v>
      </c>
      <c r="E2">
        <v>1.0654556916482087</v>
      </c>
      <c r="G2">
        <v>-7.1919153661510205</v>
      </c>
      <c r="H2">
        <v>4.983539521874599</v>
      </c>
      <c r="J2">
        <v>1.331906961735855</v>
      </c>
      <c r="L2">
        <v>-6.4885070281191535</v>
      </c>
      <c r="M2">
        <v>4.9100584730631498</v>
      </c>
      <c r="O2">
        <v>1.1908641007293137</v>
      </c>
      <c r="Q2">
        <v>-8.1721269131155907</v>
      </c>
      <c r="R2">
        <v>-5.6810478004410605</v>
      </c>
      <c r="S2">
        <v>-13.70722145712825</v>
      </c>
      <c r="T2">
        <v>-5.563749042826565</v>
      </c>
      <c r="U2">
        <v>-3.5813526679454699</v>
      </c>
      <c r="V2">
        <v>-11.573156680117851</v>
      </c>
      <c r="W2">
        <v>-5.7989916109374304</v>
      </c>
      <c r="X2">
        <v>-3.9646972401995999</v>
      </c>
      <c r="Y2">
        <v>-10.054493551395559</v>
      </c>
    </row>
    <row r="3" spans="1:25" x14ac:dyDescent="0.2">
      <c r="A3" t="s">
        <v>273</v>
      </c>
      <c r="B3">
        <v>-6.381815015886537</v>
      </c>
      <c r="C3">
        <v>1.5860628044598812</v>
      </c>
      <c r="E3">
        <v>0.233852202474087</v>
      </c>
      <c r="G3">
        <v>-6.7866513579472345</v>
      </c>
      <c r="H3">
        <v>0.87937404839629407</v>
      </c>
      <c r="J3">
        <v>0.23502260027994995</v>
      </c>
      <c r="L3">
        <v>-7.322946135601117</v>
      </c>
      <c r="M3">
        <v>1.0782362729301762</v>
      </c>
      <c r="O3">
        <v>0.26151070839196638</v>
      </c>
      <c r="Q3">
        <v>-6.3004307822868801</v>
      </c>
      <c r="R3">
        <v>-5.3888833352222623</v>
      </c>
      <c r="S3">
        <v>-7.1969496884852795</v>
      </c>
      <c r="T3">
        <v>-7.0246447917357404</v>
      </c>
      <c r="U3">
        <v>-5.8795054696692652</v>
      </c>
      <c r="V3">
        <v>-7.3910732536407053</v>
      </c>
      <c r="W3">
        <v>-7.1690110741791102</v>
      </c>
      <c r="X3">
        <v>-6.7191973855648897</v>
      </c>
      <c r="Y3">
        <v>-8.0570774438663264</v>
      </c>
    </row>
    <row r="4" spans="1:25" x14ac:dyDescent="0.2">
      <c r="A4" t="s">
        <v>275</v>
      </c>
      <c r="B4">
        <v>4.4613582102297435</v>
      </c>
      <c r="C4">
        <v>4.1878636994016487</v>
      </c>
      <c r="E4">
        <v>0.61746681594986319</v>
      </c>
      <c r="G4">
        <v>2.3941944833699935</v>
      </c>
      <c r="H4">
        <v>2.0175265588747471</v>
      </c>
      <c r="J4">
        <v>0.53920665371616494</v>
      </c>
      <c r="L4">
        <v>1.4195588896313085</v>
      </c>
      <c r="M4">
        <v>0.77332399850851186</v>
      </c>
      <c r="O4">
        <v>0.18755861933385815</v>
      </c>
      <c r="Q4">
        <v>3.4630613103416747</v>
      </c>
      <c r="R4">
        <v>5.4523229804762057</v>
      </c>
      <c r="S4">
        <v>1.833514267057365</v>
      </c>
      <c r="T4">
        <v>1.71983994323562</v>
      </c>
      <c r="U4">
        <v>3.5804281095791151</v>
      </c>
      <c r="V4">
        <v>0.86691456656918431</v>
      </c>
      <c r="W4">
        <v>1.35132122112598</v>
      </c>
      <c r="X4">
        <v>1.9786031158198649</v>
      </c>
      <c r="Y4">
        <v>0.67631561019433795</v>
      </c>
    </row>
    <row r="5" spans="1:25" x14ac:dyDescent="0.2">
      <c r="A5" t="s">
        <v>277</v>
      </c>
      <c r="B5">
        <v>68.581385292181906</v>
      </c>
      <c r="C5">
        <v>7.4374784798209159</v>
      </c>
      <c r="E5">
        <v>1.0965963759247466</v>
      </c>
      <c r="G5">
        <v>69.265900570209894</v>
      </c>
      <c r="H5">
        <v>5.5735188266179021</v>
      </c>
      <c r="J5">
        <v>1.4895855634241788</v>
      </c>
      <c r="L5">
        <v>67.884379660153797</v>
      </c>
      <c r="M5">
        <v>10.591008094776845</v>
      </c>
      <c r="O5">
        <v>2.5686967680315642</v>
      </c>
      <c r="Q5">
        <v>67.664076082172699</v>
      </c>
      <c r="R5">
        <v>70.020459410258994</v>
      </c>
      <c r="S5">
        <v>65.15505235858295</v>
      </c>
      <c r="T5">
        <v>68.972644402393101</v>
      </c>
      <c r="U5">
        <v>75.095153073994311</v>
      </c>
      <c r="V5">
        <v>62.779048881570745</v>
      </c>
      <c r="W5">
        <v>67.136610165888101</v>
      </c>
      <c r="X5">
        <v>73.01524160183601</v>
      </c>
      <c r="Y5">
        <v>58.9757293074627</v>
      </c>
    </row>
    <row r="6" spans="1:25" x14ac:dyDescent="0.2">
      <c r="A6" t="s">
        <v>327</v>
      </c>
      <c r="B6" t="s">
        <v>295</v>
      </c>
      <c r="C6" t="s">
        <v>296</v>
      </c>
      <c r="D6" t="s">
        <v>297</v>
      </c>
      <c r="E6" t="s">
        <v>298</v>
      </c>
      <c r="F6" t="s">
        <v>299</v>
      </c>
      <c r="G6" t="s">
        <v>300</v>
      </c>
      <c r="H6" t="s">
        <v>301</v>
      </c>
      <c r="I6" t="s">
        <v>302</v>
      </c>
      <c r="J6" t="s">
        <v>303</v>
      </c>
      <c r="K6" t="s">
        <v>304</v>
      </c>
      <c r="L6" t="s">
        <v>305</v>
      </c>
      <c r="M6" t="s">
        <v>306</v>
      </c>
      <c r="N6" t="s">
        <v>307</v>
      </c>
      <c r="O6" t="s">
        <v>308</v>
      </c>
      <c r="P6" t="s">
        <v>309</v>
      </c>
      <c r="Q6" t="s">
        <v>316</v>
      </c>
      <c r="R6" t="s">
        <v>317</v>
      </c>
      <c r="S6" t="s">
        <v>318</v>
      </c>
      <c r="T6" t="s">
        <v>313</v>
      </c>
      <c r="U6" t="s">
        <v>314</v>
      </c>
      <c r="V6" t="s">
        <v>315</v>
      </c>
      <c r="W6" t="s">
        <v>310</v>
      </c>
      <c r="X6" t="s">
        <v>311</v>
      </c>
      <c r="Y6" t="s">
        <v>312</v>
      </c>
    </row>
    <row r="7" spans="1:25" x14ac:dyDescent="0.2">
      <c r="A7" t="s">
        <v>328</v>
      </c>
      <c r="B7" t="s">
        <v>280</v>
      </c>
      <c r="C7" t="s">
        <v>291</v>
      </c>
      <c r="D7" t="s">
        <v>292</v>
      </c>
      <c r="E7" t="s">
        <v>293</v>
      </c>
      <c r="F7" t="s">
        <v>294</v>
      </c>
      <c r="G7" t="s">
        <v>260</v>
      </c>
      <c r="H7" t="s">
        <v>319</v>
      </c>
      <c r="I7" t="s">
        <v>320</v>
      </c>
      <c r="J7" t="s">
        <v>321</v>
      </c>
      <c r="K7" t="s">
        <v>322</v>
      </c>
      <c r="L7" t="s">
        <v>281</v>
      </c>
      <c r="M7" t="s">
        <v>323</v>
      </c>
      <c r="N7" t="s">
        <v>324</v>
      </c>
      <c r="O7" t="s">
        <v>325</v>
      </c>
      <c r="P7" t="s">
        <v>326</v>
      </c>
      <c r="Q7" t="s">
        <v>284</v>
      </c>
      <c r="R7" t="s">
        <v>285</v>
      </c>
      <c r="S7" t="s">
        <v>286</v>
      </c>
      <c r="T7" t="s">
        <v>265</v>
      </c>
      <c r="U7" t="s">
        <v>266</v>
      </c>
      <c r="V7" t="s">
        <v>267</v>
      </c>
      <c r="W7" t="s">
        <v>287</v>
      </c>
      <c r="X7" t="s">
        <v>288</v>
      </c>
      <c r="Y7" t="s">
        <v>289</v>
      </c>
    </row>
    <row r="8" spans="1:25" x14ac:dyDescent="0.2">
      <c r="A8">
        <v>-80</v>
      </c>
      <c r="B8">
        <v>-1.0199087258484689E-2</v>
      </c>
      <c r="C8">
        <v>-2.3986443431724116E-3</v>
      </c>
      <c r="D8">
        <v>-2.1771318059396185E-3</v>
      </c>
      <c r="E8">
        <v>-9.1253196484847848E-3</v>
      </c>
      <c r="F8">
        <v>-1.0985741792990803E-2</v>
      </c>
      <c r="G8">
        <v>-7.8332579712695038E-3</v>
      </c>
      <c r="H8">
        <v>-7.04892126660203E-3</v>
      </c>
      <c r="I8">
        <v>-2.1200023834580819E-3</v>
      </c>
      <c r="J8">
        <v>-8.0839296297722137E-3</v>
      </c>
      <c r="K8">
        <v>-7.1176144450734577E-3</v>
      </c>
      <c r="L8">
        <v>-9.1703469324486055E-3</v>
      </c>
      <c r="M8">
        <v>-5.8886500999431489E-3</v>
      </c>
      <c r="N8">
        <v>-7.8350695316694325E-3</v>
      </c>
      <c r="O8">
        <v>-8.6208204260551976E-3</v>
      </c>
      <c r="P8">
        <v>-9.4484343693780198E-3</v>
      </c>
      <c r="Q8">
        <v>-5.7222772275616375E-3</v>
      </c>
      <c r="R8">
        <v>-8.3812142214306122E-4</v>
      </c>
      <c r="S8">
        <v>-2.6587990488944023E-2</v>
      </c>
      <c r="T8">
        <v>-6.4062930536295465E-3</v>
      </c>
      <c r="U8">
        <v>-1.2583640186794233E-3</v>
      </c>
      <c r="V8">
        <v>-1.1800059438083493E-2</v>
      </c>
      <c r="W8">
        <v>-6.3593382893219743E-3</v>
      </c>
      <c r="X8">
        <v>-3.686004132363438E-3</v>
      </c>
      <c r="Y8">
        <v>-1.5951279920203901E-2</v>
      </c>
    </row>
    <row r="9" spans="1:25" x14ac:dyDescent="0.2">
      <c r="A9">
        <v>-79</v>
      </c>
      <c r="B9">
        <v>-1.1848932596122108E-2</v>
      </c>
      <c r="C9">
        <v>-2.9358325061330697E-3</v>
      </c>
      <c r="D9">
        <v>-2.450751055578322E-3</v>
      </c>
      <c r="E9">
        <v>-1.0665378987672183E-2</v>
      </c>
      <c r="F9">
        <v>-1.2691696381511759E-2</v>
      </c>
      <c r="G9">
        <v>-9.016002996916149E-3</v>
      </c>
      <c r="H9">
        <v>-8.2951927981415804E-3</v>
      </c>
      <c r="I9">
        <v>-2.3985725956215693E-3</v>
      </c>
      <c r="J9">
        <v>-9.3544627198656229E-3</v>
      </c>
      <c r="K9">
        <v>-8.1514419966918512E-3</v>
      </c>
      <c r="L9">
        <v>-1.0441004376366265E-2</v>
      </c>
      <c r="M9">
        <v>-6.8677000232813092E-3</v>
      </c>
      <c r="N9">
        <v>-8.7610794596033187E-3</v>
      </c>
      <c r="O9">
        <v>-9.8662547390976456E-3</v>
      </c>
      <c r="P9">
        <v>-1.0705791487019745E-2</v>
      </c>
      <c r="Q9">
        <v>-6.6611294757430847E-3</v>
      </c>
      <c r="R9">
        <v>-1.0022892422427974E-3</v>
      </c>
      <c r="S9">
        <v>-3.0340379034388434E-2</v>
      </c>
      <c r="T9">
        <v>-7.3367623686190287E-3</v>
      </c>
      <c r="U9">
        <v>-1.4820494011565219E-3</v>
      </c>
      <c r="V9">
        <v>-1.3414827622712282E-2</v>
      </c>
      <c r="W9">
        <v>-7.2615201146647487E-3</v>
      </c>
      <c r="X9">
        <v>-4.2495435647551269E-3</v>
      </c>
      <c r="Y9">
        <v>-1.7928822528474688E-2</v>
      </c>
    </row>
    <row r="10" spans="1:25" x14ac:dyDescent="0.2">
      <c r="A10">
        <v>-78</v>
      </c>
      <c r="B10">
        <v>-1.3765025425834626E-2</v>
      </c>
      <c r="C10">
        <v>-3.593176719344011E-3</v>
      </c>
      <c r="D10">
        <v>-2.758615190373397E-3</v>
      </c>
      <c r="E10">
        <v>-1.2464782041496956E-2</v>
      </c>
      <c r="F10">
        <v>-1.4661874471192141E-2</v>
      </c>
      <c r="G10">
        <v>-1.0376853107163818E-2</v>
      </c>
      <c r="H10">
        <v>-9.7613931710254283E-3</v>
      </c>
      <c r="I10">
        <v>-2.7136118388582852E-3</v>
      </c>
      <c r="J10">
        <v>-1.0824194596828233E-2</v>
      </c>
      <c r="K10">
        <v>-9.3349931248108212E-3</v>
      </c>
      <c r="L10">
        <v>-1.1887163968038459E-2</v>
      </c>
      <c r="M10">
        <v>-8.0092002010132488E-3</v>
      </c>
      <c r="N10">
        <v>-9.7959912990332031E-3</v>
      </c>
      <c r="O10">
        <v>-1.1291099845722017E-2</v>
      </c>
      <c r="P10">
        <v>-1.2129877142617162E-2</v>
      </c>
      <c r="Q10">
        <v>-7.7536558752579598E-3</v>
      </c>
      <c r="R10">
        <v>-1.198559562761737E-3</v>
      </c>
      <c r="S10">
        <v>-3.4620602842205771E-2</v>
      </c>
      <c r="T10">
        <v>-8.401987193048575E-3</v>
      </c>
      <c r="U10">
        <v>-1.7454232023270018E-3</v>
      </c>
      <c r="V10">
        <v>-1.5249778064300116E-2</v>
      </c>
      <c r="W10">
        <v>-8.291297789435435E-3</v>
      </c>
      <c r="X10">
        <v>-4.8990268953931181E-3</v>
      </c>
      <c r="Y10">
        <v>-2.0150410601913037E-2</v>
      </c>
    </row>
    <row r="11" spans="1:25" x14ac:dyDescent="0.2">
      <c r="A11">
        <v>-77</v>
      </c>
      <c r="B11">
        <v>-1.5990217412693717E-2</v>
      </c>
      <c r="C11">
        <v>-4.3975169313094781E-3</v>
      </c>
      <c r="D11">
        <v>-3.1049893853248712E-3</v>
      </c>
      <c r="E11">
        <v>-1.4567095912066381E-2</v>
      </c>
      <c r="F11">
        <v>-1.6937080043689802E-2</v>
      </c>
      <c r="G11">
        <v>-1.1942547759972838E-2</v>
      </c>
      <c r="H11">
        <v>-1.1486252380699362E-2</v>
      </c>
      <c r="I11">
        <v>-3.0698741696995888E-3</v>
      </c>
      <c r="J11">
        <v>-1.252427099196308E-2</v>
      </c>
      <c r="K11">
        <v>-1.0689879766072666E-2</v>
      </c>
      <c r="L11">
        <v>-1.3532977392245822E-2</v>
      </c>
      <c r="M11">
        <v>-9.3400453220319514E-3</v>
      </c>
      <c r="N11">
        <v>-1.0952537403716298E-2</v>
      </c>
      <c r="O11">
        <v>-1.2921116779320858E-2</v>
      </c>
      <c r="P11">
        <v>-1.3742709282170206E-2</v>
      </c>
      <c r="Q11">
        <v>-9.0249443315479055E-3</v>
      </c>
      <c r="R11">
        <v>-1.4331984478305757E-3</v>
      </c>
      <c r="S11">
        <v>-3.9502624429638339E-2</v>
      </c>
      <c r="T11">
        <v>-9.6214201236281653E-3</v>
      </c>
      <c r="U11">
        <v>-2.0555130557291189E-3</v>
      </c>
      <c r="V11">
        <v>-1.7334808225825397E-2</v>
      </c>
      <c r="W11">
        <v>-9.466654055545946E-3</v>
      </c>
      <c r="X11">
        <v>-5.6475249709118866E-3</v>
      </c>
      <c r="Y11">
        <v>-2.2645996061931069E-2</v>
      </c>
    </row>
    <row r="12" spans="1:25" x14ac:dyDescent="0.2">
      <c r="A12">
        <v>-76</v>
      </c>
      <c r="B12">
        <v>-1.8574236223326827E-2</v>
      </c>
      <c r="C12">
        <v>-5.3816797703839176E-3</v>
      </c>
      <c r="D12">
        <v>-3.4946669726064342E-3</v>
      </c>
      <c r="E12">
        <v>-1.7023186560986527E-2</v>
      </c>
      <c r="F12">
        <v>-1.9564397394343305E-2</v>
      </c>
      <c r="G12">
        <v>-1.3743827062829976E-2</v>
      </c>
      <c r="H12">
        <v>-1.3515305032556836E-2</v>
      </c>
      <c r="I12">
        <v>-3.4727302848593651E-3</v>
      </c>
      <c r="J12">
        <v>-1.4490692294482764E-2</v>
      </c>
      <c r="K12">
        <v>-1.224082155673885E-2</v>
      </c>
      <c r="L12">
        <v>-1.5405905730850818E-2</v>
      </c>
      <c r="M12">
        <v>-1.0891571457721851E-2</v>
      </c>
      <c r="N12">
        <v>-1.22449281238858E-2</v>
      </c>
      <c r="O12">
        <v>-1.4785751562973596E-2</v>
      </c>
      <c r="P12">
        <v>-1.556919940101362E-2</v>
      </c>
      <c r="Q12">
        <v>-1.0504166357842968E-2</v>
      </c>
      <c r="R12">
        <v>-1.7136925845420124E-3</v>
      </c>
      <c r="S12">
        <v>-4.5070721384708565E-2</v>
      </c>
      <c r="T12">
        <v>-1.1017311333663328E-2</v>
      </c>
      <c r="U12">
        <v>-2.4205882036995099E-3</v>
      </c>
      <c r="V12">
        <v>-1.9703854514545448E-2</v>
      </c>
      <c r="W12">
        <v>-1.0808095760065481E-2</v>
      </c>
      <c r="X12">
        <v>-6.5100903231734243E-3</v>
      </c>
      <c r="Y12">
        <v>-2.5449181330712507E-2</v>
      </c>
    </row>
    <row r="13" spans="1:25" x14ac:dyDescent="0.2">
      <c r="A13">
        <v>-75</v>
      </c>
      <c r="B13">
        <v>-2.1574784986565669E-2</v>
      </c>
      <c r="C13">
        <v>-6.5858117596591511E-3</v>
      </c>
      <c r="D13">
        <v>-3.9330343748509812E-3</v>
      </c>
      <c r="E13">
        <v>-1.9892437764689033E-2</v>
      </c>
      <c r="F13">
        <v>-2.2598153981504169E-2</v>
      </c>
      <c r="G13">
        <v>-1.5816027906797227E-2</v>
      </c>
      <c r="H13">
        <v>-1.5902082701995113E-2</v>
      </c>
      <c r="I13">
        <v>-3.9282470198024793E-3</v>
      </c>
      <c r="J13">
        <v>-1.676506749761815E-2</v>
      </c>
      <c r="K13">
        <v>-1.4016090684396158E-2</v>
      </c>
      <c r="L13">
        <v>-1.7537170565890669E-2</v>
      </c>
      <c r="M13">
        <v>-1.2700287365303981E-2</v>
      </c>
      <c r="N13">
        <v>-1.368902180963214E-2</v>
      </c>
      <c r="O13">
        <v>-1.6918659930908807E-2</v>
      </c>
      <c r="P13">
        <v>-1.763753053014662E-2</v>
      </c>
      <c r="Q13">
        <v>-1.2225239518490414E-2</v>
      </c>
      <c r="R13">
        <v>-2.0489865359134799E-3</v>
      </c>
      <c r="S13">
        <v>-5.1420916057221495E-2</v>
      </c>
      <c r="T13">
        <v>-1.2615109124770442E-2</v>
      </c>
      <c r="U13">
        <v>-2.8503783158524247E-3</v>
      </c>
      <c r="V13">
        <v>-2.2395434311094097E-2</v>
      </c>
      <c r="W13">
        <v>-1.2339006419152029E-2</v>
      </c>
      <c r="X13">
        <v>-7.5040565345430334E-3</v>
      </c>
      <c r="Y13">
        <v>-2.859766004058574E-2</v>
      </c>
    </row>
    <row r="14" spans="1:25" x14ac:dyDescent="0.2">
      <c r="A14">
        <v>-74</v>
      </c>
      <c r="B14">
        <v>-2.5058816812055077E-2</v>
      </c>
      <c r="C14">
        <v>-8.0590089116139556E-3</v>
      </c>
      <c r="D14">
        <v>-4.4261439461570126E-3</v>
      </c>
      <c r="E14">
        <v>-2.3244172882586452E-2</v>
      </c>
      <c r="F14">
        <v>-2.6101030186063037E-2</v>
      </c>
      <c r="G14">
        <v>-1.8199768486079584E-2</v>
      </c>
      <c r="H14">
        <v>-1.8709514574708767E-2</v>
      </c>
      <c r="I14">
        <v>-4.4432770169403751E-3</v>
      </c>
      <c r="J14">
        <v>-1.9395484717122109E-2</v>
      </c>
      <c r="K14">
        <v>-1.6048020059176223E-2</v>
      </c>
      <c r="L14">
        <v>-1.9962266155300314E-2</v>
      </c>
      <c r="M14">
        <v>-1.4808725775141767E-2</v>
      </c>
      <c r="N14">
        <v>-1.5302514123598437E-2</v>
      </c>
      <c r="O14">
        <v>-1.9358306332083002E-2</v>
      </c>
      <c r="P14">
        <v>-1.9979584209775345E-2</v>
      </c>
      <c r="Q14">
        <v>-1.4227596901665925E-2</v>
      </c>
      <c r="R14">
        <v>-2.449765996163796E-3</v>
      </c>
      <c r="S14">
        <v>-5.8662601640794704E-2</v>
      </c>
      <c r="T14">
        <v>-1.4443917513329517E-2</v>
      </c>
      <c r="U14">
        <v>-3.3563307643036736E-3</v>
      </c>
      <c r="V14">
        <v>-2.5453260056918559E-2</v>
      </c>
      <c r="W14">
        <v>-1.4086047724312989E-2</v>
      </c>
      <c r="X14">
        <v>-8.6493826336674143E-3</v>
      </c>
      <c r="Y14">
        <v>-3.2133710189055024E-2</v>
      </c>
    </row>
    <row r="15" spans="1:25" x14ac:dyDescent="0.2">
      <c r="A15">
        <v>-73</v>
      </c>
      <c r="B15">
        <v>-2.9104012087920617E-2</v>
      </c>
      <c r="C15">
        <v>-9.8613084567917442E-3</v>
      </c>
      <c r="D15">
        <v>-4.9807956707509727E-3</v>
      </c>
      <c r="E15">
        <v>-2.7159313023121943E-2</v>
      </c>
      <c r="F15">
        <v>-3.0145338255868438E-2</v>
      </c>
      <c r="G15">
        <v>-2.0941734220759525E-2</v>
      </c>
      <c r="H15">
        <v>-2.2011572605793239E-2</v>
      </c>
      <c r="I15">
        <v>-5.0255598504065505E-3</v>
      </c>
      <c r="J15">
        <v>-2.2437516201820717E-2</v>
      </c>
      <c r="K15">
        <v>-1.837358374917826E-2</v>
      </c>
      <c r="L15">
        <v>-2.2721540869797816E-2</v>
      </c>
      <c r="M15">
        <v>-1.7266434254812189E-2</v>
      </c>
      <c r="N15">
        <v>-1.7105148814548939E-2</v>
      </c>
      <c r="O15">
        <v>-2.2148647645908875E-2</v>
      </c>
      <c r="P15">
        <v>-2.2631422726470229E-2</v>
      </c>
      <c r="Q15">
        <v>-1.6557080826901816E-2</v>
      </c>
      <c r="R15">
        <v>-2.9287959434287458E-3</v>
      </c>
      <c r="S15">
        <v>-6.6920391231152926E-2</v>
      </c>
      <c r="T15">
        <v>-1.6537018913170082E-2</v>
      </c>
      <c r="U15">
        <v>-3.9519130926956572E-3</v>
      </c>
      <c r="V15">
        <v>-2.8926934836233636E-2</v>
      </c>
      <c r="W15">
        <v>-1.6079616727759895E-2</v>
      </c>
      <c r="X15">
        <v>-9.9690492589223512E-3</v>
      </c>
      <c r="Y15">
        <v>-3.6104745828523466E-2</v>
      </c>
    </row>
    <row r="16" spans="1:25" x14ac:dyDescent="0.2">
      <c r="A16">
        <v>-72</v>
      </c>
      <c r="B16">
        <v>-3.380049063443126E-2</v>
      </c>
      <c r="C16">
        <v>-1.2066123013828842E-2</v>
      </c>
      <c r="D16">
        <v>-5.6046287808497724E-3</v>
      </c>
      <c r="E16">
        <v>-3.1732310717948596E-2</v>
      </c>
      <c r="F16">
        <v>-3.4814496056362526E-2</v>
      </c>
      <c r="G16">
        <v>-2.4095579998983964E-2</v>
      </c>
      <c r="H16">
        <v>-2.5895203706940491E-2</v>
      </c>
      <c r="I16">
        <v>-5.683836054533529E-3</v>
      </c>
      <c r="J16">
        <v>-2.5955378487425542E-2</v>
      </c>
      <c r="K16">
        <v>-2.1035059874129285E-2</v>
      </c>
      <c r="L16">
        <v>-2.5860857160419387E-2</v>
      </c>
      <c r="M16">
        <v>-2.0131128419942391E-2</v>
      </c>
      <c r="N16">
        <v>-1.9118952335292257E-2</v>
      </c>
      <c r="O16">
        <v>-2.533991348590086E-2</v>
      </c>
      <c r="P16">
        <v>-2.5633833679572136E-2</v>
      </c>
      <c r="Q16">
        <v>-1.9266980739796449E-2</v>
      </c>
      <c r="R16">
        <v>-3.5013242995779025E-3</v>
      </c>
      <c r="S16">
        <v>-7.6336219947536213E-2</v>
      </c>
      <c r="T16">
        <v>-1.8932471103019568E-2</v>
      </c>
      <c r="U16">
        <v>-4.6529685918210838E-3</v>
      </c>
      <c r="V16">
        <v>-3.2872740090710131E-2</v>
      </c>
      <c r="W16">
        <v>-1.8354366358969282E-2</v>
      </c>
      <c r="X16">
        <v>-1.1489514327324693E-2</v>
      </c>
      <c r="Y16">
        <v>-4.0563934052870523E-2</v>
      </c>
    </row>
    <row r="17" spans="1:25" x14ac:dyDescent="0.2">
      <c r="A17">
        <v>-71</v>
      </c>
      <c r="B17">
        <v>-3.9252795822400814E-2</v>
      </c>
      <c r="C17">
        <v>-1.4763215272117082E-2</v>
      </c>
      <c r="D17">
        <v>-6.306224479457923E-3</v>
      </c>
      <c r="E17">
        <v>-3.7073404639315778E-2</v>
      </c>
      <c r="F17">
        <v>-4.0204725090699445E-2</v>
      </c>
      <c r="G17">
        <v>-2.7722965825966346E-2</v>
      </c>
      <c r="H17">
        <v>-3.0462598817537098E-2</v>
      </c>
      <c r="I17">
        <v>-6.4279756826773433E-3</v>
      </c>
      <c r="J17">
        <v>-3.002327148704988E-2</v>
      </c>
      <c r="K17">
        <v>-2.4080787571851052E-2</v>
      </c>
      <c r="L17">
        <v>-2.9432340545813649E-2</v>
      </c>
      <c r="M17">
        <v>-2.3470033948225687E-2</v>
      </c>
      <c r="N17">
        <v>-2.1368494943733104E-2</v>
      </c>
      <c r="O17">
        <v>-2.8989496608539764E-2</v>
      </c>
      <c r="P17">
        <v>-2.9032944827523218E-2</v>
      </c>
      <c r="Q17">
        <v>-2.2419238427198149E-2</v>
      </c>
      <c r="R17">
        <v>-4.1855637505564007E-3</v>
      </c>
      <c r="S17">
        <v>-8.7071734140398954E-2</v>
      </c>
      <c r="T17">
        <v>-2.1673788948959764E-2</v>
      </c>
      <c r="U17">
        <v>-5.4781342745872704E-3</v>
      </c>
      <c r="V17">
        <v>-3.7354527451561786E-2</v>
      </c>
      <c r="W17">
        <v>-2.0949797961495254E-2</v>
      </c>
      <c r="X17">
        <v>-1.324123709430473E-2</v>
      </c>
      <c r="Y17">
        <v>-4.5570884782356852E-2</v>
      </c>
    </row>
    <row r="18" spans="1:25" x14ac:dyDescent="0.2">
      <c r="A18">
        <v>-70</v>
      </c>
      <c r="B18">
        <v>-4.5582193575378592E-2</v>
      </c>
      <c r="C18">
        <v>-1.8062332938458953E-2</v>
      </c>
      <c r="D18">
        <v>-7.0952210918956574E-3</v>
      </c>
      <c r="E18">
        <v>-4.3311248364083427E-2</v>
      </c>
      <c r="F18">
        <v>-4.6427006661127646E-2</v>
      </c>
      <c r="G18">
        <v>-3.1894745448572973E-2</v>
      </c>
      <c r="H18">
        <v>-3.5833857319577125E-2</v>
      </c>
      <c r="I18">
        <v>-7.2691232241167388E-3</v>
      </c>
      <c r="J18">
        <v>-3.4726923924920841E-2</v>
      </c>
      <c r="K18">
        <v>-2.7566031266420869E-2</v>
      </c>
      <c r="L18">
        <v>-3.3495229483433642E-2</v>
      </c>
      <c r="M18">
        <v>-2.7361448128465242E-2</v>
      </c>
      <c r="N18">
        <v>-2.3881181206470387E-2</v>
      </c>
      <c r="O18">
        <v>-3.3162968807261599E-2</v>
      </c>
      <c r="P18">
        <v>-3.2880918156414279E-2</v>
      </c>
      <c r="Q18">
        <v>-2.6085847368417254E-2</v>
      </c>
      <c r="R18">
        <v>-5.0032668165712032E-3</v>
      </c>
      <c r="S18">
        <v>-9.9311006125822915E-2</v>
      </c>
      <c r="T18">
        <v>-2.4810722809018224E-2</v>
      </c>
      <c r="U18">
        <v>-6.4493321624403775E-3</v>
      </c>
      <c r="V18">
        <v>-4.2444728179445959E-2</v>
      </c>
      <c r="W18">
        <v>-2.3910935713028332E-2</v>
      </c>
      <c r="X18">
        <v>-1.5259280805486117E-2</v>
      </c>
      <c r="Y18">
        <v>-5.1192421658129386E-2</v>
      </c>
    </row>
    <row r="19" spans="1:25" x14ac:dyDescent="0.2">
      <c r="A19">
        <v>-69</v>
      </c>
      <c r="B19">
        <v>-5.2929335880827155E-2</v>
      </c>
      <c r="C19">
        <v>-2.2097650154170007E-2</v>
      </c>
      <c r="D19">
        <v>-7.9824431231821803E-3</v>
      </c>
      <c r="E19">
        <v>-5.0595974865594834E-2</v>
      </c>
      <c r="F19">
        <v>-5.3609335099400392E-2</v>
      </c>
      <c r="G19">
        <v>-3.6692330358799541E-2</v>
      </c>
      <c r="H19">
        <v>-4.2150115329489111E-2</v>
      </c>
      <c r="I19">
        <v>-8.2198609318075121E-3</v>
      </c>
      <c r="J19">
        <v>-4.0165376672124137E-2</v>
      </c>
      <c r="K19">
        <v>-3.1553967300347277E-2</v>
      </c>
      <c r="L19">
        <v>-3.8116839537643173E-2</v>
      </c>
      <c r="M19">
        <v>-3.1896556632655088E-2</v>
      </c>
      <c r="N19">
        <v>-2.668757313240375E-2</v>
      </c>
      <c r="O19">
        <v>-3.7935239783305715E-2</v>
      </c>
      <c r="P19">
        <v>-3.7236733222953969E-2</v>
      </c>
      <c r="Q19">
        <v>-3.0350477299013134E-2</v>
      </c>
      <c r="R19">
        <v>-5.9804121643219103E-3</v>
      </c>
      <c r="S19">
        <v>-0.11326361783380827</v>
      </c>
      <c r="T19">
        <v>-2.8400147202049811E-2</v>
      </c>
      <c r="U19">
        <v>-7.5923466954256665E-3</v>
      </c>
      <c r="V19">
        <v>-4.8225495383335704E-2</v>
      </c>
      <c r="W19">
        <v>-2.72890941198407E-2</v>
      </c>
      <c r="X19">
        <v>-1.7584005649632129E-2</v>
      </c>
      <c r="Y19">
        <v>-5.7503443241824638E-2</v>
      </c>
    </row>
    <row r="20" spans="1:25" x14ac:dyDescent="0.2">
      <c r="A20">
        <v>-68</v>
      </c>
      <c r="B20">
        <v>-6.1457346171516991E-2</v>
      </c>
      <c r="C20">
        <v>-2.7033193864817059E-2</v>
      </c>
      <c r="D20">
        <v>-8.9800458684819694E-3</v>
      </c>
      <c r="E20">
        <v>-5.9102768493135727E-2</v>
      </c>
      <c r="F20">
        <v>-6.1899312789057803E-2</v>
      </c>
      <c r="G20">
        <v>-4.2209254815354695E-2</v>
      </c>
      <c r="H20">
        <v>-4.9577218188040971E-2</v>
      </c>
      <c r="I20">
        <v>-9.2943928654373609E-3</v>
      </c>
      <c r="J20">
        <v>-4.6453040312659538E-2</v>
      </c>
      <c r="K20">
        <v>-3.6116810073955022E-2</v>
      </c>
      <c r="L20">
        <v>-4.3373657000739668E-2</v>
      </c>
      <c r="M20">
        <v>-3.7181546941172233E-2</v>
      </c>
      <c r="N20">
        <v>-2.9821749501352714E-2</v>
      </c>
      <c r="O20">
        <v>-4.339187887749095E-2</v>
      </c>
      <c r="P20">
        <v>-4.2167071064988772E-2</v>
      </c>
      <c r="Q20">
        <v>-3.5310359992290603E-2</v>
      </c>
      <c r="R20">
        <v>-7.1480236123718822E-3</v>
      </c>
      <c r="S20">
        <v>-0.1291681622840368</v>
      </c>
      <c r="T20">
        <v>-3.2507075201959362E-2</v>
      </c>
      <c r="U20">
        <v>-8.937503307065147E-3</v>
      </c>
      <c r="V20">
        <v>-5.4789996061478698E-2</v>
      </c>
      <c r="W20">
        <v>-3.1142751278171898E-2</v>
      </c>
      <c r="X20">
        <v>-2.0261865449607685E-2</v>
      </c>
      <c r="Y20">
        <v>-6.4587884677692636E-2</v>
      </c>
    </row>
    <row r="21" spans="1:25" x14ac:dyDescent="0.2">
      <c r="A21">
        <v>-67</v>
      </c>
      <c r="B21">
        <v>-7.1355392857090388E-2</v>
      </c>
      <c r="C21">
        <v>-3.3069472993347233E-2</v>
      </c>
      <c r="D21">
        <v>-1.0101677412245415E-2</v>
      </c>
      <c r="E21">
        <v>-6.9036027897797198E-2</v>
      </c>
      <c r="F21">
        <v>-7.1467138340113853E-2</v>
      </c>
      <c r="G21">
        <v>-4.8552971214063087E-2</v>
      </c>
      <c r="H21">
        <v>-5.8310031257579588E-2</v>
      </c>
      <c r="I21">
        <v>-1.0508752235374189E-2</v>
      </c>
      <c r="J21">
        <v>-5.3722068742784547E-2</v>
      </c>
      <c r="K21">
        <v>-4.1337097195048605E-2</v>
      </c>
      <c r="L21">
        <v>-4.9352579082082189E-2</v>
      </c>
      <c r="M21">
        <v>-4.3340066499458152E-2</v>
      </c>
      <c r="N21">
        <v>-3.3321705321832533E-2</v>
      </c>
      <c r="O21">
        <v>-4.9630622254373834E-2</v>
      </c>
      <c r="P21">
        <v>-4.7747311358305657E-2</v>
      </c>
      <c r="Q21">
        <v>-4.10784779616594E-2</v>
      </c>
      <c r="R21">
        <v>-8.5431474015297652E-3</v>
      </c>
      <c r="S21">
        <v>-0.14729621795936382</v>
      </c>
      <c r="T21">
        <v>-3.7205816149777665E-2</v>
      </c>
      <c r="U21">
        <v>-1.0520465819651468E-2</v>
      </c>
      <c r="V21">
        <v>-6.2243872087177375E-2</v>
      </c>
      <c r="W21">
        <v>-3.5538542290871659E-2</v>
      </c>
      <c r="X21">
        <v>-2.3346323506708337E-2</v>
      </c>
      <c r="Y21">
        <v>-7.2539791016553556E-2</v>
      </c>
    </row>
    <row r="22" spans="1:25" x14ac:dyDescent="0.2">
      <c r="A22">
        <v>-66</v>
      </c>
      <c r="B22">
        <v>-8.2842827560869095E-2</v>
      </c>
      <c r="C22">
        <v>-4.0451576275586695E-2</v>
      </c>
      <c r="D22">
        <v>-1.1362660060106198E-2</v>
      </c>
      <c r="E22">
        <v>-8.0634216935608266E-2</v>
      </c>
      <c r="F22">
        <v>-8.2509046873567818E-2</v>
      </c>
      <c r="G22">
        <v>-5.5846909345619096E-2</v>
      </c>
      <c r="H22">
        <v>-6.8577499254130314E-2</v>
      </c>
      <c r="I22">
        <v>-1.188103494683798E-2</v>
      </c>
      <c r="J22">
        <v>-6.2125096886205627E-2</v>
      </c>
      <c r="K22">
        <v>-4.7309155815847999E-2</v>
      </c>
      <c r="L22">
        <v>-5.6152319979861469E-2</v>
      </c>
      <c r="M22">
        <v>-5.0516081376388682E-2</v>
      </c>
      <c r="N22">
        <v>-3.7229795754922503E-2</v>
      </c>
      <c r="O22">
        <v>-5.6763091190677448E-2</v>
      </c>
      <c r="P22">
        <v>-5.4062657043317655E-2</v>
      </c>
      <c r="Q22">
        <v>-4.7786104370954159E-2</v>
      </c>
      <c r="R22">
        <v>-1.0210018210601036E-2</v>
      </c>
      <c r="S22">
        <v>-0.16795685798320578</v>
      </c>
      <c r="T22">
        <v>-4.2581296692035621E-2</v>
      </c>
      <c r="U22">
        <v>-1.23831733814016E-2</v>
      </c>
      <c r="V22">
        <v>-7.0706891565509883E-2</v>
      </c>
      <c r="W22">
        <v>-4.0552389140932101E-2</v>
      </c>
      <c r="X22">
        <v>-2.6898905278308231E-2</v>
      </c>
      <c r="Y22">
        <v>-8.1464514523534357E-2</v>
      </c>
    </row>
    <row r="23" spans="1:25" x14ac:dyDescent="0.2">
      <c r="A23">
        <v>-65</v>
      </c>
      <c r="B23">
        <v>-9.6173976445394063E-2</v>
      </c>
      <c r="C23">
        <v>-4.9479063144185785E-2</v>
      </c>
      <c r="D23">
        <v>-1.2780193477765571E-2</v>
      </c>
      <c r="E23">
        <v>-9.4175516312639512E-2</v>
      </c>
      <c r="F23">
        <v>-9.5251270060055515E-2</v>
      </c>
      <c r="G23">
        <v>-6.423283787111396E-2</v>
      </c>
      <c r="H23">
        <v>-8.0648583171653174E-2</v>
      </c>
      <c r="I23">
        <v>-1.3431662593286937E-2</v>
      </c>
      <c r="J23">
        <v>-7.1838397804333376E-2</v>
      </c>
      <c r="K23">
        <v>-5.4140775360898917E-2</v>
      </c>
      <c r="L23">
        <v>-6.38850046152937E-2</v>
      </c>
      <c r="M23">
        <v>-5.8877200085942681E-2</v>
      </c>
      <c r="N23">
        <v>-4.1593229279538423E-2</v>
      </c>
      <c r="O23">
        <v>-6.491675057483462E-2</v>
      </c>
      <c r="P23">
        <v>-6.120940236473825E-2</v>
      </c>
      <c r="Q23">
        <v>-5.5585750042633678E-2</v>
      </c>
      <c r="R23">
        <v>-1.2201450243587018E-2</v>
      </c>
      <c r="S23">
        <v>-0.19150176356703502</v>
      </c>
      <c r="T23">
        <v>-4.8730567889603803E-2</v>
      </c>
      <c r="U23">
        <v>-1.4574941261322459E-2</v>
      </c>
      <c r="V23">
        <v>-8.0314814529317047E-2</v>
      </c>
      <c r="W23">
        <v>-4.6270785479780925E-2</v>
      </c>
      <c r="X23">
        <v>-3.0990408159393929E-2</v>
      </c>
      <c r="Y23">
        <v>-9.1480049493601112E-2</v>
      </c>
    </row>
    <row r="24" spans="1:25" x14ac:dyDescent="0.2">
      <c r="A24">
        <v>-64</v>
      </c>
      <c r="B24">
        <v>-0.11164368661420643</v>
      </c>
      <c r="C24">
        <v>-6.0518043373814397E-2</v>
      </c>
      <c r="D24">
        <v>-1.4373582064772447E-2</v>
      </c>
      <c r="E24">
        <v>-0.10998440696196478</v>
      </c>
      <c r="F24">
        <v>-0.10995459347997788</v>
      </c>
      <c r="G24">
        <v>-7.3873571796959595E-2</v>
      </c>
      <c r="H24">
        <v>-9.4839225836178695E-2</v>
      </c>
      <c r="I24">
        <v>-1.5183678537146673E-2</v>
      </c>
      <c r="J24">
        <v>-8.3065522720342927E-2</v>
      </c>
      <c r="K24">
        <v>-6.1955115271716266E-2</v>
      </c>
      <c r="L24">
        <v>-7.2677974567537273E-2</v>
      </c>
      <c r="M24">
        <v>-6.8618537501450971E-2</v>
      </c>
      <c r="N24">
        <v>-4.6464615350101733E-2</v>
      </c>
      <c r="O24">
        <v>-7.4237140618876665E-2</v>
      </c>
      <c r="P24">
        <v>-6.9296362177487927E-2</v>
      </c>
      <c r="Q24">
        <v>-6.46545822267902E-2</v>
      </c>
      <c r="R24">
        <v>-1.4580496674920285E-2</v>
      </c>
      <c r="S24">
        <v>-0.21833101951533912</v>
      </c>
      <c r="T24">
        <v>-5.5764524235569893E-2</v>
      </c>
      <c r="U24">
        <v>-1.7153754030683303E-2</v>
      </c>
      <c r="V24">
        <v>-9.1221499736767298E-2</v>
      </c>
      <c r="W24">
        <v>-5.2792257214945751E-2</v>
      </c>
      <c r="X24">
        <v>-3.5702291600221356E-2</v>
      </c>
      <c r="Y24">
        <v>-0.10271851937621782</v>
      </c>
    </row>
    <row r="25" spans="1:25" x14ac:dyDescent="0.2">
      <c r="A25">
        <v>-63</v>
      </c>
      <c r="B25">
        <v>-0.12959374520686415</v>
      </c>
      <c r="C25">
        <v>-7.4015928091535121E-2</v>
      </c>
      <c r="D25">
        <v>-1.6164489370066107E-2</v>
      </c>
      <c r="E25">
        <v>-0.12843933723348724</v>
      </c>
      <c r="F25">
        <v>-0.12691960019391066</v>
      </c>
      <c r="G25">
        <v>-8.4956075924378691E-2</v>
      </c>
      <c r="H25">
        <v>-0.11152052276260081</v>
      </c>
      <c r="I25">
        <v>-1.71630811483676E-2</v>
      </c>
      <c r="J25">
        <v>-9.6041496898510867E-2</v>
      </c>
      <c r="K25">
        <v>-7.0892880257794041E-2</v>
      </c>
      <c r="L25">
        <v>-8.2675833828109016E-2</v>
      </c>
      <c r="M25">
        <v>-7.9967205634607658E-2</v>
      </c>
      <c r="N25">
        <v>-5.1902572311962124E-2</v>
      </c>
      <c r="O25">
        <v>-8.4890419165823641E-2</v>
      </c>
      <c r="P25">
        <v>-7.8446482489142932E-2</v>
      </c>
      <c r="Q25">
        <v>-7.5198389908750024E-2</v>
      </c>
      <c r="R25">
        <v>-1.7422429025395376E-2</v>
      </c>
      <c r="S25">
        <v>-0.24889967868166102</v>
      </c>
      <c r="T25">
        <v>-6.3809863916369808E-2</v>
      </c>
      <c r="U25">
        <v>-2.0187784596755923E-2</v>
      </c>
      <c r="V25">
        <v>-0.10360128238801626</v>
      </c>
      <c r="W25">
        <v>-6.0229022508614803E-2</v>
      </c>
      <c r="X25">
        <v>-4.1128274175736189E-2</v>
      </c>
      <c r="Y25">
        <v>-0.11532783235493284</v>
      </c>
    </row>
    <row r="26" spans="1:25" x14ac:dyDescent="0.2">
      <c r="A26">
        <v>-62</v>
      </c>
      <c r="B26">
        <v>-0.15042030673843126</v>
      </c>
      <c r="C26">
        <v>-9.051944055829686E-2</v>
      </c>
      <c r="D26">
        <v>-1.817722266210987E-2</v>
      </c>
      <c r="E26">
        <v>-0.1499816503584987</v>
      </c>
      <c r="F26">
        <v>-0.1464927023110994</v>
      </c>
      <c r="G26">
        <v>-9.7695021275514396E-2</v>
      </c>
      <c r="H26">
        <v>-0.13112830485241117</v>
      </c>
      <c r="I26">
        <v>-1.9399198750758059E-2</v>
      </c>
      <c r="J26">
        <v>-0.11103765508182011</v>
      </c>
      <c r="K26">
        <v>-8.1114799899603185E-2</v>
      </c>
      <c r="L26">
        <v>-9.4042765425541047E-2</v>
      </c>
      <c r="M26">
        <v>-9.318753169218412E-2</v>
      </c>
      <c r="N26">
        <v>-5.7972401893850813E-2</v>
      </c>
      <c r="O26">
        <v>-9.7066256896041328E-2</v>
      </c>
      <c r="P26">
        <v>-8.8798654549436459E-2</v>
      </c>
      <c r="Q26">
        <v>-8.7456182083695017E-2</v>
      </c>
      <c r="R26">
        <v>-2.0817097903093128E-2</v>
      </c>
      <c r="S26">
        <v>-0.28372519216472014</v>
      </c>
      <c r="T26">
        <v>-7.3011323593465391E-2</v>
      </c>
      <c r="U26">
        <v>-2.3757178337471499E-2</v>
      </c>
      <c r="V26">
        <v>-0.11765165589893285</v>
      </c>
      <c r="W26">
        <v>-6.8708877857317524E-2</v>
      </c>
      <c r="X26">
        <v>-4.7376168084359266E-2</v>
      </c>
      <c r="Y26">
        <v>-0.12947352292606937</v>
      </c>
    </row>
    <row r="27" spans="1:25" x14ac:dyDescent="0.2">
      <c r="A27">
        <v>-61</v>
      </c>
      <c r="B27">
        <v>-0.17458248478364599</v>
      </c>
      <c r="C27">
        <v>-0.11069660388361059</v>
      </c>
      <c r="D27">
        <v>-2.0439051101001617E-2</v>
      </c>
      <c r="E27">
        <v>-0.17512597679817293</v>
      </c>
      <c r="F27">
        <v>-0.16907307701628924</v>
      </c>
      <c r="G27">
        <v>-0.11233685945722502</v>
      </c>
      <c r="H27">
        <v>-0.15417437422107408</v>
      </c>
      <c r="I27">
        <v>-2.192511135657298E-2</v>
      </c>
      <c r="J27">
        <v>-0.12836721246224156</v>
      </c>
      <c r="K27">
        <v>-9.2804454351135629E-2</v>
      </c>
      <c r="L27">
        <v>-0.10696515378411152</v>
      </c>
      <c r="M27">
        <v>-0.10858711950909945</v>
      </c>
      <c r="N27">
        <v>-6.4746837190289508E-2</v>
      </c>
      <c r="O27">
        <v>-0.11098113324748395</v>
      </c>
      <c r="P27">
        <v>-0.10050975737612433</v>
      </c>
      <c r="Q27">
        <v>-0.10170551883123889</v>
      </c>
      <c r="R27">
        <v>-2.4871748277159465E-2</v>
      </c>
      <c r="S27">
        <v>-0.32339581269286133</v>
      </c>
      <c r="T27">
        <v>-8.3534225423020816E-2</v>
      </c>
      <c r="U27">
        <v>-2.7956148357489111E-2</v>
      </c>
      <c r="V27">
        <v>-0.13359629445160506</v>
      </c>
      <c r="W27">
        <v>-7.8377340346591273E-2</v>
      </c>
      <c r="X27">
        <v>-5.4569985957711939E-2</v>
      </c>
      <c r="Y27">
        <v>-0.14534079845290276</v>
      </c>
    </row>
    <row r="28" spans="1:25" x14ac:dyDescent="0.2">
      <c r="A28">
        <v>-60</v>
      </c>
      <c r="B28">
        <v>-0.20261228761075395</v>
      </c>
      <c r="C28">
        <v>-0.13536357941955773</v>
      </c>
      <c r="D28">
        <v>-2.2980561324475752E-2</v>
      </c>
      <c r="E28">
        <v>-0.20447232853148956</v>
      </c>
      <c r="F28">
        <v>-0.19512064017306802</v>
      </c>
      <c r="G28">
        <v>-0.12916448892078858</v>
      </c>
      <c r="H28">
        <v>-0.18125967481783931</v>
      </c>
      <c r="I28">
        <v>-2.4778124855382971E-2</v>
      </c>
      <c r="J28">
        <v>-0.14839168112574916</v>
      </c>
      <c r="K28">
        <v>-0.1061714933943155</v>
      </c>
      <c r="L28">
        <v>-0.12165455190333573</v>
      </c>
      <c r="M28">
        <v>-0.12652388845861845</v>
      </c>
      <c r="N28">
        <v>-7.2306871679430243E-2</v>
      </c>
      <c r="O28">
        <v>-0.12688208702072781</v>
      </c>
      <c r="P28">
        <v>-0.11375695643785573</v>
      </c>
      <c r="Q28">
        <v>-0.11826869042501514</v>
      </c>
      <c r="R28">
        <v>-2.9714376408753688E-2</v>
      </c>
      <c r="S28">
        <v>-0.36858009000111686</v>
      </c>
      <c r="T28">
        <v>-9.5567379020951165E-2</v>
      </c>
      <c r="U28">
        <v>-3.2895435812746267E-2</v>
      </c>
      <c r="V28">
        <v>-0.1516884568690357</v>
      </c>
      <c r="W28">
        <v>-8.9400079997223353E-2</v>
      </c>
      <c r="X28">
        <v>-6.2852359879343428E-2</v>
      </c>
      <c r="Y28">
        <v>-0.16313681110881975</v>
      </c>
    </row>
    <row r="29" spans="1:25" x14ac:dyDescent="0.2">
      <c r="A29">
        <v>-59</v>
      </c>
      <c r="B29">
        <v>-0.23512610420164368</v>
      </c>
      <c r="C29">
        <v>-0.16551741985085083</v>
      </c>
      <c r="D29">
        <v>-2.5836054655230766E-2</v>
      </c>
      <c r="E29">
        <v>-0.23872016967268994</v>
      </c>
      <c r="F29">
        <v>-0.2251652094915238</v>
      </c>
      <c r="G29">
        <v>-0.14850259722308209</v>
      </c>
      <c r="H29">
        <v>-0.21308972632555206</v>
      </c>
      <c r="I29">
        <v>-2.8000303967583077E-2</v>
      </c>
      <c r="J29">
        <v>-0.17152825777832828</v>
      </c>
      <c r="K29">
        <v>-0.12145530226409486</v>
      </c>
      <c r="L29">
        <v>-0.13835103710366647</v>
      </c>
      <c r="M29">
        <v>-0.14741424455314961</v>
      </c>
      <c r="N29">
        <v>-8.074267749112414E-2</v>
      </c>
      <c r="O29">
        <v>-0.14505098249235854</v>
      </c>
      <c r="P29">
        <v>-0.128740289309734</v>
      </c>
      <c r="Q29">
        <v>-0.13751987738246566</v>
      </c>
      <c r="R29">
        <v>-3.549773215805755E-2</v>
      </c>
      <c r="S29">
        <v>-0.42003758893273518</v>
      </c>
      <c r="T29">
        <v>-0.10932638667536052</v>
      </c>
      <c r="U29">
        <v>-3.8705198524464572E-2</v>
      </c>
      <c r="V29">
        <v>-0.17221481640394998</v>
      </c>
      <c r="W29">
        <v>-0.10196568037565176</v>
      </c>
      <c r="X29">
        <v>-7.2387318217374028E-2</v>
      </c>
      <c r="Y29">
        <v>-0.18309317702460504</v>
      </c>
    </row>
    <row r="30" spans="1:25" x14ac:dyDescent="0.2">
      <c r="A30">
        <v>-58</v>
      </c>
      <c r="B30">
        <v>-0.272837977651327</v>
      </c>
      <c r="C30">
        <v>-0.20237603197167217</v>
      </c>
      <c r="D30">
        <v>-2.9043990564020024E-2</v>
      </c>
      <c r="E30">
        <v>-0.27868478067606223</v>
      </c>
      <c r="F30">
        <v>-0.25981703056623096</v>
      </c>
      <c r="G30">
        <v>-0.17072377480829765</v>
      </c>
      <c r="H30">
        <v>-0.25049270401903767</v>
      </c>
      <c r="I30">
        <v>-3.163907097944528E-2</v>
      </c>
      <c r="J30">
        <v>-0.19825832653167647</v>
      </c>
      <c r="K30">
        <v>-0.13892917455083148</v>
      </c>
      <c r="L30">
        <v>-0.15732700420001988</v>
      </c>
      <c r="M30">
        <v>-0.17174256198561394</v>
      </c>
      <c r="N30">
        <v>-9.0154621842215024E-2</v>
      </c>
      <c r="O30">
        <v>-0.16580935945764999</v>
      </c>
      <c r="P30">
        <v>-0.14568557248294639</v>
      </c>
      <c r="Q30">
        <v>-0.15989344459531271</v>
      </c>
      <c r="R30">
        <v>-4.2404090109583882E-2</v>
      </c>
      <c r="S30">
        <v>-0.47863097329110865</v>
      </c>
      <c r="T30">
        <v>-0.1250574063637814</v>
      </c>
      <c r="U30">
        <v>-4.5538401948038841E-2</v>
      </c>
      <c r="V30">
        <v>-0.19549976523616971</v>
      </c>
      <c r="W30">
        <v>-0.11628877036330479</v>
      </c>
      <c r="X30">
        <v>-8.3363472358496407E-2</v>
      </c>
      <c r="Y30">
        <v>-0.20546876576618794</v>
      </c>
    </row>
    <row r="31" spans="1:25" x14ac:dyDescent="0.2">
      <c r="A31">
        <v>-57</v>
      </c>
      <c r="B31">
        <v>-0.31657493763917499</v>
      </c>
      <c r="C31">
        <v>-0.2474269241840221</v>
      </c>
      <c r="D31">
        <v>-3.2647481481176799E-2</v>
      </c>
      <c r="E31">
        <v>-0.32531628248125333</v>
      </c>
      <c r="F31">
        <v>-0.29977886309900664</v>
      </c>
      <c r="G31">
        <v>-0.19625550862552041</v>
      </c>
      <c r="H31">
        <v>-0.29444060981713388</v>
      </c>
      <c r="I31">
        <v>-3.5747878048166683E-2</v>
      </c>
      <c r="J31">
        <v>-0.22913724082649911</v>
      </c>
      <c r="K31">
        <v>-0.15890506015353248</v>
      </c>
      <c r="L31">
        <v>-0.17889145055226965</v>
      </c>
      <c r="M31">
        <v>-0.20007218014678788</v>
      </c>
      <c r="N31">
        <v>-0.10065439128494927</v>
      </c>
      <c r="O31">
        <v>-0.18952394400566616</v>
      </c>
      <c r="P31">
        <v>-0.16484766714675625</v>
      </c>
      <c r="Q31">
        <v>-0.1858935458042546</v>
      </c>
      <c r="R31">
        <v>-5.0650936389049196E-2</v>
      </c>
      <c r="S31">
        <v>-0.54533961081578963</v>
      </c>
      <c r="T31">
        <v>-0.14304143410405279</v>
      </c>
      <c r="U31">
        <v>-5.3574799235409448E-2</v>
      </c>
      <c r="V31">
        <v>-0.22191024675765153</v>
      </c>
      <c r="W31">
        <v>-0.13261357519781752</v>
      </c>
      <c r="X31">
        <v>-9.5997672781570703E-2</v>
      </c>
      <c r="Y31">
        <v>-0.23055278441628044</v>
      </c>
    </row>
    <row r="32" spans="1:25" x14ac:dyDescent="0.2">
      <c r="A32">
        <v>-56</v>
      </c>
      <c r="B32">
        <v>-0.36729470293420635</v>
      </c>
      <c r="C32">
        <v>-0.30248665278451481</v>
      </c>
      <c r="D32">
        <v>-3.6694844537410391E-2</v>
      </c>
      <c r="E32">
        <v>-0.37972174300820832</v>
      </c>
      <c r="F32">
        <v>-0.34585985155661747</v>
      </c>
      <c r="G32">
        <v>-0.22558817818875901</v>
      </c>
      <c r="H32">
        <v>-0.3460740517548509</v>
      </c>
      <c r="I32">
        <v>-4.0386961703732183E-2</v>
      </c>
      <c r="J32">
        <v>-0.26480557141538175</v>
      </c>
      <c r="K32">
        <v>-0.18173896475689122</v>
      </c>
      <c r="L32">
        <v>-0.20339481350323935</v>
      </c>
      <c r="M32">
        <v>-0.23305815151398288</v>
      </c>
      <c r="N32">
        <v>-0.1123662341608244</v>
      </c>
      <c r="O32">
        <v>-0.21661290602357358</v>
      </c>
      <c r="P32">
        <v>-0.18651414566079438</v>
      </c>
      <c r="Q32">
        <v>-0.21610524103682191</v>
      </c>
      <c r="R32">
        <v>-6.0497745865626638E-2</v>
      </c>
      <c r="S32">
        <v>-0.62127486660100439</v>
      </c>
      <c r="T32">
        <v>-0.16359917490695264</v>
      </c>
      <c r="U32">
        <v>-6.3025601929196262E-2</v>
      </c>
      <c r="V32">
        <v>-0.25186117296828719</v>
      </c>
      <c r="W32">
        <v>-0.15121794063714064</v>
      </c>
      <c r="X32">
        <v>-0.11053920222736111</v>
      </c>
      <c r="Y32">
        <v>-0.25866818141924441</v>
      </c>
    </row>
    <row r="33" spans="1:25" x14ac:dyDescent="0.2">
      <c r="A33">
        <v>-55</v>
      </c>
      <c r="B33">
        <v>-0.42610610915658287</v>
      </c>
      <c r="C33">
        <v>-0.36977329079693527</v>
      </c>
      <c r="D33">
        <v>-4.124021633009748E-2</v>
      </c>
      <c r="E33">
        <v>-0.44319085217774085</v>
      </c>
      <c r="F33">
        <v>-0.39899143459556158</v>
      </c>
      <c r="G33">
        <v>-0.25928419257289642</v>
      </c>
      <c r="H33">
        <v>-0.40673123164194053</v>
      </c>
      <c r="I33">
        <v>-4.5624189079951818E-2</v>
      </c>
      <c r="J33">
        <v>-0.30600203292275768</v>
      </c>
      <c r="K33">
        <v>-0.20783708668061907</v>
      </c>
      <c r="L33">
        <v>-0.23123442723573592</v>
      </c>
      <c r="M33">
        <v>-0.27146201004867132</v>
      </c>
      <c r="N33">
        <v>-0.12542833240318388</v>
      </c>
      <c r="O33">
        <v>-0.24755295943785216</v>
      </c>
      <c r="P33">
        <v>-0.21100940457680523</v>
      </c>
      <c r="Q33">
        <v>-0.25120735957514101</v>
      </c>
      <c r="R33">
        <v>-7.2254057444818665E-2</v>
      </c>
      <c r="S33">
        <v>-0.70769726316982629</v>
      </c>
      <c r="T33">
        <v>-0.18709658015045069</v>
      </c>
      <c r="U33">
        <v>-7.4138960095476672E-2</v>
      </c>
      <c r="V33">
        <v>-0.28582148833703686</v>
      </c>
      <c r="W33">
        <v>-0.17241789037003666</v>
      </c>
      <c r="X33">
        <v>-0.12727458311145734</v>
      </c>
      <c r="Y33">
        <v>-0.29017539584666269</v>
      </c>
    </row>
    <row r="34" spans="1:25" x14ac:dyDescent="0.2">
      <c r="A34">
        <v>-54</v>
      </c>
      <c r="B34">
        <v>-0.49429266665205868</v>
      </c>
      <c r="C34">
        <v>-0.45199473705334337</v>
      </c>
      <c r="D34">
        <v>-4.6344237349296866E-2</v>
      </c>
      <c r="E34">
        <v>-0.51722572384643462</v>
      </c>
      <c r="F34">
        <v>-0.4602455809948427</v>
      </c>
      <c r="G34">
        <v>-0.29798842440006429</v>
      </c>
      <c r="H34">
        <v>-0.47798183487521578</v>
      </c>
      <c r="I34">
        <v>-5.1536006378033454E-2</v>
      </c>
      <c r="J34">
        <v>-0.35357833002533917</v>
      </c>
      <c r="K34">
        <v>-0.23766278722970227</v>
      </c>
      <c r="L34">
        <v>-0.2628606730229513</v>
      </c>
      <c r="M34">
        <v>-0.31616886812784528</v>
      </c>
      <c r="N34">
        <v>-0.13999431456957034</v>
      </c>
      <c r="O34">
        <v>-0.28288741200299949</v>
      </c>
      <c r="P34">
        <v>-0.23869927441332003</v>
      </c>
      <c r="Q34">
        <v>-0.29198737492513988</v>
      </c>
      <c r="R34">
        <v>-8.6289094298839172E-2</v>
      </c>
      <c r="S34">
        <v>-0.80603569436600631</v>
      </c>
      <c r="T34">
        <v>-0.21395113859170023</v>
      </c>
      <c r="U34">
        <v>-8.7206390831839578E-2</v>
      </c>
      <c r="V34">
        <v>-0.32432094506318088</v>
      </c>
      <c r="W34">
        <v>-0.19657278360345354</v>
      </c>
      <c r="X34">
        <v>-0.1465330868980726</v>
      </c>
      <c r="Y34">
        <v>-0.32547647768821886</v>
      </c>
    </row>
    <row r="35" spans="1:25" x14ac:dyDescent="0.2">
      <c r="A35">
        <v>-53</v>
      </c>
      <c r="B35">
        <v>-0.57333970865661465</v>
      </c>
      <c r="C35">
        <v>-0.55245627706215683</v>
      </c>
      <c r="D35">
        <v>-5.2074813251230971E-2</v>
      </c>
      <c r="E35">
        <v>-0.60357546437094378</v>
      </c>
      <c r="F35">
        <v>-0.53085567668736133</v>
      </c>
      <c r="G35">
        <v>-0.34244011614814707</v>
      </c>
      <c r="H35">
        <v>-0.56166662327467509</v>
      </c>
      <c r="I35">
        <v>-5.8208501097898331E-2</v>
      </c>
      <c r="J35">
        <v>-0.40851619588016402</v>
      </c>
      <c r="K35">
        <v>-0.27174450186317295</v>
      </c>
      <c r="L35">
        <v>-0.29878390414046557</v>
      </c>
      <c r="M35">
        <v>-0.36820719274346186</v>
      </c>
      <c r="N35">
        <v>-0.15623492268525055</v>
      </c>
      <c r="O35">
        <v>-0.32323528297354637</v>
      </c>
      <c r="P35">
        <v>-0.26999618087238331</v>
      </c>
      <c r="Q35">
        <v>-0.33935859647227296</v>
      </c>
      <c r="R35">
        <v>-0.10304322225085319</v>
      </c>
      <c r="S35">
        <v>-0.91790888600957654</v>
      </c>
      <c r="T35">
        <v>-0.24463901848585126</v>
      </c>
      <c r="U35">
        <v>-0.10257031752538294</v>
      </c>
      <c r="V35">
        <v>-0.36795765747628306</v>
      </c>
      <c r="W35">
        <v>-0.22409114707784777</v>
      </c>
      <c r="X35">
        <v>-0.16869304501107288</v>
      </c>
      <c r="Y35">
        <v>-0.36501960396003952</v>
      </c>
    </row>
    <row r="36" spans="1:25" x14ac:dyDescent="0.2">
      <c r="A36">
        <v>-52</v>
      </c>
      <c r="B36">
        <v>-0.66496565111617656</v>
      </c>
      <c r="C36">
        <v>-0.67519151858431059</v>
      </c>
      <c r="D36">
        <v>-5.8507960725626251E-2</v>
      </c>
      <c r="E36">
        <v>-0.70427623848098719</v>
      </c>
      <c r="F36">
        <v>-0.61224042777901033</v>
      </c>
      <c r="G36">
        <v>-0.39348645509182528</v>
      </c>
      <c r="H36">
        <v>-0.65994365227564922</v>
      </c>
      <c r="I36">
        <v>-6.5738590656592211E-2</v>
      </c>
      <c r="J36">
        <v>-0.47194693011260291</v>
      </c>
      <c r="K36">
        <v>-0.31068471156536737</v>
      </c>
      <c r="L36">
        <v>-0.33958223423783956</v>
      </c>
      <c r="M36">
        <v>-0.42877165877093359</v>
      </c>
      <c r="N36">
        <v>-0.17433984611067785</v>
      </c>
      <c r="O36">
        <v>-0.36930161911053561</v>
      </c>
      <c r="P36">
        <v>-0.30536491672164762</v>
      </c>
      <c r="Q36">
        <v>-0.39438002534409483</v>
      </c>
      <c r="R36">
        <v>-0.12304159440412307</v>
      </c>
      <c r="S36">
        <v>-1.0451492972479492</v>
      </c>
      <c r="T36">
        <v>-0.27970316937288114</v>
      </c>
      <c r="U36">
        <v>-0.12063290948841089</v>
      </c>
      <c r="V36">
        <v>-0.41740650490461501</v>
      </c>
      <c r="W36">
        <v>-0.25543726354493035</v>
      </c>
      <c r="X36">
        <v>-0.19418907410801442</v>
      </c>
      <c r="Y36">
        <v>-0.40930401358647811</v>
      </c>
    </row>
    <row r="37" spans="1:25" x14ac:dyDescent="0.2">
      <c r="A37">
        <v>-51</v>
      </c>
      <c r="B37">
        <v>-0.77115795255338759</v>
      </c>
      <c r="C37">
        <v>-0.82512167320164875</v>
      </c>
      <c r="D37">
        <v>-6.5728746252478321E-2</v>
      </c>
      <c r="E37">
        <v>-0.82169766401130551</v>
      </c>
      <c r="F37">
        <v>-0.70603118803867249</v>
      </c>
      <c r="G37">
        <v>-0.45209803576817553</v>
      </c>
      <c r="H37">
        <v>-0.77534216834140102</v>
      </c>
      <c r="I37">
        <v>-7.423535113572953E-2</v>
      </c>
      <c r="J37">
        <v>-0.54517378137664896</v>
      </c>
      <c r="K37">
        <v>-0.35517010666489923</v>
      </c>
      <c r="L37">
        <v>-0.38591028555804169</v>
      </c>
      <c r="M37">
        <v>-0.49924952834185227</v>
      </c>
      <c r="N37">
        <v>-0.1945197361664974</v>
      </c>
      <c r="O37">
        <v>-0.42188915196080512</v>
      </c>
      <c r="P37">
        <v>-0.34532908801428686</v>
      </c>
      <c r="Q37">
        <v>-0.45827926969280075</v>
      </c>
      <c r="R37">
        <v>-0.14691039496646027</v>
      </c>
      <c r="S37">
        <v>-1.1898296505595454</v>
      </c>
      <c r="T37">
        <v>-0.31976250396424655</v>
      </c>
      <c r="U37">
        <v>-0.14186644323783748</v>
      </c>
      <c r="V37">
        <v>-0.473428452142927</v>
      </c>
      <c r="W37">
        <v>-0.2911386068962879</v>
      </c>
      <c r="X37">
        <v>-0.22352034327331197</v>
      </c>
      <c r="Y37">
        <v>-0.45888538081970742</v>
      </c>
    </row>
    <row r="38" spans="1:25" x14ac:dyDescent="0.2">
      <c r="A38">
        <v>-50</v>
      </c>
      <c r="B38">
        <v>-0.89421443489223906</v>
      </c>
      <c r="C38">
        <v>-1.0082491610833024</v>
      </c>
      <c r="D38">
        <v>-7.3832326563444572E-2</v>
      </c>
      <c r="E38">
        <v>-0.95859647767446643</v>
      </c>
      <c r="F38">
        <v>-0.81410316584346176</v>
      </c>
      <c r="G38">
        <v>-0.51938645282379603</v>
      </c>
      <c r="H38">
        <v>-0.9108253909859334</v>
      </c>
      <c r="I38">
        <v>-8.3821501040049845E-2</v>
      </c>
      <c r="J38">
        <v>-0.62969755993470777</v>
      </c>
      <c r="K38">
        <v>-0.40598308884841999</v>
      </c>
      <c r="L38">
        <v>-0.43850900078860677</v>
      </c>
      <c r="M38">
        <v>-0.58125106023092743</v>
      </c>
      <c r="N38">
        <v>-0.21700841560654011</v>
      </c>
      <c r="O38">
        <v>-0.48191145187116674</v>
      </c>
      <c r="P38">
        <v>-0.39047830249639892</v>
      </c>
      <c r="Q38">
        <v>-0.53247896726498944</v>
      </c>
      <c r="R38">
        <v>-0.17539617176714672</v>
      </c>
      <c r="S38">
        <v>-1.3542922626051144</v>
      </c>
      <c r="T38">
        <v>-0.36552229308879713</v>
      </c>
      <c r="U38">
        <v>-0.16682544334309796</v>
      </c>
      <c r="V38">
        <v>-0.53688085390599949</v>
      </c>
      <c r="W38">
        <v>-0.33179422250695728</v>
      </c>
      <c r="X38">
        <v>-0.25726002696501893</v>
      </c>
      <c r="Y38">
        <v>-0.51438164200148084</v>
      </c>
    </row>
    <row r="39" spans="1:25" x14ac:dyDescent="0.2">
      <c r="A39">
        <v>-49</v>
      </c>
      <c r="B39">
        <v>-1.0367907033420116</v>
      </c>
      <c r="C39">
        <v>-1.2318927000987463</v>
      </c>
      <c r="D39">
        <v>-8.2925100086170128E-2</v>
      </c>
      <c r="E39">
        <v>-1.1181785336620944</v>
      </c>
      <c r="F39">
        <v>-0.93861101424671922</v>
      </c>
      <c r="G39">
        <v>-0.59662429205892087</v>
      </c>
      <c r="H39">
        <v>-1.0698635453055061</v>
      </c>
      <c r="I39">
        <v>-9.4635056076731047E-2</v>
      </c>
      <c r="J39">
        <v>-0.72724590831517333</v>
      </c>
      <c r="K39">
        <v>-0.46401477100544836</v>
      </c>
      <c r="L39">
        <v>-0.49821662916928883</v>
      </c>
      <c r="M39">
        <v>-0.67664451066152242</v>
      </c>
      <c r="N39">
        <v>-0.242065297153711</v>
      </c>
      <c r="O39">
        <v>-0.55040774626757083</v>
      </c>
      <c r="P39">
        <v>-0.44147617170121428</v>
      </c>
      <c r="Q39">
        <v>-0.61862722063555931</v>
      </c>
      <c r="R39">
        <v>-0.20938883714208276</v>
      </c>
      <c r="S39">
        <v>-1.5411813189183592</v>
      </c>
      <c r="T39">
        <v>-0.41778591963630374</v>
      </c>
      <c r="U39">
        <v>-0.19616090314617327</v>
      </c>
      <c r="V39">
        <v>-0.60872880338655455</v>
      </c>
      <c r="W39">
        <v>-0.37808415972985671</v>
      </c>
      <c r="X39">
        <v>-0.29606610540529915</v>
      </c>
      <c r="Y39">
        <v>-0.5764792832333262</v>
      </c>
    </row>
    <row r="40" spans="1:25" x14ac:dyDescent="0.2">
      <c r="A40">
        <v>-48</v>
      </c>
      <c r="B40">
        <v>-1.2019544838044642</v>
      </c>
      <c r="C40">
        <v>-1.5049724204834438</v>
      </c>
      <c r="D40">
        <v>-9.3125979020619046E-2</v>
      </c>
      <c r="E40">
        <v>-1.3041703237016524</v>
      </c>
      <c r="F40">
        <v>-1.0820293575053597</v>
      </c>
      <c r="G40">
        <v>-0.6852678128104458</v>
      </c>
      <c r="H40">
        <v>-1.2565186829785804</v>
      </c>
      <c r="I40">
        <v>-0.10683117203793759</v>
      </c>
      <c r="J40">
        <v>-0.83980670194014639</v>
      </c>
      <c r="K40">
        <v>-0.53027964842961994</v>
      </c>
      <c r="L40">
        <v>-0.56598100326992462</v>
      </c>
      <c r="M40">
        <v>-0.78759634531996392</v>
      </c>
      <c r="N40">
        <v>-0.26997802511908875</v>
      </c>
      <c r="O40">
        <v>-0.62855958064065776</v>
      </c>
      <c r="P40">
        <v>-0.49906920100751467</v>
      </c>
      <c r="Q40">
        <v>-0.71863261242403298</v>
      </c>
      <c r="R40">
        <v>-0.24994902287106982</v>
      </c>
      <c r="S40">
        <v>-1.7534781881115571</v>
      </c>
      <c r="T40">
        <v>-0.47746815054642922</v>
      </c>
      <c r="U40">
        <v>-0.23063693451379388</v>
      </c>
      <c r="V40">
        <v>-0.69005757399256529</v>
      </c>
      <c r="W40">
        <v>-0.43078007151760861</v>
      </c>
      <c r="X40">
        <v>-0.34069369350848788</v>
      </c>
      <c r="Y40">
        <v>-0.64594008638227418</v>
      </c>
    </row>
    <row r="41" spans="1:25" x14ac:dyDescent="0.2">
      <c r="A41">
        <v>-47</v>
      </c>
      <c r="B41">
        <v>-1.3932477773417418</v>
      </c>
      <c r="C41">
        <v>-1.8383551343629982</v>
      </c>
      <c r="D41">
        <v>-0.10456779192804191</v>
      </c>
      <c r="E41">
        <v>-1.5209013381436243</v>
      </c>
      <c r="F41">
        <v>-1.2471988562119394</v>
      </c>
      <c r="G41">
        <v>-0.78698263956281433</v>
      </c>
      <c r="H41">
        <v>-1.475543007772278</v>
      </c>
      <c r="I41">
        <v>-0.12058419382948656</v>
      </c>
      <c r="J41">
        <v>-0.96966609517107427</v>
      </c>
      <c r="K41">
        <v>-0.60593212822265607</v>
      </c>
      <c r="L41">
        <v>-0.64287322691510496</v>
      </c>
      <c r="M41">
        <v>-0.91661733892290442</v>
      </c>
      <c r="N41">
        <v>-0.30106535350197738</v>
      </c>
      <c r="O41">
        <v>-0.71770950945862622</v>
      </c>
      <c r="P41">
        <v>-0.56409664338981613</v>
      </c>
      <c r="Q41">
        <v>-0.83470443329402844</v>
      </c>
      <c r="R41">
        <v>-0.29834059913963307</v>
      </c>
      <c r="S41">
        <v>-1.9945397999453816</v>
      </c>
      <c r="T41">
        <v>-0.54561009865536492</v>
      </c>
      <c r="U41">
        <v>-0.27115025191840769</v>
      </c>
      <c r="V41">
        <v>-0.78208618593299217</v>
      </c>
      <c r="W41">
        <v>-0.49075710339564993</v>
      </c>
      <c r="X41">
        <v>-0.39200910027759495</v>
      </c>
      <c r="Y41">
        <v>-0.72360831705531359</v>
      </c>
    </row>
    <row r="42" spans="1:25" x14ac:dyDescent="0.2">
      <c r="A42">
        <v>-46</v>
      </c>
      <c r="B42">
        <v>-1.614757809230621</v>
      </c>
      <c r="C42">
        <v>-2.2452716852094468</v>
      </c>
      <c r="D42">
        <v>-0.11739882674485956</v>
      </c>
      <c r="E42">
        <v>-1.7733987176113282</v>
      </c>
      <c r="F42">
        <v>-1.4373784583939877</v>
      </c>
      <c r="G42">
        <v>-0.90367280346192325</v>
      </c>
      <c r="H42">
        <v>-1.7324925981064214</v>
      </c>
      <c r="I42">
        <v>-0.13608992945891352</v>
      </c>
      <c r="J42">
        <v>-1.1194517692433694</v>
      </c>
      <c r="K42">
        <v>-0.69228511569275386</v>
      </c>
      <c r="L42">
        <v>-0.73010289616799073</v>
      </c>
      <c r="M42">
        <v>-1.0666152893027756</v>
      </c>
      <c r="N42">
        <v>-0.33568027278208928</v>
      </c>
      <c r="O42">
        <v>-0.81938200954377871</v>
      </c>
      <c r="P42">
        <v>-0.63750139211187962</v>
      </c>
      <c r="Q42">
        <v>-0.96939882299891456</v>
      </c>
      <c r="R42">
        <v>-0.3560693127498113</v>
      </c>
      <c r="S42">
        <v>-2.2681400089245951</v>
      </c>
      <c r="T42">
        <v>-0.6233960579496215</v>
      </c>
      <c r="U42">
        <v>-0.31875296038396755</v>
      </c>
      <c r="V42">
        <v>-0.88618210356464988</v>
      </c>
      <c r="W42">
        <v>-0.5590071998265107</v>
      </c>
      <c r="X42">
        <v>-0.45100584263144422</v>
      </c>
      <c r="Y42">
        <v>-0.81041831982616752</v>
      </c>
    </row>
    <row r="43" spans="1:25" x14ac:dyDescent="0.2">
      <c r="A43">
        <v>-45</v>
      </c>
      <c r="B43">
        <v>-1.8711978194034866</v>
      </c>
      <c r="C43">
        <v>-2.7418202834098753</v>
      </c>
      <c r="D43">
        <v>-0.1317845238876138</v>
      </c>
      <c r="E43">
        <v>-2.0674957658502624</v>
      </c>
      <c r="F43">
        <v>-1.6563045216463526</v>
      </c>
      <c r="G43">
        <v>-1.0375134932723922</v>
      </c>
      <c r="H43">
        <v>-2.0338585822574347</v>
      </c>
      <c r="I43">
        <v>-0.15356816827372669</v>
      </c>
      <c r="J43">
        <v>-1.2921819737804678</v>
      </c>
      <c r="K43">
        <v>-0.79083086598636343</v>
      </c>
      <c r="L43">
        <v>-0.82903497290510975</v>
      </c>
      <c r="M43">
        <v>-1.2409551116771729</v>
      </c>
      <c r="N43">
        <v>-0.37421339569605855</v>
      </c>
      <c r="O43">
        <v>-0.93530680850759118</v>
      </c>
      <c r="P43">
        <v>-0.72034198443715258</v>
      </c>
      <c r="Q43">
        <v>-1.1256715916731501</v>
      </c>
      <c r="R43">
        <v>-0.42492866888267172</v>
      </c>
      <c r="S43">
        <v>-2.5785137220077954</v>
      </c>
      <c r="T43">
        <v>-0.71217240553220518</v>
      </c>
      <c r="U43">
        <v>-0.37467918997798216</v>
      </c>
      <c r="V43">
        <v>-1.0038770328462112</v>
      </c>
      <c r="W43">
        <v>-0.63665395952346515</v>
      </c>
      <c r="X43">
        <v>-0.51882286043765191</v>
      </c>
      <c r="Y43">
        <v>-0.90740246203060193</v>
      </c>
    </row>
    <row r="44" spans="1:25" x14ac:dyDescent="0.2">
      <c r="A44">
        <v>-44</v>
      </c>
      <c r="B44">
        <v>-2.1679987935285929</v>
      </c>
      <c r="C44">
        <v>-3.347571841464438</v>
      </c>
      <c r="D44">
        <v>-0.14790932849224564</v>
      </c>
      <c r="E44">
        <v>-2.4099559949858218</v>
      </c>
      <c r="F44">
        <v>-1.9082575160444422</v>
      </c>
      <c r="G44">
        <v>-1.1909878875385589</v>
      </c>
      <c r="H44">
        <v>-2.3872179533503735</v>
      </c>
      <c r="I44">
        <v>-0.17326546279047197</v>
      </c>
      <c r="J44">
        <v>-1.491320978358639</v>
      </c>
      <c r="K44">
        <v>-0.90326431460852064</v>
      </c>
      <c r="L44">
        <v>-0.94120842276577354</v>
      </c>
      <c r="M44">
        <v>-1.4435270970190599</v>
      </c>
      <c r="N44">
        <v>-0.41709660943190974</v>
      </c>
      <c r="O44">
        <v>-1.0674448132597834</v>
      </c>
      <c r="P44">
        <v>-0.8138057815538795</v>
      </c>
      <c r="Q44">
        <v>-1.3069385511620761</v>
      </c>
      <c r="R44">
        <v>-0.50705437655919183</v>
      </c>
      <c r="S44">
        <v>-2.9304033746735465</v>
      </c>
      <c r="T44">
        <v>-0.81346877007058149</v>
      </c>
      <c r="U44">
        <v>-0.4403762023021987</v>
      </c>
      <c r="V44">
        <v>-1.1368837378665868</v>
      </c>
      <c r="W44">
        <v>-0.7249691713332197</v>
      </c>
      <c r="X44">
        <v>-0.59676520246784859</v>
      </c>
      <c r="Y44">
        <v>-1.0156993366298841</v>
      </c>
    </row>
    <row r="45" spans="1:25" x14ac:dyDescent="0.2">
      <c r="A45">
        <v>-43</v>
      </c>
      <c r="B45">
        <v>-2.5114132581831137</v>
      </c>
      <c r="C45">
        <v>-4.0862954376861422</v>
      </c>
      <c r="D45">
        <v>-0.16597870970652417</v>
      </c>
      <c r="E45">
        <v>-2.8086144375549589</v>
      </c>
      <c r="F45">
        <v>-2.1981370216540608</v>
      </c>
      <c r="G45">
        <v>-1.3669284415626677</v>
      </c>
      <c r="H45">
        <v>-2.801406285036574</v>
      </c>
      <c r="I45">
        <v>-0.19545819290265951</v>
      </c>
      <c r="J45">
        <v>-1.7208415584981365</v>
      </c>
      <c r="K45">
        <v>-1.0315090998097562</v>
      </c>
      <c r="L45">
        <v>-1.0683567141416179</v>
      </c>
      <c r="M45">
        <v>-1.6788241043290921</v>
      </c>
      <c r="N45">
        <v>-0.46480699762420641</v>
      </c>
      <c r="O45">
        <v>-1.2180168052661871</v>
      </c>
      <c r="P45">
        <v>-0.91922337807262133</v>
      </c>
      <c r="Q45">
        <v>-1.5171442388196554</v>
      </c>
      <c r="R45">
        <v>-0.60498890339262268</v>
      </c>
      <c r="S45">
        <v>-3.329107081115632</v>
      </c>
      <c r="T45">
        <v>-0.92902166789795748</v>
      </c>
      <c r="U45">
        <v>-0.51754068737079717</v>
      </c>
      <c r="V45">
        <v>-1.28711372762107</v>
      </c>
      <c r="W45">
        <v>-0.8253911573802184</v>
      </c>
      <c r="X45">
        <v>-0.68632747507892722</v>
      </c>
      <c r="Y45">
        <v>-1.1365620955779856</v>
      </c>
    </row>
    <row r="46" spans="1:25" x14ac:dyDescent="0.2">
      <c r="A46">
        <v>-42</v>
      </c>
      <c r="B46">
        <v>-2.9086322437049756</v>
      </c>
      <c r="C46">
        <v>-4.9868239503576985</v>
      </c>
      <c r="D46">
        <v>-0.18622135317253224</v>
      </c>
      <c r="E46">
        <v>-3.2725379615396171</v>
      </c>
      <c r="F46">
        <v>-2.5315457076004959</v>
      </c>
      <c r="G46">
        <v>-1.5685629892891717</v>
      </c>
      <c r="H46">
        <v>-3.2867145869611205</v>
      </c>
      <c r="I46">
        <v>-0.22045592987634777</v>
      </c>
      <c r="J46">
        <v>-1.9852951226869944</v>
      </c>
      <c r="K46">
        <v>-1.1777464803087179</v>
      </c>
      <c r="L46">
        <v>-1.2124302498274635</v>
      </c>
      <c r="M46">
        <v>-1.9520283937655978</v>
      </c>
      <c r="N46">
        <v>-0.51787102998345802</v>
      </c>
      <c r="O46">
        <v>-1.3895350360791261</v>
      </c>
      <c r="P46">
        <v>-1.0380842760561555</v>
      </c>
      <c r="Q46">
        <v>-1.7608399508410673</v>
      </c>
      <c r="R46">
        <v>-0.72175794271763505</v>
      </c>
      <c r="S46">
        <v>-3.7805274469900745</v>
      </c>
      <c r="T46">
        <v>-1.0608008019194757</v>
      </c>
      <c r="U46">
        <v>-0.60816107258528707</v>
      </c>
      <c r="V46">
        <v>-1.4566955747611356</v>
      </c>
      <c r="W46">
        <v>-0.93954503824899782</v>
      </c>
      <c r="X46">
        <v>-0.78922036523260741</v>
      </c>
      <c r="Y46">
        <v>-1.2713667362710606</v>
      </c>
    </row>
    <row r="47" spans="1:25" x14ac:dyDescent="0.2">
      <c r="A47">
        <v>-41</v>
      </c>
      <c r="B47">
        <v>-3.3679164328310081</v>
      </c>
      <c r="C47">
        <v>-6.0840812650078737</v>
      </c>
      <c r="D47">
        <v>-0.20889153020350842</v>
      </c>
      <c r="E47">
        <v>-3.8122062320366852</v>
      </c>
      <c r="F47">
        <v>-2.9148829080921925</v>
      </c>
      <c r="G47">
        <v>-1.7995659846261352</v>
      </c>
      <c r="H47">
        <v>-3.8551123688425499</v>
      </c>
      <c r="I47">
        <v>-0.24860511505105048</v>
      </c>
      <c r="J47">
        <v>-2.2898900317583069</v>
      </c>
      <c r="K47">
        <v>-1.3444473298871173</v>
      </c>
      <c r="L47">
        <v>-1.3756207647568028</v>
      </c>
      <c r="M47">
        <v>-2.2691086739021329</v>
      </c>
      <c r="N47">
        <v>-0.57686900997914226</v>
      </c>
      <c r="O47">
        <v>-1.584837803515776</v>
      </c>
      <c r="P47">
        <v>-1.1720538316011049</v>
      </c>
      <c r="Q47">
        <v>-2.0432720075466513</v>
      </c>
      <c r="R47">
        <v>-0.8609608873124317</v>
      </c>
      <c r="S47">
        <v>-4.2912196005812016</v>
      </c>
      <c r="T47">
        <v>-1.2110382019255668</v>
      </c>
      <c r="U47">
        <v>-0.71456677890937992</v>
      </c>
      <c r="V47">
        <v>-1.6479935120815781</v>
      </c>
      <c r="W47">
        <v>-1.069265013492477</v>
      </c>
      <c r="X47">
        <v>-0.90740056497943955</v>
      </c>
      <c r="Y47">
        <v>-1.4216201033604294</v>
      </c>
    </row>
    <row r="48" spans="1:25" x14ac:dyDescent="0.2">
      <c r="A48">
        <v>-40</v>
      </c>
      <c r="B48">
        <v>-3.8987423332365796</v>
      </c>
      <c r="C48">
        <v>-7.4202927083508659</v>
      </c>
      <c r="D48">
        <v>-0.23427164343891435</v>
      </c>
      <c r="E48">
        <v>-4.4397147308647016</v>
      </c>
      <c r="F48">
        <v>-3.3554482763035987</v>
      </c>
      <c r="G48">
        <v>-2.064115140415232</v>
      </c>
      <c r="H48">
        <v>-4.5204985902569419</v>
      </c>
      <c r="I48">
        <v>-0.28029306420141442</v>
      </c>
      <c r="J48">
        <v>-2.640578553420045</v>
      </c>
      <c r="K48">
        <v>-1.5344073513810779</v>
      </c>
      <c r="L48">
        <v>-1.5603876678679407</v>
      </c>
      <c r="M48">
        <v>-2.6369277024607656</v>
      </c>
      <c r="N48">
        <v>-0.64243976128104818</v>
      </c>
      <c r="O48">
        <v>-1.8071270091550107</v>
      </c>
      <c r="P48">
        <v>-1.3229914440629056</v>
      </c>
      <c r="Q48">
        <v>-2.3704811335263378</v>
      </c>
      <c r="R48">
        <v>-1.0268777287472324</v>
      </c>
      <c r="S48">
        <v>-4.8684364533795303</v>
      </c>
      <c r="T48">
        <v>-1.3822603537931832</v>
      </c>
      <c r="U48">
        <v>-0.83948548168214165</v>
      </c>
      <c r="V48">
        <v>-1.8636258046421841</v>
      </c>
      <c r="W48">
        <v>-1.2166187163946804</v>
      </c>
      <c r="X48">
        <v>-1.0431044329573529</v>
      </c>
      <c r="Y48">
        <v>-1.5889672948082554</v>
      </c>
    </row>
    <row r="49" spans="1:25" x14ac:dyDescent="0.2">
      <c r="A49">
        <v>-39</v>
      </c>
      <c r="B49">
        <v>-4.5119639993800718</v>
      </c>
      <c r="C49">
        <v>-9.0463986458006271</v>
      </c>
      <c r="D49">
        <v>-0.26267494366522298</v>
      </c>
      <c r="E49">
        <v>-5.1690008124812366</v>
      </c>
      <c r="F49">
        <v>-3.8615557758980859</v>
      </c>
      <c r="G49">
        <v>-2.3669536148839501</v>
      </c>
      <c r="H49">
        <v>-5.2989814612985287</v>
      </c>
      <c r="I49">
        <v>-0.31595230263372098</v>
      </c>
      <c r="J49">
        <v>-3.04415271240567</v>
      </c>
      <c r="K49">
        <v>-1.7507855905366927</v>
      </c>
      <c r="L49">
        <v>-1.7694862286351263</v>
      </c>
      <c r="M49">
        <v>-3.0633604072874618</v>
      </c>
      <c r="N49">
        <v>-0.71528552113783028</v>
      </c>
      <c r="O49">
        <v>-2.0600085833817081</v>
      </c>
      <c r="P49">
        <v>-1.4929699061295116</v>
      </c>
      <c r="Q49">
        <v>-2.7494137300524835</v>
      </c>
      <c r="R49">
        <v>-1.2245951573628062</v>
      </c>
      <c r="S49">
        <v>-5.520168527414631</v>
      </c>
      <c r="T49">
        <v>-1.5773234141644807</v>
      </c>
      <c r="U49">
        <v>-0.98610956241289704</v>
      </c>
      <c r="V49">
        <v>-2.1064822099548532</v>
      </c>
      <c r="W49">
        <v>-1.3839336505252369</v>
      </c>
      <c r="X49">
        <v>-1.1988857259766141</v>
      </c>
      <c r="Y49">
        <v>-1.775198073015023</v>
      </c>
    </row>
    <row r="50" spans="1:25" x14ac:dyDescent="0.2">
      <c r="A50">
        <v>-38</v>
      </c>
      <c r="B50">
        <v>-5.2199903339079947</v>
      </c>
      <c r="C50">
        <v>-11.023686214309135</v>
      </c>
      <c r="D50">
        <v>-0.29444840567156261</v>
      </c>
      <c r="E50">
        <v>-6.0160930606613645</v>
      </c>
      <c r="F50">
        <v>-4.4426579317965968</v>
      </c>
      <c r="G50">
        <v>-2.7134577305567498</v>
      </c>
      <c r="H50">
        <v>-6.2091868960722518</v>
      </c>
      <c r="I50">
        <v>-0.35606522773767402</v>
      </c>
      <c r="J50">
        <v>-3.5083490140521651</v>
      </c>
      <c r="K50">
        <v>-1.9971462375566027</v>
      </c>
      <c r="L50">
        <v>-2.0059974031489047</v>
      </c>
      <c r="M50">
        <v>-3.5574219338169746</v>
      </c>
      <c r="N50">
        <v>-0.79617699294420319</v>
      </c>
      <c r="O50">
        <v>-2.3475355049930373</v>
      </c>
      <c r="P50">
        <v>-1.6842957635467541</v>
      </c>
      <c r="Q50">
        <v>-3.1880456174117908</v>
      </c>
      <c r="R50">
        <v>-1.4601550183752434</v>
      </c>
      <c r="S50">
        <v>-6.2551748708668926</v>
      </c>
      <c r="T50">
        <v>-1.7994515299331335</v>
      </c>
      <c r="U50">
        <v>-1.1581730691904153</v>
      </c>
      <c r="V50">
        <v>-2.3797396100128689</v>
      </c>
      <c r="W50">
        <v>-1.5738256420198347</v>
      </c>
      <c r="X50">
        <v>-1.3776577152579395</v>
      </c>
      <c r="Y50">
        <v>-1.9822517779403162</v>
      </c>
    </row>
    <row r="51" spans="1:25" x14ac:dyDescent="0.2">
      <c r="A51">
        <v>-37</v>
      </c>
      <c r="B51">
        <v>-6.0369772577100331</v>
      </c>
      <c r="C51">
        <v>-13.425644089582518</v>
      </c>
      <c r="D51">
        <v>-0.32997574205894137</v>
      </c>
      <c r="E51">
        <v>-6.9993831111524738</v>
      </c>
      <c r="F51">
        <v>-5.1094797681815871</v>
      </c>
      <c r="G51">
        <v>-3.1097099711397109</v>
      </c>
      <c r="H51">
        <v>-7.2725936360687653</v>
      </c>
      <c r="I51">
        <v>-0.40116908421345371</v>
      </c>
      <c r="J51">
        <v>-4.041961602495368</v>
      </c>
      <c r="K51">
        <v>-2.2775035715380096</v>
      </c>
      <c r="L51">
        <v>-2.2733589537006189</v>
      </c>
      <c r="M51">
        <v>-4.1294042150254606</v>
      </c>
      <c r="N51">
        <v>-0.88595849024781026</v>
      </c>
      <c r="O51">
        <v>-2.6742529263161132</v>
      </c>
      <c r="P51">
        <v>-1.8995304421959802</v>
      </c>
      <c r="Q51">
        <v>-3.6955184935850705</v>
      </c>
      <c r="R51">
        <v>-1.7407286717020094</v>
      </c>
      <c r="S51">
        <v>-7.0830006188777626</v>
      </c>
      <c r="T51">
        <v>-2.0522781699779036</v>
      </c>
      <c r="U51">
        <v>-1.3600406302157926</v>
      </c>
      <c r="V51">
        <v>-2.6868746223073012</v>
      </c>
      <c r="W51">
        <v>-1.7892291393531989</v>
      </c>
      <c r="X51">
        <v>-1.5827399605618473</v>
      </c>
      <c r="Y51">
        <v>-2.2122201188073243</v>
      </c>
    </row>
    <row r="52" spans="1:25" x14ac:dyDescent="0.2">
      <c r="A52">
        <v>-36</v>
      </c>
      <c r="B52">
        <v>-6.9790329708348784</v>
      </c>
      <c r="C52">
        <v>-16.340027391088618</v>
      </c>
      <c r="D52">
        <v>-0.36968052236106941</v>
      </c>
      <c r="E52">
        <v>-8.1399174884800516</v>
      </c>
      <c r="F52">
        <v>-5.8741611651481778</v>
      </c>
      <c r="G52">
        <v>-3.5625766654444821</v>
      </c>
      <c r="H52">
        <v>-8.5138904380201694</v>
      </c>
      <c r="I52">
        <v>-0.4518612217345836</v>
      </c>
      <c r="J52">
        <v>-4.6549628222961417</v>
      </c>
      <c r="K52">
        <v>-2.5963697188634809</v>
      </c>
      <c r="L52">
        <v>-2.5753973313212288</v>
      </c>
      <c r="M52">
        <v>-4.79101852452842</v>
      </c>
      <c r="N52">
        <v>-0.98555307962707606</v>
      </c>
      <c r="O52">
        <v>-3.0452446276831209</v>
      </c>
      <c r="P52">
        <v>-2.1415117826134313</v>
      </c>
      <c r="Q52">
        <v>-4.2822888448446044</v>
      </c>
      <c r="R52">
        <v>-2.0748211844995668</v>
      </c>
      <c r="S52">
        <v>-8.0139756486826208</v>
      </c>
      <c r="T52">
        <v>-2.3398902198752887</v>
      </c>
      <c r="U52">
        <v>-1.5968098769483632</v>
      </c>
      <c r="V52">
        <v>-3.0316716694430483</v>
      </c>
      <c r="W52">
        <v>-2.0334290539867719</v>
      </c>
      <c r="X52">
        <v>-1.8179099423993483</v>
      </c>
      <c r="Y52">
        <v>-2.4673470847366068</v>
      </c>
    </row>
    <row r="53" spans="1:25" x14ac:dyDescent="0.2">
      <c r="A53">
        <v>-35</v>
      </c>
      <c r="B53">
        <v>-8.0644330364373591</v>
      </c>
      <c r="C53">
        <v>-19.871090762832736</v>
      </c>
      <c r="D53">
        <v>-0.41402935011704284</v>
      </c>
      <c r="E53">
        <v>-9.4617047062409654</v>
      </c>
      <c r="F53">
        <v>-6.7504054084227061</v>
      </c>
      <c r="G53">
        <v>-4.0797893069390607</v>
      </c>
      <c r="H53">
        <v>-9.9613469960649308</v>
      </c>
      <c r="I53">
        <v>-0.50880458442664089</v>
      </c>
      <c r="J53">
        <v>-5.3586293334238677</v>
      </c>
      <c r="K53">
        <v>-2.9588046470950258</v>
      </c>
      <c r="L53">
        <v>-2.9163595532941344</v>
      </c>
      <c r="M53">
        <v>-5.555539924441395</v>
      </c>
      <c r="N53">
        <v>-1.0959675994255529</v>
      </c>
      <c r="O53">
        <v>-3.4661796508194769</v>
      </c>
      <c r="P53">
        <v>-2.4133754725543435</v>
      </c>
      <c r="Q53">
        <v>-4.960288292151783</v>
      </c>
      <c r="R53">
        <v>-2.4725096200336196</v>
      </c>
      <c r="S53">
        <v>-9.0591875525286678</v>
      </c>
      <c r="T53">
        <v>-2.6668743764733689</v>
      </c>
      <c r="U53">
        <v>-1.8744290148165494</v>
      </c>
      <c r="V53">
        <v>-3.4182246090433819</v>
      </c>
      <c r="W53">
        <v>-2.310093651655011</v>
      </c>
      <c r="X53">
        <v>-2.0874596362604616</v>
      </c>
      <c r="Y53">
        <v>-2.7500250646603006</v>
      </c>
    </row>
    <row r="54" spans="1:25" x14ac:dyDescent="0.2">
      <c r="A54">
        <v>-34</v>
      </c>
      <c r="B54">
        <v>-9.313839991279055</v>
      </c>
      <c r="C54">
        <v>-24.141902746839367</v>
      </c>
      <c r="D54">
        <v>-0.46353503205190877</v>
      </c>
      <c r="E54">
        <v>-10.992029703246823</v>
      </c>
      <c r="F54">
        <v>-7.7536304217801968</v>
      </c>
      <c r="G54">
        <v>-4.670027841210981</v>
      </c>
      <c r="H54">
        <v>-11.647185130038434</v>
      </c>
      <c r="I54">
        <v>-0.57273335512238199</v>
      </c>
      <c r="J54">
        <v>-6.1656708243670373</v>
      </c>
      <c r="K54">
        <v>-3.3704674847840956</v>
      </c>
      <c r="L54">
        <v>-3.300944007201041</v>
      </c>
      <c r="M54">
        <v>-6.4379474579208056</v>
      </c>
      <c r="N54">
        <v>-1.2182973944185336</v>
      </c>
      <c r="O54">
        <v>-3.9433574816259527</v>
      </c>
      <c r="P54">
        <v>-2.7185756810934429</v>
      </c>
      <c r="Q54">
        <v>-5.7430932887440402</v>
      </c>
      <c r="R54">
        <v>-2.9457199185486873</v>
      </c>
      <c r="S54">
        <v>-10.230420863233105</v>
      </c>
      <c r="T54">
        <v>-3.0383650936439444</v>
      </c>
      <c r="U54">
        <v>-2.1998312077236917</v>
      </c>
      <c r="V54">
        <v>-3.8509296034401856</v>
      </c>
      <c r="W54">
        <v>-2.6233077648725875</v>
      </c>
      <c r="X54">
        <v>-2.3962569387234036</v>
      </c>
      <c r="Y54">
        <v>-3.0627861076870313</v>
      </c>
    </row>
    <row r="55" spans="1:25" x14ac:dyDescent="0.2">
      <c r="A55">
        <v>-33</v>
      </c>
      <c r="B55">
        <v>-10.750519488083219</v>
      </c>
      <c r="C55">
        <v>-29.296588253027128</v>
      </c>
      <c r="D55">
        <v>-0.51875965061393148</v>
      </c>
      <c r="E55">
        <v>-12.761763408203105</v>
      </c>
      <c r="F55">
        <v>-8.9011174833727367</v>
      </c>
      <c r="G55">
        <v>-5.3430034454634709</v>
      </c>
      <c r="H55">
        <v>-13.607929877891948</v>
      </c>
      <c r="I55">
        <v>-0.64445864362819516</v>
      </c>
      <c r="J55">
        <v>-7.090356909213388</v>
      </c>
      <c r="K55">
        <v>-3.8376678263885187</v>
      </c>
      <c r="L55">
        <v>-3.7343287393146793</v>
      </c>
      <c r="M55">
        <v>-7.4550512599059857</v>
      </c>
      <c r="N55">
        <v>-1.3537305622939975</v>
      </c>
      <c r="O55">
        <v>-4.4837495510190539</v>
      </c>
      <c r="P55">
        <v>-3.060903967221166</v>
      </c>
      <c r="Q55">
        <v>-6.6461006073229969</v>
      </c>
      <c r="R55">
        <v>-3.5085469115413104</v>
      </c>
      <c r="S55">
        <v>-11.540053212329783</v>
      </c>
      <c r="T55">
        <v>-3.460092956523007</v>
      </c>
      <c r="U55">
        <v>-2.5810873854788912</v>
      </c>
      <c r="V55">
        <v>-4.3344664568163838</v>
      </c>
      <c r="W55">
        <v>-2.9776052911119901</v>
      </c>
      <c r="X55">
        <v>-2.7498116051258048</v>
      </c>
      <c r="Y55">
        <v>-3.4082870945932293</v>
      </c>
    </row>
    <row r="56" spans="1:25" x14ac:dyDescent="0.2">
      <c r="A56">
        <v>-32</v>
      </c>
      <c r="B56">
        <v>-12.400541467925443</v>
      </c>
      <c r="C56">
        <v>-35.502252249584537</v>
      </c>
      <c r="D56">
        <v>-0.58031742311389323</v>
      </c>
      <c r="E56">
        <v>-14.805649603353896</v>
      </c>
      <c r="F56">
        <v>-10.212150054813305</v>
      </c>
      <c r="G56">
        <v>-6.1095372853602035</v>
      </c>
      <c r="H56">
        <v>-15.884711141113865</v>
      </c>
      <c r="I56">
        <v>-0.72487406581478109</v>
      </c>
      <c r="J56">
        <v>-8.148635910113752</v>
      </c>
      <c r="K56">
        <v>-4.3674151301519117</v>
      </c>
      <c r="L56">
        <v>-4.2221953287664418</v>
      </c>
      <c r="M56">
        <v>-8.6255943775786541</v>
      </c>
      <c r="N56">
        <v>-1.5035514556261695</v>
      </c>
      <c r="O56">
        <v>-5.0950340815594064</v>
      </c>
      <c r="P56">
        <v>-3.4445052566659045</v>
      </c>
      <c r="Q56">
        <v>-7.6867030633078395</v>
      </c>
      <c r="R56">
        <v>-4.177621747850492</v>
      </c>
      <c r="S56">
        <v>-13.000898031588155</v>
      </c>
      <c r="T56">
        <v>-3.9384318806660921</v>
      </c>
      <c r="U56">
        <v>-3.0275788959363092</v>
      </c>
      <c r="V56">
        <v>-4.8737651927513239</v>
      </c>
      <c r="W56">
        <v>-3.377999556143648</v>
      </c>
      <c r="X56">
        <v>-3.1543450097511654</v>
      </c>
      <c r="Y56">
        <v>-3.7892874415429438</v>
      </c>
    </row>
    <row r="57" spans="1:25" x14ac:dyDescent="0.2">
      <c r="A57">
        <v>-31</v>
      </c>
      <c r="B57">
        <v>-14.292950411797014</v>
      </c>
      <c r="C57">
        <v>-42.950211650570765</v>
      </c>
      <c r="D57">
        <v>-0.64887719697273816</v>
      </c>
      <c r="E57">
        <v>-17.162544064807424</v>
      </c>
      <c r="F57">
        <v>-11.70813261862066</v>
      </c>
      <c r="G57">
        <v>-6.9816304266642968</v>
      </c>
      <c r="H57">
        <v>-18.523475177783055</v>
      </c>
      <c r="I57">
        <v>-0.81496100777076286</v>
      </c>
      <c r="J57">
        <v>-9.3582368477272446</v>
      </c>
      <c r="K57">
        <v>-4.9674636250596622</v>
      </c>
      <c r="L57">
        <v>-4.7707459031084847</v>
      </c>
      <c r="M57">
        <v>-9.9703129491274893</v>
      </c>
      <c r="N57">
        <v>-1.6691431222864601</v>
      </c>
      <c r="O57">
        <v>-5.7856204159103717</v>
      </c>
      <c r="P57">
        <v>-3.8738893488814745</v>
      </c>
      <c r="Q57">
        <v>-8.8844572965621644</v>
      </c>
      <c r="R57">
        <v>-4.9725302632199924</v>
      </c>
      <c r="S57">
        <v>-14.625982746160213</v>
      </c>
      <c r="T57">
        <v>-4.480442925651543</v>
      </c>
      <c r="U57">
        <v>-3.5501910446107536</v>
      </c>
      <c r="V57">
        <v>-5.4739542306183946</v>
      </c>
      <c r="W57">
        <v>-3.8300096469417855</v>
      </c>
      <c r="X57">
        <v>-3.6168625653372044</v>
      </c>
      <c r="Y57">
        <v>-4.2086178361988891</v>
      </c>
    </row>
    <row r="58" spans="1:25" x14ac:dyDescent="0.2">
      <c r="A58">
        <v>-30</v>
      </c>
      <c r="B58">
        <v>-16.459883228736913</v>
      </c>
      <c r="C58">
        <v>-51.856002175424798</v>
      </c>
      <c r="D58">
        <v>-0.72516439058372306</v>
      </c>
      <c r="E58">
        <v>-19.875572027493092</v>
      </c>
      <c r="F58">
        <v>-13.412676065673574</v>
      </c>
      <c r="G58">
        <v>-7.9725184695563982</v>
      </c>
      <c r="H58">
        <v>-21.57505143236185</v>
      </c>
      <c r="I58">
        <v>-0.91579330511259238</v>
      </c>
      <c r="J58">
        <v>-10.738743035381489</v>
      </c>
      <c r="K58">
        <v>-5.6463492926073489</v>
      </c>
      <c r="L58">
        <v>-5.3867102139590743</v>
      </c>
      <c r="M58">
        <v>-11.511933504561156</v>
      </c>
      <c r="N58">
        <v>-1.8519882978189293</v>
      </c>
      <c r="O58">
        <v>-6.5646579186349614</v>
      </c>
      <c r="P58">
        <v>-4.353936030643708</v>
      </c>
      <c r="Q58">
        <v>-10.261232059651723</v>
      </c>
      <c r="R58">
        <v>-5.9162843495133224</v>
      </c>
      <c r="S58">
        <v>-16.428251451344373</v>
      </c>
      <c r="T58">
        <v>-5.0939117617835699</v>
      </c>
      <c r="U58">
        <v>-4.1615279112818415</v>
      </c>
      <c r="V58">
        <v>-6.140286208870875</v>
      </c>
      <c r="W58">
        <v>-4.3396802443380871</v>
      </c>
      <c r="X58">
        <v>-4.1452270079640972</v>
      </c>
      <c r="Y58">
        <v>-4.669138438307745</v>
      </c>
    </row>
    <row r="59" spans="1:25" x14ac:dyDescent="0.2">
      <c r="A59">
        <v>-29</v>
      </c>
      <c r="B59">
        <v>-18.936606776938852</v>
      </c>
      <c r="C59">
        <v>-62.457439242660755</v>
      </c>
      <c r="D59">
        <v>-0.80996214273964984</v>
      </c>
      <c r="E59">
        <v>-22.992159331320305</v>
      </c>
      <c r="F59">
        <v>-15.351632178707945</v>
      </c>
      <c r="G59">
        <v>-9.096702544221877</v>
      </c>
      <c r="H59">
        <v>-25.095004210366515</v>
      </c>
      <c r="I59">
        <v>-1.0285409906120557</v>
      </c>
      <c r="J59">
        <v>-12.311622179206811</v>
      </c>
      <c r="K59">
        <v>-6.413414467696068</v>
      </c>
      <c r="L59">
        <v>-6.0773389703225025</v>
      </c>
      <c r="M59">
        <v>-13.275080675853875</v>
      </c>
      <c r="N59">
        <v>-2.0536684856326355</v>
      </c>
      <c r="O59">
        <v>-7.4420233598048142</v>
      </c>
      <c r="P59">
        <v>-4.8898914369345361</v>
      </c>
      <c r="Q59">
        <v>-11.841321234866067</v>
      </c>
      <c r="R59">
        <v>-7.0358458404139466</v>
      </c>
      <c r="S59">
        <v>-18.420182194228467</v>
      </c>
      <c r="T59">
        <v>-5.7873759199325061</v>
      </c>
      <c r="U59">
        <v>-4.8761477967690006</v>
      </c>
      <c r="V59">
        <v>-6.8780373854293124</v>
      </c>
      <c r="W59">
        <v>-4.9135918082378121</v>
      </c>
      <c r="X59">
        <v>-4.7482299313741905</v>
      </c>
      <c r="Y59">
        <v>-5.1736849930612019</v>
      </c>
    </row>
    <row r="60" spans="1:25" x14ac:dyDescent="0.2">
      <c r="A60">
        <v>-28</v>
      </c>
      <c r="B60">
        <v>-21.761439494820099</v>
      </c>
      <c r="C60">
        <v>-75.009818511873874</v>
      </c>
      <c r="D60">
        <v>-0.9041113805679214</v>
      </c>
      <c r="E60">
        <v>-26.563880392002797</v>
      </c>
      <c r="F60">
        <v>-17.55305517116928</v>
      </c>
      <c r="G60">
        <v>-10.369946067056741</v>
      </c>
      <c r="H60">
        <v>-29.143181444935944</v>
      </c>
      <c r="I60">
        <v>-1.1544726728249044</v>
      </c>
      <c r="J60">
        <v>-14.100193872714446</v>
      </c>
      <c r="K60">
        <v>-7.2788144096223633</v>
      </c>
      <c r="L60">
        <v>-6.8503788423557701</v>
      </c>
      <c r="M60">
        <v>-15.286062894990422</v>
      </c>
      <c r="N60">
        <v>-2.2758605762235655</v>
      </c>
      <c r="O60">
        <v>-8.4282794075250287</v>
      </c>
      <c r="P60">
        <v>-5.487352824255626</v>
      </c>
      <c r="Q60">
        <v>-13.65150067119357</v>
      </c>
      <c r="R60">
        <v>-8.3626983800654955</v>
      </c>
      <c r="S60">
        <v>-20.613311639462669</v>
      </c>
      <c r="T60">
        <v>-6.5701368834325242</v>
      </c>
      <c r="U60">
        <v>-5.7108170934192115</v>
      </c>
      <c r="V60">
        <v>-7.6923767352289412</v>
      </c>
      <c r="W60">
        <v>-5.5588571925738739</v>
      </c>
      <c r="X60">
        <v>-5.4356579054035379</v>
      </c>
      <c r="Y60">
        <v>-5.7250014446979955</v>
      </c>
    </row>
    <row r="61" spans="1:25" x14ac:dyDescent="0.2">
      <c r="A61">
        <v>-27</v>
      </c>
      <c r="B61">
        <v>-24.975513478144638</v>
      </c>
      <c r="C61">
        <v>-89.777188866578328</v>
      </c>
      <c r="D61">
        <v>-1.0085094571820903</v>
      </c>
      <c r="E61">
        <v>-30.646053081857872</v>
      </c>
      <c r="F61">
        <v>-20.047063230611279</v>
      </c>
      <c r="G61">
        <v>-11.809224164095653</v>
      </c>
      <c r="H61">
        <v>-33.782856115030292</v>
      </c>
      <c r="I61">
        <v>-1.2949560044443855</v>
      </c>
      <c r="J61">
        <v>-16.129510993142237</v>
      </c>
      <c r="K61">
        <v>-8.2534988476618381</v>
      </c>
      <c r="L61">
        <v>-7.7140237399385487</v>
      </c>
      <c r="M61">
        <v>-17.57249838290349</v>
      </c>
      <c r="N61">
        <v>-2.5203303675506219</v>
      </c>
      <c r="O61">
        <v>-9.534595554755704</v>
      </c>
      <c r="P61">
        <v>-6.1522384269598414</v>
      </c>
      <c r="Q61">
        <v>-15.721001937219391</v>
      </c>
      <c r="R61">
        <v>-9.9334566010688725</v>
      </c>
      <c r="S61">
        <v>-23.017664550161847</v>
      </c>
      <c r="T61">
        <v>-7.4522508584512632</v>
      </c>
      <c r="U61">
        <v>-6.684778114135014</v>
      </c>
      <c r="V61">
        <v>-8.5882015021885145</v>
      </c>
      <c r="W61">
        <v>-6.2830999124181126</v>
      </c>
      <c r="X61">
        <v>-6.2183482027524573</v>
      </c>
      <c r="Y61">
        <v>-6.3256579445573182</v>
      </c>
    </row>
    <row r="62" spans="1:25" x14ac:dyDescent="0.2">
      <c r="A62">
        <v>-26</v>
      </c>
      <c r="B62">
        <v>-28.622325255660609</v>
      </c>
      <c r="C62">
        <v>-107.01859892054597</v>
      </c>
      <c r="D62">
        <v>-1.1241069474402252</v>
      </c>
      <c r="E62">
        <v>-35.296998038866384</v>
      </c>
      <c r="F62">
        <v>-22.865567926946781</v>
      </c>
      <c r="G62">
        <v>-13.432610050243797</v>
      </c>
      <c r="H62">
        <v>-39.079342968867927</v>
      </c>
      <c r="I62">
        <v>-1.451455583053914</v>
      </c>
      <c r="J62">
        <v>-18.426127072724082</v>
      </c>
      <c r="K62">
        <v>-9.3491600557017485</v>
      </c>
      <c r="L62">
        <v>-8.6768362056173984</v>
      </c>
      <c r="M62">
        <v>-20.162739967434835</v>
      </c>
      <c r="N62">
        <v>-2.7889222593278458</v>
      </c>
      <c r="O62">
        <v>-10.772621613765244</v>
      </c>
      <c r="P62">
        <v>-6.8907385884691541</v>
      </c>
      <c r="Q62">
        <v>-18.081369431081324</v>
      </c>
      <c r="R62">
        <v>-11.790492988837105</v>
      </c>
      <c r="S62">
        <v>-25.641092569177431</v>
      </c>
      <c r="T62">
        <v>-8.4444907218620759</v>
      </c>
      <c r="U62">
        <v>-7.8200232444476399</v>
      </c>
      <c r="V62">
        <v>-9.5699372031973056</v>
      </c>
      <c r="W62">
        <v>-7.0944083922753185</v>
      </c>
      <c r="X62">
        <v>-7.1082275619608515</v>
      </c>
      <c r="Y62">
        <v>-6.9779536696867108</v>
      </c>
    </row>
    <row r="63" spans="1:25" x14ac:dyDescent="0.2">
      <c r="A63">
        <v>-25</v>
      </c>
      <c r="B63">
        <v>-32.747016646308552</v>
      </c>
      <c r="C63">
        <v>-126.96842631134457</v>
      </c>
      <c r="D63">
        <v>-1.2519021262194243</v>
      </c>
      <c r="E63">
        <v>-40.576870098174084</v>
      </c>
      <c r="F63">
        <v>-26.041834771601945</v>
      </c>
      <c r="G63">
        <v>-15.259080140832269</v>
      </c>
      <c r="H63">
        <v>-45.097969011445137</v>
      </c>
      <c r="I63">
        <v>-1.6255275022017919</v>
      </c>
      <c r="J63">
        <v>-21.017717772101797</v>
      </c>
      <c r="K63">
        <v>-10.578137551123678</v>
      </c>
      <c r="L63">
        <v>-9.7476321427732397</v>
      </c>
      <c r="M63">
        <v>-23.085056594679607</v>
      </c>
      <c r="N63">
        <v>-3.0835443106890579</v>
      </c>
      <c r="O63">
        <v>-12.154303026362889</v>
      </c>
      <c r="P63">
        <v>-7.709243949596126</v>
      </c>
      <c r="Q63">
        <v>-20.766160434942176</v>
      </c>
      <c r="R63">
        <v>-13.982550203655714</v>
      </c>
      <c r="S63">
        <v>-28.488536474074088</v>
      </c>
      <c r="T63">
        <v>-9.5582702676485862</v>
      </c>
      <c r="U63">
        <v>-9.1415634557014886</v>
      </c>
      <c r="V63">
        <v>-10.64130207889003</v>
      </c>
      <c r="W63">
        <v>-8.0012596629823403</v>
      </c>
      <c r="X63">
        <v>-8.1183255264288992</v>
      </c>
      <c r="Y63">
        <v>-7.6838046500827382</v>
      </c>
    </row>
    <row r="64" spans="1:25" x14ac:dyDescent="0.2">
      <c r="A64">
        <v>-24</v>
      </c>
      <c r="B64">
        <v>-37.395323198647439</v>
      </c>
      <c r="C64">
        <v>-149.81049262769332</v>
      </c>
      <c r="D64">
        <v>-1.3929325930999292</v>
      </c>
      <c r="E64">
        <v>-46.54596586717966</v>
      </c>
      <c r="F64">
        <v>-29.609835072096217</v>
      </c>
      <c r="G64">
        <v>-17.30821763523376</v>
      </c>
      <c r="H64">
        <v>-51.901287562673005</v>
      </c>
      <c r="I64">
        <v>-1.8188096434896872</v>
      </c>
      <c r="J64">
        <v>-23.932521962169297</v>
      </c>
      <c r="K64">
        <v>-11.953268200414449</v>
      </c>
      <c r="L64">
        <v>-10.935321772432285</v>
      </c>
      <c r="M64">
        <v>-26.366533927734594</v>
      </c>
      <c r="N64">
        <v>-3.4061477824471815</v>
      </c>
      <c r="O64">
        <v>-13.691626937169193</v>
      </c>
      <c r="P64">
        <v>-8.614246211439287</v>
      </c>
      <c r="Q64">
        <v>-23.810441480161568</v>
      </c>
      <c r="R64">
        <v>-16.565289456158808</v>
      </c>
      <c r="S64">
        <v>-31.56123829323197</v>
      </c>
      <c r="T64">
        <v>-10.80552058117739</v>
      </c>
      <c r="U64">
        <v>-10.677673474173854</v>
      </c>
      <c r="V64">
        <v>-11.80503886105229</v>
      </c>
      <c r="W64">
        <v>-9.0124052548541318</v>
      </c>
      <c r="X64">
        <v>-9.2627517479088208</v>
      </c>
      <c r="Y64">
        <v>-8.4446178783943999</v>
      </c>
    </row>
    <row r="65" spans="1:25" x14ac:dyDescent="0.2">
      <c r="A65">
        <v>-23</v>
      </c>
      <c r="B65">
        <v>-42.612129303672575</v>
      </c>
      <c r="C65">
        <v>-175.64677648006074</v>
      </c>
      <c r="D65">
        <v>-1.5482634570976801</v>
      </c>
      <c r="E65">
        <v>-53.262418635258889</v>
      </c>
      <c r="F65">
        <v>-33.60334882330006</v>
      </c>
      <c r="G65">
        <v>-19.599793291558846</v>
      </c>
      <c r="H65">
        <v>-59.545461024179474</v>
      </c>
      <c r="I65">
        <v>-2.0330066806993576</v>
      </c>
      <c r="J65">
        <v>-27.198567811944425</v>
      </c>
      <c r="K65">
        <v>-13.487669582245097</v>
      </c>
      <c r="L65">
        <v>-12.248699868958958</v>
      </c>
      <c r="M65">
        <v>-30.031668700115301</v>
      </c>
      <c r="N65">
        <v>-3.7587002442088422</v>
      </c>
      <c r="O65">
        <v>-15.396288624411708</v>
      </c>
      <c r="P65">
        <v>-9.6122069721476429</v>
      </c>
      <c r="Q65">
        <v>-27.250030125532074</v>
      </c>
      <c r="R65">
        <v>-19.601702947301384</v>
      </c>
      <c r="S65">
        <v>-34.855943778959407</v>
      </c>
      <c r="T65">
        <v>-12.19850736114199</v>
      </c>
      <c r="U65">
        <v>-12.460088498168222</v>
      </c>
      <c r="V65">
        <v>-13.062620523650079</v>
      </c>
      <c r="W65">
        <v>-10.136711615769773</v>
      </c>
      <c r="X65">
        <v>-10.556624311073371</v>
      </c>
      <c r="Y65">
        <v>-9.2611543560751155</v>
      </c>
    </row>
    <row r="66" spans="1:25" x14ac:dyDescent="0.2">
      <c r="A66">
        <v>-22</v>
      </c>
      <c r="B66">
        <v>-48.43957932117101</v>
      </c>
      <c r="C66">
        <v>-204.46319583795196</v>
      </c>
      <c r="D66">
        <v>-1.7189714644977845</v>
      </c>
      <c r="E66">
        <v>-60.779215649665673</v>
      </c>
      <c r="F66">
        <v>-38.054782423333698</v>
      </c>
      <c r="G66">
        <v>-22.153202840198158</v>
      </c>
      <c r="H66">
        <v>-68.075805719742448</v>
      </c>
      <c r="I66">
        <v>-2.2698686698153332</v>
      </c>
      <c r="J66">
        <v>-30.842653232988503</v>
      </c>
      <c r="K66">
        <v>-15.194444235721383</v>
      </c>
      <c r="L66">
        <v>-13.696179205531308</v>
      </c>
      <c r="M66">
        <v>-34.100654144398135</v>
      </c>
      <c r="N66">
        <v>-4.1431513286679662</v>
      </c>
      <c r="O66">
        <v>-17.279269919812013</v>
      </c>
      <c r="P66">
        <v>-10.709390493520381</v>
      </c>
      <c r="Q66">
        <v>-31.120430866508283</v>
      </c>
      <c r="R66">
        <v>-23.16228989850261</v>
      </c>
      <c r="S66">
        <v>-38.364150414974581</v>
      </c>
      <c r="T66">
        <v>-13.749577561266026</v>
      </c>
      <c r="U66">
        <v>-14.524118130489683</v>
      </c>
      <c r="V66">
        <v>-14.413941315212975</v>
      </c>
      <c r="W66">
        <v>-11.382947479393227</v>
      </c>
      <c r="X66">
        <v>-12.015933787960389</v>
      </c>
      <c r="Y66">
        <v>-10.133385387618777</v>
      </c>
    </row>
    <row r="67" spans="1:25" x14ac:dyDescent="0.2">
      <c r="A67">
        <v>-21</v>
      </c>
      <c r="B67">
        <v>-54.914716624385285</v>
      </c>
      <c r="C67">
        <v>-236.09695616785891</v>
      </c>
      <c r="D67">
        <v>-1.9061244542674036</v>
      </c>
      <c r="E67">
        <v>-69.140519616006841</v>
      </c>
      <c r="F67">
        <v>-42.993675544839334</v>
      </c>
      <c r="G67">
        <v>-24.986743880055052</v>
      </c>
      <c r="H67">
        <v>-77.521600289040379</v>
      </c>
      <c r="I67">
        <v>-2.531162044970058</v>
      </c>
      <c r="J67">
        <v>-34.889059881157685</v>
      </c>
      <c r="K67">
        <v>-17.086293333830646</v>
      </c>
      <c r="L67">
        <v>-15.285463019335403</v>
      </c>
      <c r="M67">
        <v>-38.587388928879484</v>
      </c>
      <c r="N67">
        <v>-4.5613902798757699</v>
      </c>
      <c r="O67">
        <v>-19.350325162587733</v>
      </c>
      <c r="P67">
        <v>-11.911657136025857</v>
      </c>
      <c r="Q67">
        <v>-35.455419935861542</v>
      </c>
      <c r="R67">
        <v>-27.324861631981523</v>
      </c>
      <c r="S67">
        <v>-42.071469298136982</v>
      </c>
      <c r="T67">
        <v>-15.470824209960908</v>
      </c>
      <c r="U67">
        <v>-16.908632168698027</v>
      </c>
      <c r="V67">
        <v>-15.857009553848577</v>
      </c>
      <c r="W67">
        <v>-12.759511490859641</v>
      </c>
      <c r="X67">
        <v>-13.657325644836988</v>
      </c>
      <c r="Y67">
        <v>-11.060348289809259</v>
      </c>
    </row>
    <row r="68" spans="1:25" x14ac:dyDescent="0.2">
      <c r="A68">
        <v>-20</v>
      </c>
      <c r="B68">
        <v>-62.06666090935385</v>
      </c>
      <c r="C68">
        <v>-270.21185157105219</v>
      </c>
      <c r="D68">
        <v>-2.1107555743081567</v>
      </c>
      <c r="E68">
        <v>-78.377351504458872</v>
      </c>
      <c r="F68">
        <v>-48.444890688605177</v>
      </c>
      <c r="G68">
        <v>-28.116722205838659</v>
      </c>
      <c r="H68">
        <v>-87.89040834501067</v>
      </c>
      <c r="I68">
        <v>-2.8186318572658786</v>
      </c>
      <c r="J68">
        <v>-39.357997566061684</v>
      </c>
      <c r="K68">
        <v>-19.175030883005995</v>
      </c>
      <c r="L68">
        <v>-17.023155465358869</v>
      </c>
      <c r="M68">
        <v>-43.497290103755923</v>
      </c>
      <c r="N68">
        <v>-5.0151945917746081</v>
      </c>
      <c r="O68">
        <v>-21.617376484604907</v>
      </c>
      <c r="P68">
        <v>-13.224215772349025</v>
      </c>
      <c r="Q68">
        <v>-40.285249269829805</v>
      </c>
      <c r="R68">
        <v>-32.173803367629432</v>
      </c>
      <c r="S68">
        <v>-45.957178103922246</v>
      </c>
      <c r="T68">
        <v>-17.373660144937123</v>
      </c>
      <c r="U68">
        <v>-19.655860432540042</v>
      </c>
      <c r="V68">
        <v>-17.387663881102881</v>
      </c>
      <c r="W68">
        <v>-14.274095378468662</v>
      </c>
      <c r="X68">
        <v>-15.497782222968066</v>
      </c>
      <c r="Y68">
        <v>-12.040009589919878</v>
      </c>
    </row>
    <row r="69" spans="1:25" x14ac:dyDescent="0.2">
      <c r="A69">
        <v>-19</v>
      </c>
      <c r="B69">
        <v>-69.913390879663055</v>
      </c>
      <c r="C69">
        <v>-306.28884570677167</v>
      </c>
      <c r="D69">
        <v>-2.3338318058791017</v>
      </c>
      <c r="E69">
        <v>-88.502797559517887</v>
      </c>
      <c r="F69">
        <v>-54.426508627502272</v>
      </c>
      <c r="G69">
        <v>-31.556389349431335</v>
      </c>
      <c r="H69">
        <v>-99.162346963147456</v>
      </c>
      <c r="I69">
        <v>-3.1339542151078166</v>
      </c>
      <c r="J69">
        <v>-44.263802914230396</v>
      </c>
      <c r="K69">
        <v>-21.470994316537311</v>
      </c>
      <c r="L69">
        <v>-18.914313705407771</v>
      </c>
      <c r="M69">
        <v>-48.825049185204101</v>
      </c>
      <c r="N69">
        <v>-5.5061692924404477</v>
      </c>
      <c r="O69">
        <v>-24.085829137442346</v>
      </c>
      <c r="P69">
        <v>-14.651335903772379</v>
      </c>
      <c r="Q69">
        <v>-45.634468044062956</v>
      </c>
      <c r="R69">
        <v>-37.798583268314175</v>
      </c>
      <c r="S69">
        <v>-49.99404380216761</v>
      </c>
      <c r="T69">
        <v>-19.468295186979368</v>
      </c>
      <c r="U69">
        <v>-22.810935830375712</v>
      </c>
      <c r="V69">
        <v>-18.99933914046844</v>
      </c>
      <c r="W69">
        <v>-15.933281365451043</v>
      </c>
      <c r="X69">
        <v>-17.554185395226483</v>
      </c>
      <c r="Y69">
        <v>-13.06914552735026</v>
      </c>
    </row>
    <row r="70" spans="1:25" x14ac:dyDescent="0.2">
      <c r="A70">
        <v>-18</v>
      </c>
      <c r="B70">
        <v>-78.458274334949678</v>
      </c>
      <c r="C70">
        <v>-343.63833965677577</v>
      </c>
      <c r="D70">
        <v>-2.5762165422679915</v>
      </c>
      <c r="E70">
        <v>-99.507035697271661</v>
      </c>
      <c r="F70">
        <v>-60.947493927372932</v>
      </c>
      <c r="G70">
        <v>-35.314730435607238</v>
      </c>
      <c r="H70">
        <v>-111.284920123842</v>
      </c>
      <c r="I70">
        <v>-3.4786781504072444</v>
      </c>
      <c r="J70">
        <v>-49.612953010441565</v>
      </c>
      <c r="K70">
        <v>-23.982354837999814</v>
      </c>
      <c r="L70">
        <v>-20.961951597035991</v>
      </c>
      <c r="M70">
        <v>-54.552533091472917</v>
      </c>
      <c r="N70">
        <v>-6.0356768227719151</v>
      </c>
      <c r="O70">
        <v>-26.757829169504443</v>
      </c>
      <c r="P70">
        <v>-16.196023571635219</v>
      </c>
      <c r="Q70">
        <v>-51.519403405827987</v>
      </c>
      <c r="R70">
        <v>-44.291270933690846</v>
      </c>
      <c r="S70">
        <v>-54.148484984961826</v>
      </c>
      <c r="T70">
        <v>-21.763117478368887</v>
      </c>
      <c r="U70">
        <v>-26.421098137232075</v>
      </c>
      <c r="V70">
        <v>-20.682910783978599</v>
      </c>
      <c r="W70">
        <v>-17.742077625175725</v>
      </c>
      <c r="X70">
        <v>-19.842742938142013</v>
      </c>
      <c r="Y70">
        <v>-14.143250963439005</v>
      </c>
    </row>
    <row r="71" spans="1:25" x14ac:dyDescent="0.2">
      <c r="A71">
        <v>-17</v>
      </c>
      <c r="B71">
        <v>-87.686576159994686</v>
      </c>
      <c r="C71">
        <v>-381.43721963417374</v>
      </c>
      <c r="D71">
        <v>-2.8386262698989562</v>
      </c>
      <c r="E71">
        <v>-111.35262148626161</v>
      </c>
      <c r="F71">
        <v>-68.005245882055306</v>
      </c>
      <c r="G71">
        <v>-39.395144369845426</v>
      </c>
      <c r="H71">
        <v>-124.16918813838993</v>
      </c>
      <c r="I71">
        <v>-3.8541565862047991</v>
      </c>
      <c r="J71">
        <v>-55.402000178718275</v>
      </c>
      <c r="K71">
        <v>-26.714341415549935</v>
      </c>
      <c r="L71">
        <v>-23.166512811841798</v>
      </c>
      <c r="M71">
        <v>-60.647086672149342</v>
      </c>
      <c r="N71">
        <v>-6.6047580065221672</v>
      </c>
      <c r="O71">
        <v>-29.631499566772579</v>
      </c>
      <c r="P71">
        <v>-17.859669499638521</v>
      </c>
      <c r="Q71">
        <v>-57.945400944968178</v>
      </c>
      <c r="R71">
        <v>-51.742821085367922</v>
      </c>
      <c r="S71">
        <v>-58.381122859672125</v>
      </c>
      <c r="T71">
        <v>-24.263988707527751</v>
      </c>
      <c r="U71">
        <v>-30.534468383140496</v>
      </c>
      <c r="V71">
        <v>-22.426646647371761</v>
      </c>
      <c r="W71">
        <v>-19.70340254176077</v>
      </c>
      <c r="X71">
        <v>-22.378266575717095</v>
      </c>
      <c r="Y71">
        <v>-15.256488319393195</v>
      </c>
    </row>
    <row r="72" spans="1:25" x14ac:dyDescent="0.2">
      <c r="A72">
        <v>-16</v>
      </c>
      <c r="B72">
        <v>-97.562266027092775</v>
      </c>
      <c r="C72">
        <v>-418.78843328949915</v>
      </c>
      <c r="D72">
        <v>-3.1215818201176071</v>
      </c>
      <c r="E72">
        <v>-123.97060611726857</v>
      </c>
      <c r="F72">
        <v>-75.58320745681938</v>
      </c>
      <c r="G72">
        <v>-43.794085923154604</v>
      </c>
      <c r="H72">
        <v>-137.6881047477118</v>
      </c>
      <c r="I72">
        <v>-4.26146675565849</v>
      </c>
      <c r="J72">
        <v>-61.615583984289984</v>
      </c>
      <c r="K72">
        <v>-29.668405888398247</v>
      </c>
      <c r="L72">
        <v>-25.525340205999374</v>
      </c>
      <c r="M72">
        <v>-67.060525266757239</v>
      </c>
      <c r="N72">
        <v>-7.214045323531872</v>
      </c>
      <c r="O72">
        <v>-32.700205818481905</v>
      </c>
      <c r="P72">
        <v>-19.641683097821758</v>
      </c>
      <c r="Q72">
        <v>-64.903997236908253</v>
      </c>
      <c r="R72">
        <v>-60.237912125029702</v>
      </c>
      <c r="S72">
        <v>-62.647737382815627</v>
      </c>
      <c r="T72">
        <v>-26.973474821221142</v>
      </c>
      <c r="U72">
        <v>-35.198304628281164</v>
      </c>
      <c r="V72">
        <v>-24.216291135802322</v>
      </c>
      <c r="W72">
        <v>-21.817537240903675</v>
      </c>
      <c r="X72">
        <v>-25.173298516237178</v>
      </c>
      <c r="Y72">
        <v>-16.401687582838125</v>
      </c>
    </row>
    <row r="73" spans="1:25" x14ac:dyDescent="0.2">
      <c r="A73">
        <v>-15</v>
      </c>
      <c r="B73">
        <v>-108.02552428409079</v>
      </c>
      <c r="C73">
        <v>-454.79494796786099</v>
      </c>
      <c r="D73">
        <v>-3.4253552035839219</v>
      </c>
      <c r="E73">
        <v>-137.25814176033899</v>
      </c>
      <c r="F73">
        <v>-83.648760428581184</v>
      </c>
      <c r="G73">
        <v>-48.499768946225906</v>
      </c>
      <c r="H73">
        <v>-151.67776696744335</v>
      </c>
      <c r="I73">
        <v>-4.7013213451036568</v>
      </c>
      <c r="J73">
        <v>-68.224723498767716</v>
      </c>
      <c r="K73">
        <v>-32.84137257783631</v>
      </c>
      <c r="L73">
        <v>-28.032177549400554</v>
      </c>
      <c r="M73">
        <v>-73.729096831075921</v>
      </c>
      <c r="N73">
        <v>-7.8636705764667179</v>
      </c>
      <c r="O73">
        <v>-35.95191578048432</v>
      </c>
      <c r="P73">
        <v>-21.539131677383132</v>
      </c>
      <c r="Q73">
        <v>-72.370273662897418</v>
      </c>
      <c r="R73">
        <v>-69.848226370893357</v>
      </c>
      <c r="S73">
        <v>-66.900603493449637</v>
      </c>
      <c r="T73">
        <v>-29.890048177958938</v>
      </c>
      <c r="U73">
        <v>-40.456664947045631</v>
      </c>
      <c r="V73">
        <v>-26.035298805658503</v>
      </c>
      <c r="W73">
        <v>-24.08157581625818</v>
      </c>
      <c r="X73">
        <v>-28.237096941285756</v>
      </c>
      <c r="Y73">
        <v>-17.57040650043837</v>
      </c>
    </row>
    <row r="74" spans="1:25" x14ac:dyDescent="0.2">
      <c r="A74">
        <v>-14</v>
      </c>
      <c r="B74">
        <v>-118.99138352166854</v>
      </c>
      <c r="C74">
        <v>-488.63565425090769</v>
      </c>
      <c r="D74">
        <v>-3.7499136973870688</v>
      </c>
      <c r="E74">
        <v>-151.07822209552256</v>
      </c>
      <c r="F74">
        <v>-92.151677320380941</v>
      </c>
      <c r="G74">
        <v>-53.491057401284159</v>
      </c>
      <c r="H74">
        <v>-165.94205346859042</v>
      </c>
      <c r="I74">
        <v>-5.1739728054809024</v>
      </c>
      <c r="J74">
        <v>-75.185626187597933</v>
      </c>
      <c r="K74">
        <v>-36.224632629845736</v>
      </c>
      <c r="L74">
        <v>-30.676747990508073</v>
      </c>
      <c r="M74">
        <v>-80.574629964593441</v>
      </c>
      <c r="N74">
        <v>-8.5531700572950502</v>
      </c>
      <c r="O74">
        <v>-39.36872893244616</v>
      </c>
      <c r="P74">
        <v>-23.546409890050491</v>
      </c>
      <c r="Q74">
        <v>-80.300708997078672</v>
      </c>
      <c r="R74">
        <v>-80.624241811121067</v>
      </c>
      <c r="S74">
        <v>-71.090137405071658</v>
      </c>
      <c r="T74">
        <v>-33.0073127968761</v>
      </c>
      <c r="U74">
        <v>-46.347439357382733</v>
      </c>
      <c r="V74">
        <v>-27.865222183579917</v>
      </c>
      <c r="W74">
        <v>-26.488912912150109</v>
      </c>
      <c r="X74">
        <v>-31.574509697083112</v>
      </c>
      <c r="Y74">
        <v>-18.753056704781443</v>
      </c>
    </row>
    <row r="75" spans="1:25" x14ac:dyDescent="0.2">
      <c r="A75">
        <v>-13</v>
      </c>
      <c r="B75">
        <v>-130.34992045560313</v>
      </c>
      <c r="C75">
        <v>-519.62990811402574</v>
      </c>
      <c r="D75">
        <v>-4.0948635972287057</v>
      </c>
      <c r="E75">
        <v>-165.2620728769248</v>
      </c>
      <c r="F75">
        <v>-101.02341588487982</v>
      </c>
      <c r="G75">
        <v>-58.736690104549368</v>
      </c>
      <c r="H75">
        <v>-180.26068389133724</v>
      </c>
      <c r="I75">
        <v>-5.6791146582503602</v>
      </c>
      <c r="J75">
        <v>-82.439256863326591</v>
      </c>
      <c r="K75">
        <v>-39.803458643797079</v>
      </c>
      <c r="L75">
        <v>-33.444459181725925</v>
      </c>
      <c r="M75">
        <v>-87.506962834544382</v>
      </c>
      <c r="N75">
        <v>-9.2813914171782983</v>
      </c>
      <c r="O75">
        <v>-42.926653429284016</v>
      </c>
      <c r="P75">
        <v>-25.654969181479707</v>
      </c>
      <c r="Q75">
        <v>-88.631889072070251</v>
      </c>
      <c r="R75">
        <v>-92.585887937197043</v>
      </c>
      <c r="S75">
        <v>-75.166741762998214</v>
      </c>
      <c r="T75">
        <v>-36.313319417686984</v>
      </c>
      <c r="U75">
        <v>-52.89877569116247</v>
      </c>
      <c r="V75">
        <v>-29.68624347988187</v>
      </c>
      <c r="W75">
        <v>-29.028817305919052</v>
      </c>
      <c r="X75">
        <v>-35.184788917179603</v>
      </c>
      <c r="Y75">
        <v>-19.939096821285396</v>
      </c>
    </row>
    <row r="76" spans="1:25" x14ac:dyDescent="0.2">
      <c r="A76">
        <v>-12</v>
      </c>
      <c r="B76">
        <v>-141.96830969712965</v>
      </c>
      <c r="C76">
        <v>-547.2804092809281</v>
      </c>
      <c r="D76">
        <v>-4.459396815852589</v>
      </c>
      <c r="E76">
        <v>-179.61443657451792</v>
      </c>
      <c r="F76">
        <v>-110.17751600606438</v>
      </c>
      <c r="G76">
        <v>-64.194989017769444</v>
      </c>
      <c r="H76">
        <v>-194.40018106882087</v>
      </c>
      <c r="I76">
        <v>-6.2157851219440499</v>
      </c>
      <c r="J76">
        <v>-89.911879329590434</v>
      </c>
      <c r="K76">
        <v>-43.556525690074395</v>
      </c>
      <c r="L76">
        <v>-36.316285899459174</v>
      </c>
      <c r="M76">
        <v>-94.427579961639452</v>
      </c>
      <c r="N76">
        <v>-10.046407530918568</v>
      </c>
      <c r="O76">
        <v>-46.595702624743062</v>
      </c>
      <c r="P76">
        <v>-27.853139893929075</v>
      </c>
      <c r="Q76">
        <v>-97.280424222418389</v>
      </c>
      <c r="R76">
        <v>-105.71279180734803</v>
      </c>
      <c r="S76">
        <v>-79.08270886670249</v>
      </c>
      <c r="T76">
        <v>-39.790048667025985</v>
      </c>
      <c r="U76">
        <v>-60.125018994552072</v>
      </c>
      <c r="V76">
        <v>-31.47782355236663</v>
      </c>
      <c r="W76">
        <v>-31.686145866588802</v>
      </c>
      <c r="X76">
        <v>-39.060425725286208</v>
      </c>
      <c r="Y76">
        <v>-21.117287934612634</v>
      </c>
    </row>
    <row r="77" spans="1:25" x14ac:dyDescent="0.2">
      <c r="A77">
        <v>-11</v>
      </c>
      <c r="B77">
        <v>-153.69486398738908</v>
      </c>
      <c r="C77">
        <v>-571.28978954960257</v>
      </c>
      <c r="D77">
        <v>-4.8422442168962823</v>
      </c>
      <c r="E77">
        <v>-193.92160991360245</v>
      </c>
      <c r="F77">
        <v>-119.51128271699007</v>
      </c>
      <c r="G77">
        <v>-69.814183125592422</v>
      </c>
      <c r="H77">
        <v>-208.12668027033081</v>
      </c>
      <c r="I77">
        <v>-6.7822798479312274</v>
      </c>
      <c r="J77">
        <v>-97.516707884663219</v>
      </c>
      <c r="K77">
        <v>-47.455726848504987</v>
      </c>
      <c r="L77">
        <v>-39.268875509550483</v>
      </c>
      <c r="M77">
        <v>-101.23419722504255</v>
      </c>
      <c r="N77">
        <v>-10.845443596307591</v>
      </c>
      <c r="O77">
        <v>-50.340363881712719</v>
      </c>
      <c r="P77">
        <v>-30.126078454188953</v>
      </c>
      <c r="Q77">
        <v>-106.1443519023653</v>
      </c>
      <c r="R77">
        <v>-119.93525769780874</v>
      </c>
      <c r="S77">
        <v>-82.79402925357779</v>
      </c>
      <c r="T77">
        <v>-43.413145299930733</v>
      </c>
      <c r="U77">
        <v>-68.022408124883711</v>
      </c>
      <c r="V77">
        <v>-33.219426594041693</v>
      </c>
      <c r="W77">
        <v>-34.441252544208865</v>
      </c>
      <c r="X77">
        <v>-43.186110153814305</v>
      </c>
      <c r="Y77">
        <v>-22.276000780147648</v>
      </c>
    </row>
    <row r="78" spans="1:25" x14ac:dyDescent="0.2">
      <c r="A78">
        <v>-10</v>
      </c>
      <c r="B78">
        <v>-165.36493248182236</v>
      </c>
      <c r="C78">
        <v>-591.5524377304622</v>
      </c>
      <c r="D78">
        <v>-5.241640105270001</v>
      </c>
      <c r="E78">
        <v>-207.96165784300069</v>
      </c>
      <c r="F78">
        <v>-128.90881263677983</v>
      </c>
      <c r="G78">
        <v>-75.533436506868043</v>
      </c>
      <c r="H78">
        <v>-221.21914493958121</v>
      </c>
      <c r="I78">
        <v>-7.3760817583077136</v>
      </c>
      <c r="J78">
        <v>-105.15668812944328</v>
      </c>
      <c r="K78">
        <v>-51.46636145483528</v>
      </c>
      <c r="L78">
        <v>-42.274908654132389</v>
      </c>
      <c r="M78">
        <v>-107.82587021569302</v>
      </c>
      <c r="N78">
        <v>-11.6748243599612</v>
      </c>
      <c r="O78">
        <v>-54.1204613189635</v>
      </c>
      <c r="P78">
        <v>-32.455867866974984</v>
      </c>
      <c r="Q78">
        <v>-115.10615687248702</v>
      </c>
      <c r="R78">
        <v>-135.12748813736073</v>
      </c>
      <c r="S78">
        <v>-86.261961655042469</v>
      </c>
      <c r="T78">
        <v>-47.151980849600037</v>
      </c>
      <c r="U78">
        <v>-76.564915171978825</v>
      </c>
      <c r="V78">
        <v>-34.89126820708308</v>
      </c>
      <c r="W78">
        <v>-37.270139905510888</v>
      </c>
      <c r="X78">
        <v>-47.537941916262987</v>
      </c>
      <c r="Y78">
        <v>-23.403558455646518</v>
      </c>
    </row>
    <row r="79" spans="1:25" x14ac:dyDescent="0.2">
      <c r="A79">
        <v>-9</v>
      </c>
      <c r="B79">
        <v>-176.80825081356758</v>
      </c>
      <c r="C79">
        <v>-608.127678487293</v>
      </c>
      <c r="D79">
        <v>-5.6553025177252216</v>
      </c>
      <c r="E79">
        <v>-221.51583685041899</v>
      </c>
      <c r="F79">
        <v>-138.24525736614635</v>
      </c>
      <c r="G79">
        <v>-81.284601067293266</v>
      </c>
      <c r="H79">
        <v>-233.48143043148133</v>
      </c>
      <c r="I79">
        <v>-7.9938166547167757</v>
      </c>
      <c r="J79">
        <v>-112.72828060707154</v>
      </c>
      <c r="K79">
        <v>-55.547750200232258</v>
      </c>
      <c r="L79">
        <v>-45.303727149005013</v>
      </c>
      <c r="M79">
        <v>-114.10809813343359</v>
      </c>
      <c r="N79">
        <v>-12.529948538029373</v>
      </c>
      <c r="O79">
        <v>-57.892393207792999</v>
      </c>
      <c r="P79">
        <v>-34.821790951885539</v>
      </c>
      <c r="Q79">
        <v>-124.0373366056138</v>
      </c>
      <c r="R79">
        <v>-151.1047260663899</v>
      </c>
      <c r="S79">
        <v>-89.454248424025423</v>
      </c>
      <c r="T79">
        <v>-50.970103603347958</v>
      </c>
      <c r="U79">
        <v>-85.700748747791465</v>
      </c>
      <c r="V79">
        <v>-36.475029930404325</v>
      </c>
      <c r="W79">
        <v>-40.144885067192988</v>
      </c>
      <c r="X79">
        <v>-52.083026433695132</v>
      </c>
      <c r="Y79">
        <v>-24.488594156865929</v>
      </c>
    </row>
    <row r="80" spans="1:25" x14ac:dyDescent="0.2">
      <c r="A80">
        <v>-8</v>
      </c>
      <c r="B80">
        <v>-187.85709131410457</v>
      </c>
      <c r="C80">
        <v>-621.20243613101411</v>
      </c>
      <c r="D80">
        <v>-6.0804337378445581</v>
      </c>
      <c r="E80">
        <v>-234.38001375464867</v>
      </c>
      <c r="F80">
        <v>-147.39204207896213</v>
      </c>
      <c r="G80">
        <v>-86.994628713508902</v>
      </c>
      <c r="H80">
        <v>-244.75182743973656</v>
      </c>
      <c r="I80">
        <v>-8.6312431292978467</v>
      </c>
      <c r="J80">
        <v>-120.12597171487731</v>
      </c>
      <c r="K80">
        <v>-59.654293395362593</v>
      </c>
      <c r="L80">
        <v>-48.322214917178862</v>
      </c>
      <c r="M80">
        <v>-119.99738318703791</v>
      </c>
      <c r="N80">
        <v>-13.405297034073088</v>
      </c>
      <c r="O80">
        <v>-61.610679396823699</v>
      </c>
      <c r="P80">
        <v>-37.20078256472754</v>
      </c>
      <c r="Q80">
        <v>-132.80420738298275</v>
      </c>
      <c r="R80">
        <v>-167.62582779944381</v>
      </c>
      <c r="S80">
        <v>-92.345902842307908</v>
      </c>
      <c r="T80">
        <v>-54.826103134092989</v>
      </c>
      <c r="U80">
        <v>-95.350133846307955</v>
      </c>
      <c r="V80">
        <v>-37.954485980211103</v>
      </c>
      <c r="W80">
        <v>-43.034348043289704</v>
      </c>
      <c r="X80">
        <v>-56.779581235633124</v>
      </c>
      <c r="Y80">
        <v>-25.520401144558878</v>
      </c>
    </row>
    <row r="81" spans="1:25" x14ac:dyDescent="0.2">
      <c r="A81">
        <v>-7</v>
      </c>
      <c r="B81">
        <v>-198.35440750882202</v>
      </c>
      <c r="C81">
        <v>-631.05111157646888</v>
      </c>
      <c r="D81">
        <v>-6.5137446934970349</v>
      </c>
      <c r="E81">
        <v>-246.37483336316097</v>
      </c>
      <c r="F81">
        <v>-156.22260509143879</v>
      </c>
      <c r="G81">
        <v>-92.588487766571632</v>
      </c>
      <c r="H81">
        <v>-254.90916613628985</v>
      </c>
      <c r="I81">
        <v>-9.2832841141416829</v>
      </c>
      <c r="J81">
        <v>-127.24711505683716</v>
      </c>
      <c r="K81">
        <v>-63.736940593561066</v>
      </c>
      <c r="L81">
        <v>-51.295889088525222</v>
      </c>
      <c r="M81">
        <v>-125.42478934169627</v>
      </c>
      <c r="N81">
        <v>-14.294480320583217</v>
      </c>
      <c r="O81">
        <v>-65.229711920170018</v>
      </c>
      <c r="P81">
        <v>-39.568050475776587</v>
      </c>
      <c r="Q81">
        <v>-141.2744347445593</v>
      </c>
      <c r="R81">
        <v>-184.40216756797344</v>
      </c>
      <c r="S81">
        <v>-94.919543528085384</v>
      </c>
      <c r="T81">
        <v>-58.67487399231802</v>
      </c>
      <c r="U81">
        <v>-105.40498461298304</v>
      </c>
      <c r="V81">
        <v>-39.31599762053996</v>
      </c>
      <c r="W81">
        <v>-45.905140742603862</v>
      </c>
      <c r="X81">
        <v>-61.577645994292645</v>
      </c>
      <c r="Y81">
        <v>-26.489252286080777</v>
      </c>
    </row>
    <row r="82" spans="1:25" x14ac:dyDescent="0.2">
      <c r="A82">
        <v>-6</v>
      </c>
      <c r="B82">
        <v>-208.16114508468243</v>
      </c>
      <c r="C82">
        <v>-637.99847731020282</v>
      </c>
      <c r="D82">
        <v>-6.9515055368316592</v>
      </c>
      <c r="E82">
        <v>-257.353584400253</v>
      </c>
      <c r="F82">
        <v>-164.61812890665857</v>
      </c>
      <c r="G82">
        <v>-97.992351177992816</v>
      </c>
      <c r="H82">
        <v>-263.87514888119711</v>
      </c>
      <c r="I82">
        <v>-9.9441050217533657</v>
      </c>
      <c r="J82">
        <v>-133.99664153195354</v>
      </c>
      <c r="K82">
        <v>-67.744988093504929</v>
      </c>
      <c r="L82">
        <v>-54.190131613503276</v>
      </c>
      <c r="M82">
        <v>-130.33820418187062</v>
      </c>
      <c r="N82">
        <v>-15.190328297852194</v>
      </c>
      <c r="O82">
        <v>-68.705570928659242</v>
      </c>
      <c r="P82">
        <v>-41.897836585954295</v>
      </c>
      <c r="Q82">
        <v>-149.32363150714261</v>
      </c>
      <c r="R82">
        <v>-201.11275497785215</v>
      </c>
      <c r="S82">
        <v>-97.165298162975688</v>
      </c>
      <c r="T82">
        <v>-62.469215036469578</v>
      </c>
      <c r="U82">
        <v>-115.73096339763957</v>
      </c>
      <c r="V82">
        <v>-40.548845539803999</v>
      </c>
      <c r="W82">
        <v>-48.722803190361816</v>
      </c>
      <c r="X82">
        <v>-66.420434318706555</v>
      </c>
      <c r="Y82">
        <v>-27.386669134411406</v>
      </c>
    </row>
    <row r="83" spans="1:25" x14ac:dyDescent="0.2">
      <c r="A83">
        <v>-5</v>
      </c>
      <c r="B83">
        <v>-217.1620111996383</v>
      </c>
      <c r="C83">
        <v>-642.38898354979528</v>
      </c>
      <c r="D83">
        <v>-7.3896228013940277</v>
      </c>
      <c r="E83">
        <v>-267.2070900632333</v>
      </c>
      <c r="F83">
        <v>-172.47271913609899</v>
      </c>
      <c r="G83">
        <v>-103.13677631432979</v>
      </c>
      <c r="H83">
        <v>-271.61315519567847</v>
      </c>
      <c r="I83">
        <v>-10.607239905839673</v>
      </c>
      <c r="J83">
        <v>-140.29118518971191</v>
      </c>
      <c r="K83">
        <v>-71.628074549139413</v>
      </c>
      <c r="L83">
        <v>-56.971471658864495</v>
      </c>
      <c r="M83">
        <v>-134.7032048249965</v>
      </c>
      <c r="N83">
        <v>-16.08502314075464</v>
      </c>
      <c r="O83">
        <v>-71.997754908149773</v>
      </c>
      <c r="P83">
        <v>-44.164273362893653</v>
      </c>
      <c r="Q83">
        <v>-156.84133541968305</v>
      </c>
      <c r="R83">
        <v>-217.42421279756911</v>
      </c>
      <c r="S83">
        <v>-99.080336967325422</v>
      </c>
      <c r="T83">
        <v>-66.161655136337743</v>
      </c>
      <c r="U83">
        <v>-126.17215478283583</v>
      </c>
      <c r="V83">
        <v>-41.645388271728798</v>
      </c>
      <c r="W83">
        <v>-51.453105304565142</v>
      </c>
      <c r="X83">
        <v>-71.246291851737752</v>
      </c>
      <c r="Y83">
        <v>-28.205625252788113</v>
      </c>
    </row>
    <row r="84" spans="1:25" x14ac:dyDescent="0.2">
      <c r="A84">
        <v>-4</v>
      </c>
      <c r="B84">
        <v>-225.26922839048731</v>
      </c>
      <c r="C84">
        <v>-644.56372626704297</v>
      </c>
      <c r="D84">
        <v>-7.8237412292633</v>
      </c>
      <c r="E84">
        <v>-275.86541361461417</v>
      </c>
      <c r="F84">
        <v>-179.69756046241082</v>
      </c>
      <c r="G84">
        <v>-107.95958926319666</v>
      </c>
      <c r="H84">
        <v>-278.12420320921842</v>
      </c>
      <c r="I84">
        <v>-11.26576268756792</v>
      </c>
      <c r="J84">
        <v>-146.06225403738813</v>
      </c>
      <c r="K84">
        <v>-75.33821319462794</v>
      </c>
      <c r="L84">
        <v>-59.608819678965922</v>
      </c>
      <c r="M84">
        <v>-138.50261880655236</v>
      </c>
      <c r="N84">
        <v>-16.970272291030255</v>
      </c>
      <c r="O84">
        <v>-75.070682090335978</v>
      </c>
      <c r="P84">
        <v>-46.34227758271922</v>
      </c>
      <c r="Q84">
        <v>-163.73576796213842</v>
      </c>
      <c r="R84">
        <v>-233.01314858882262</v>
      </c>
      <c r="S84">
        <v>-100.66812146026332</v>
      </c>
      <c r="T84">
        <v>-69.706361369845879</v>
      </c>
      <c r="U84">
        <v>-136.558201670914</v>
      </c>
      <c r="V84">
        <v>-42.601052166838805</v>
      </c>
      <c r="W84">
        <v>-54.063373140189178</v>
      </c>
      <c r="X84">
        <v>-75.991143870316193</v>
      </c>
      <c r="Y84">
        <v>-28.940674667710756</v>
      </c>
    </row>
    <row r="85" spans="1:25" x14ac:dyDescent="0.2">
      <c r="A85">
        <v>-3</v>
      </c>
      <c r="B85">
        <v>-232.42409400967441</v>
      </c>
      <c r="C85">
        <v>-644.84481370425897</v>
      </c>
      <c r="D85">
        <v>-8.2493659182132042</v>
      </c>
      <c r="E85">
        <v>-283.29661319652621</v>
      </c>
      <c r="F85">
        <v>-186.22372336849563</v>
      </c>
      <c r="G85">
        <v>-112.40822348676096</v>
      </c>
      <c r="H85">
        <v>-283.4409908634409</v>
      </c>
      <c r="I85">
        <v>-11.912495755078327</v>
      </c>
      <c r="J85">
        <v>-151.25821258284842</v>
      </c>
      <c r="K85">
        <v>-78.831689075359023</v>
      </c>
      <c r="L85">
        <v>-62.074557544013452</v>
      </c>
      <c r="M85">
        <v>-141.73501718858029</v>
      </c>
      <c r="N85">
        <v>-17.837515180767564</v>
      </c>
      <c r="O85">
        <v>-77.894847893128755</v>
      </c>
      <c r="P85">
        <v>-48.408417057523749</v>
      </c>
      <c r="Q85">
        <v>-169.93696559022004</v>
      </c>
      <c r="R85">
        <v>-247.58781997029402</v>
      </c>
      <c r="S85">
        <v>-101.9374648259692</v>
      </c>
      <c r="T85">
        <v>-73.060969759104296</v>
      </c>
      <c r="U85">
        <v>-146.71332228430555</v>
      </c>
      <c r="V85">
        <v>-43.414173150674479</v>
      </c>
      <c r="W85">
        <v>-56.523732070699026</v>
      </c>
      <c r="X85">
        <v>-80.59124148037678</v>
      </c>
      <c r="Y85">
        <v>-29.588003046990757</v>
      </c>
    </row>
    <row r="86" spans="1:25" x14ac:dyDescent="0.2">
      <c r="A86">
        <v>-2</v>
      </c>
      <c r="B86">
        <v>-238.59645675331265</v>
      </c>
      <c r="C86">
        <v>-643.52602092216068</v>
      </c>
      <c r="D86">
        <v>-8.6619981833776674</v>
      </c>
      <c r="E86">
        <v>-289.50311639401218</v>
      </c>
      <c r="F86">
        <v>-192.00348037282549</v>
      </c>
      <c r="G86">
        <v>-116.44133596922987</v>
      </c>
      <c r="H86">
        <v>-287.62097630380214</v>
      </c>
      <c r="I86">
        <v>-12.540243830158708</v>
      </c>
      <c r="J86">
        <v>-155.84500575430255</v>
      </c>
      <c r="K86">
        <v>-82.070663960553645</v>
      </c>
      <c r="L86">
        <v>-64.345405124577923</v>
      </c>
      <c r="M86">
        <v>-144.41246010863696</v>
      </c>
      <c r="N86">
        <v>-18.678153909268552</v>
      </c>
      <c r="O86">
        <v>-80.447565838355857</v>
      </c>
      <c r="P86">
        <v>-50.341687385503029</v>
      </c>
      <c r="Q86">
        <v>-175.39811967678526</v>
      </c>
      <c r="R86">
        <v>-260.90607198730652</v>
      </c>
      <c r="S86">
        <v>-102.90149813693125</v>
      </c>
      <c r="T86">
        <v>-76.18818501757066</v>
      </c>
      <c r="U86">
        <v>-156.4662549512546</v>
      </c>
      <c r="V86">
        <v>-44.085720792697856</v>
      </c>
      <c r="W86">
        <v>-58.808167615556165</v>
      </c>
      <c r="X86">
        <v>-84.985964440103899</v>
      </c>
      <c r="Y86">
        <v>-30.145405549739472</v>
      </c>
    </row>
    <row r="87" spans="1:25" x14ac:dyDescent="0.2">
      <c r="A87">
        <v>-1</v>
      </c>
      <c r="B87">
        <v>-243.78245340116484</v>
      </c>
      <c r="C87">
        <v>-640.86830514305495</v>
      </c>
      <c r="D87">
        <v>-9.0572768067385194</v>
      </c>
      <c r="E87">
        <v>-294.51646849034699</v>
      </c>
      <c r="F87">
        <v>-197.01017787932972</v>
      </c>
      <c r="G87">
        <v>-120.02961862356958</v>
      </c>
      <c r="H87">
        <v>-290.73933659405526</v>
      </c>
      <c r="I87">
        <v>-13.142037630983046</v>
      </c>
      <c r="J87">
        <v>-159.80570878217173</v>
      </c>
      <c r="K87">
        <v>-85.024367913456558</v>
      </c>
      <c r="L87">
        <v>-66.403009484337517</v>
      </c>
      <c r="M87">
        <v>-146.55783331870839</v>
      </c>
      <c r="N87">
        <v>-19.483795401142142</v>
      </c>
      <c r="O87">
        <v>-82.713268621277379</v>
      </c>
      <c r="P87">
        <v>-52.124144858333452</v>
      </c>
      <c r="Q87">
        <v>-180.09520635912298</v>
      </c>
      <c r="R87">
        <v>-272.78730793456856</v>
      </c>
      <c r="S87">
        <v>-103.57662498185189</v>
      </c>
      <c r="T87">
        <v>-79.057023954860853</v>
      </c>
      <c r="U87">
        <v>-165.65996588207395</v>
      </c>
      <c r="V87">
        <v>-44.618940393809766</v>
      </c>
      <c r="W87">
        <v>-60.895326257669893</v>
      </c>
      <c r="X87">
        <v>-89.120422816816586</v>
      </c>
      <c r="Y87">
        <v>-30.61220053176099</v>
      </c>
    </row>
    <row r="88" spans="1:25" x14ac:dyDescent="0.2">
      <c r="A88">
        <v>0</v>
      </c>
      <c r="B88">
        <v>-248.00098902747487</v>
      </c>
      <c r="C88">
        <v>-637.09878095861006</v>
      </c>
      <c r="D88">
        <v>-9.431115456507591</v>
      </c>
      <c r="E88">
        <v>-298.39123850319902</v>
      </c>
      <c r="F88">
        <v>-201.23686540369482</v>
      </c>
      <c r="G88">
        <v>-123.15581997732377</v>
      </c>
      <c r="H88">
        <v>-292.88243470225598</v>
      </c>
      <c r="I88">
        <v>-13.711370161608578</v>
      </c>
      <c r="J88">
        <v>-163.13910768550622</v>
      </c>
      <c r="K88">
        <v>-87.669807813758084</v>
      </c>
      <c r="L88">
        <v>-68.234233756771744</v>
      </c>
      <c r="M88">
        <v>-148.20208082728172</v>
      </c>
      <c r="N88">
        <v>-20.246490960717921</v>
      </c>
      <c r="O88">
        <v>-84.683393167356797</v>
      </c>
      <c r="P88">
        <v>-53.741357047203827</v>
      </c>
      <c r="Q88">
        <v>-184.02518439459953</v>
      </c>
      <c r="R88">
        <v>-283.1174910325114</v>
      </c>
      <c r="S88">
        <v>-103.98152961673364</v>
      </c>
      <c r="T88">
        <v>-81.643621740774179</v>
      </c>
      <c r="U88">
        <v>-174.15997045388906</v>
      </c>
      <c r="V88">
        <v>-45.018949184387914</v>
      </c>
      <c r="W88">
        <v>-62.76900963057556</v>
      </c>
      <c r="X88">
        <v>-92.947623754060814</v>
      </c>
      <c r="Y88">
        <v>-30.989091929214684</v>
      </c>
    </row>
    <row r="89" spans="1:25" x14ac:dyDescent="0.2">
      <c r="A89">
        <v>1</v>
      </c>
      <c r="B89">
        <v>-251.28948682161644</v>
      </c>
      <c r="C89">
        <v>-632.4119585550236</v>
      </c>
      <c r="D89">
        <v>-9.7798271741968268</v>
      </c>
      <c r="E89">
        <v>-301.19877731321992</v>
      </c>
      <c r="F89">
        <v>-204.69398594068804</v>
      </c>
      <c r="G89">
        <v>-125.81407494833805</v>
      </c>
      <c r="H89">
        <v>-294.14219103907067</v>
      </c>
      <c r="I89">
        <v>-14.24240878763851</v>
      </c>
      <c r="J89">
        <v>-165.85758530715347</v>
      </c>
      <c r="K89">
        <v>-89.991979762898538</v>
      </c>
      <c r="L89">
        <v>-69.83115368233716</v>
      </c>
      <c r="M89">
        <v>-149.381573364025</v>
      </c>
      <c r="N89">
        <v>-20.958958887597053</v>
      </c>
      <c r="O89">
        <v>-86.355911395553619</v>
      </c>
      <c r="P89">
        <v>-55.18265171648703</v>
      </c>
      <c r="Q89">
        <v>-187.20315915049531</v>
      </c>
      <c r="R89">
        <v>-291.8474817791988</v>
      </c>
      <c r="S89">
        <v>-104.13628428701428</v>
      </c>
      <c r="T89">
        <v>-83.931572635082546</v>
      </c>
      <c r="U89">
        <v>-181.86036226051533</v>
      </c>
      <c r="V89">
        <v>-45.292319302044127</v>
      </c>
      <c r="W89">
        <v>-64.41835023398788</v>
      </c>
      <c r="X89">
        <v>-96.430029049773225</v>
      </c>
      <c r="Y89">
        <v>-31.277995009861389</v>
      </c>
    </row>
    <row r="90" spans="1:25" x14ac:dyDescent="0.2">
      <c r="A90">
        <v>2</v>
      </c>
      <c r="B90">
        <v>-253.69939506276492</v>
      </c>
      <c r="C90">
        <v>-626.97231336706852</v>
      </c>
      <c r="D90">
        <v>-10.100227963425365</v>
      </c>
      <c r="E90">
        <v>-303.0213613985444</v>
      </c>
      <c r="F90">
        <v>-207.40647289874946</v>
      </c>
      <c r="G90">
        <v>-128.00869727669172</v>
      </c>
      <c r="H90">
        <v>-294.61154448357621</v>
      </c>
      <c r="I90">
        <v>-14.730168617321521</v>
      </c>
      <c r="J90">
        <v>-167.98460683602158</v>
      </c>
      <c r="K90">
        <v>-91.983624407284196</v>
      </c>
      <c r="L90">
        <v>-71.190796038496742</v>
      </c>
      <c r="M90">
        <v>-150.13577497549343</v>
      </c>
      <c r="N90">
        <v>-21.614777016748675</v>
      </c>
      <c r="O90">
        <v>-87.734592676589457</v>
      </c>
      <c r="P90">
        <v>-56.441164533590417</v>
      </c>
      <c r="Q90">
        <v>-189.65894825457488</v>
      </c>
      <c r="R90">
        <v>-298.98604307475489</v>
      </c>
      <c r="S90">
        <v>-104.06158274551916</v>
      </c>
      <c r="T90">
        <v>-85.911827639284766</v>
      </c>
      <c r="U90">
        <v>-188.68705030334274</v>
      </c>
      <c r="V90">
        <v>-45.446674317143248</v>
      </c>
      <c r="W90">
        <v>-65.837689479714825</v>
      </c>
      <c r="X90">
        <v>-99.54041149192112</v>
      </c>
      <c r="Y90">
        <v>-31.481840379290226</v>
      </c>
    </row>
    <row r="91" spans="1:25" x14ac:dyDescent="0.2">
      <c r="A91">
        <v>3</v>
      </c>
      <c r="B91">
        <v>-255.29184646468894</v>
      </c>
      <c r="C91">
        <v>-620.91751346225089</v>
      </c>
      <c r="D91">
        <v>-10.389713512928978</v>
      </c>
      <c r="E91">
        <v>-303.94707163791469</v>
      </c>
      <c r="F91">
        <v>-209.41058706818788</v>
      </c>
      <c r="G91">
        <v>-129.7526155945433</v>
      </c>
      <c r="H91">
        <v>-294.38102400398532</v>
      </c>
      <c r="I91">
        <v>-15.170636734660842</v>
      </c>
      <c r="J91">
        <v>-169.55207540155325</v>
      </c>
      <c r="K91">
        <v>-93.644604108644529</v>
      </c>
      <c r="L91">
        <v>-72.314671663796119</v>
      </c>
      <c r="M91">
        <v>-150.5052962122621</v>
      </c>
      <c r="N91">
        <v>-22.208534560737451</v>
      </c>
      <c r="O91">
        <v>-88.828093577540628</v>
      </c>
      <c r="P91">
        <v>-57.513703681499372</v>
      </c>
      <c r="Q91">
        <v>-191.433452440792</v>
      </c>
      <c r="R91">
        <v>-304.58939392421939</v>
      </c>
      <c r="S91">
        <v>-103.77811108523674</v>
      </c>
      <c r="T91">
        <v>-87.582212852198822</v>
      </c>
      <c r="U91">
        <v>-194.59816478519238</v>
      </c>
      <c r="V91">
        <v>-45.490319032737943</v>
      </c>
      <c r="W91">
        <v>-67.026204630691254</v>
      </c>
      <c r="X91">
        <v>-102.26200616972318</v>
      </c>
      <c r="Y91">
        <v>-31.6043699686469</v>
      </c>
    </row>
    <row r="92" spans="1:25" x14ac:dyDescent="0.2">
      <c r="A92">
        <v>4</v>
      </c>
      <c r="B92">
        <v>-256.13374880048298</v>
      </c>
      <c r="C92">
        <v>-614.36184913007833</v>
      </c>
      <c r="D92">
        <v>-10.646305648333071</v>
      </c>
      <c r="E92">
        <v>-304.06558547327751</v>
      </c>
      <c r="F92">
        <v>-210.75077667075107</v>
      </c>
      <c r="G92">
        <v>-131.06563257161102</v>
      </c>
      <c r="H92">
        <v>-293.53634247696436</v>
      </c>
      <c r="I92">
        <v>-15.560841874774939</v>
      </c>
      <c r="J92">
        <v>-170.59777722451437</v>
      </c>
      <c r="K92">
        <v>-94.981004458321749</v>
      </c>
      <c r="L92">
        <v>-73.20816519625221</v>
      </c>
      <c r="M92">
        <v>-150.53036157795705</v>
      </c>
      <c r="N92">
        <v>-22.735936129609446</v>
      </c>
      <c r="O92">
        <v>-89.648967163227866</v>
      </c>
      <c r="P92">
        <v>-58.400462797188574</v>
      </c>
      <c r="Q92">
        <v>-192.57515750969782</v>
      </c>
      <c r="R92">
        <v>-308.74925064490947</v>
      </c>
      <c r="S92">
        <v>-103.30605471597897</v>
      </c>
      <c r="T92">
        <v>-88.946659186831809</v>
      </c>
      <c r="U92">
        <v>-199.5819951705158</v>
      </c>
      <c r="V92">
        <v>-45.431915223219974</v>
      </c>
      <c r="W92">
        <v>-67.987347326265038</v>
      </c>
      <c r="X92">
        <v>-104.58803096821372</v>
      </c>
      <c r="Y92">
        <v>-31.64993662882026</v>
      </c>
    </row>
    <row r="93" spans="1:25" x14ac:dyDescent="0.2">
      <c r="A93">
        <v>5</v>
      </c>
      <c r="B93">
        <v>-256.29447005749779</v>
      </c>
      <c r="C93">
        <v>-607.39957811812724</v>
      </c>
      <c r="D93">
        <v>-10.868667857917281</v>
      </c>
      <c r="E93">
        <v>-303.46492337378885</v>
      </c>
      <c r="F93">
        <v>-211.47677255785675</v>
      </c>
      <c r="G93">
        <v>-131.97266396874986</v>
      </c>
      <c r="H93">
        <v>-292.15686385504483</v>
      </c>
      <c r="I93">
        <v>-15.898869402536297</v>
      </c>
      <c r="J93">
        <v>-171.16307234210782</v>
      </c>
      <c r="K93">
        <v>-96.004069530356546</v>
      </c>
      <c r="L93">
        <v>-73.879844509935296</v>
      </c>
      <c r="M93">
        <v>-150.24967499446777</v>
      </c>
      <c r="N93">
        <v>-23.19385481822896</v>
      </c>
      <c r="O93">
        <v>-90.212671378530686</v>
      </c>
      <c r="P93">
        <v>-59.10462155536591</v>
      </c>
      <c r="Q93">
        <v>-193.13699563585919</v>
      </c>
      <c r="R93">
        <v>-311.58098810873622</v>
      </c>
      <c r="S93">
        <v>-102.66473177327737</v>
      </c>
      <c r="T93">
        <v>-90.014245177370512</v>
      </c>
      <c r="U93">
        <v>-203.65309284075428</v>
      </c>
      <c r="V93">
        <v>-45.280209679713039</v>
      </c>
      <c r="W93">
        <v>-68.72816235050847</v>
      </c>
      <c r="X93">
        <v>-106.52070636724841</v>
      </c>
      <c r="Y93">
        <v>-31.623316349992823</v>
      </c>
    </row>
    <row r="94" spans="1:25" x14ac:dyDescent="0.2">
      <c r="A94">
        <v>6</v>
      </c>
      <c r="B94">
        <v>-255.84318253603587</v>
      </c>
      <c r="C94">
        <v>-600.10802244693855</v>
      </c>
      <c r="D94">
        <v>-11.056091802167469</v>
      </c>
      <c r="E94">
        <v>-302.22909434389817</v>
      </c>
      <c r="F94">
        <v>-211.6410551363912</v>
      </c>
      <c r="G94">
        <v>-132.50207949211443</v>
      </c>
      <c r="H94">
        <v>-290.31477233557928</v>
      </c>
      <c r="I94">
        <v>-16.183826198215453</v>
      </c>
      <c r="J94">
        <v>-171.29092380782569</v>
      </c>
      <c r="K94">
        <v>-96.729073153631703</v>
      </c>
      <c r="L94">
        <v>-74.340746898573812</v>
      </c>
      <c r="M94">
        <v>-149.69963965850246</v>
      </c>
      <c r="N94">
        <v>-23.580335267034751</v>
      </c>
      <c r="O94">
        <v>-90.536637961836661</v>
      </c>
      <c r="P94">
        <v>-59.631875652901321</v>
      </c>
      <c r="Q94">
        <v>-193.17369754510324</v>
      </c>
      <c r="R94">
        <v>-313.21306296438905</v>
      </c>
      <c r="S94">
        <v>-101.87233808496259</v>
      </c>
      <c r="T94">
        <v>-90.798151609905887</v>
      </c>
      <c r="U94">
        <v>-206.847277434235</v>
      </c>
      <c r="V94">
        <v>-45.043815841162115</v>
      </c>
      <c r="W94">
        <v>-69.258552405799421</v>
      </c>
      <c r="X94">
        <v>-108.0699332915836</v>
      </c>
      <c r="Y94">
        <v>-31.529539400150586</v>
      </c>
    </row>
    <row r="95" spans="1:25" x14ac:dyDescent="0.2">
      <c r="A95">
        <v>7</v>
      </c>
      <c r="B95">
        <v>-254.84685594179393</v>
      </c>
      <c r="C95">
        <v>-592.55033665355268</v>
      </c>
      <c r="D95">
        <v>-11.208458790908031</v>
      </c>
      <c r="E95">
        <v>-300.43652794387339</v>
      </c>
      <c r="F95">
        <v>-211.29676123551207</v>
      </c>
      <c r="G95">
        <v>-132.68422831673527</v>
      </c>
      <c r="H95">
        <v>-288.07477537727141</v>
      </c>
      <c r="I95">
        <v>-16.415763693329495</v>
      </c>
      <c r="J95">
        <v>-171.02430393469427</v>
      </c>
      <c r="K95">
        <v>-97.174211717162081</v>
      </c>
      <c r="L95">
        <v>-74.603688695461784</v>
      </c>
      <c r="M95">
        <v>-148.9138751031081</v>
      </c>
      <c r="N95">
        <v>-23.89455115081768</v>
      </c>
      <c r="O95">
        <v>-90.639443694882502</v>
      </c>
      <c r="P95">
        <v>-59.989935728486451</v>
      </c>
      <c r="Q95">
        <v>-192.73968502802043</v>
      </c>
      <c r="R95">
        <v>-313.77832794395135</v>
      </c>
      <c r="S95">
        <v>-100.94578640123459</v>
      </c>
      <c r="T95">
        <v>-91.314613366873999</v>
      </c>
      <c r="U95">
        <v>-209.21624950068664</v>
      </c>
      <c r="V95">
        <v>-44.731046555621049</v>
      </c>
      <c r="W95">
        <v>-69.590545348666225</v>
      </c>
      <c r="X95">
        <v>-109.25179029726131</v>
      </c>
      <c r="Y95">
        <v>-31.373744125765121</v>
      </c>
    </row>
    <row r="96" spans="1:25" x14ac:dyDescent="0.2">
      <c r="A96">
        <v>8</v>
      </c>
      <c r="B96">
        <v>-253.36884060837437</v>
      </c>
      <c r="C96">
        <v>-584.77792169877921</v>
      </c>
      <c r="D96">
        <v>-11.326181606818031</v>
      </c>
      <c r="E96">
        <v>-298.15915456735263</v>
      </c>
      <c r="F96">
        <v>-210.49604444330129</v>
      </c>
      <c r="G96">
        <v>-132.55019538039787</v>
      </c>
      <c r="H96">
        <v>-285.49419053270088</v>
      </c>
      <c r="I96">
        <v>-16.595569525424171</v>
      </c>
      <c r="J96">
        <v>-170.40497471743066</v>
      </c>
      <c r="K96">
        <v>-97.359582348386837</v>
      </c>
      <c r="L96">
        <v>-74.682632632340088</v>
      </c>
      <c r="M96">
        <v>-147.92297090975993</v>
      </c>
      <c r="N96">
        <v>-24.1367242804317</v>
      </c>
      <c r="O96">
        <v>-90.54010742896331</v>
      </c>
      <c r="P96">
        <v>-60.188029181059079</v>
      </c>
      <c r="Q96">
        <v>-191.88749214612574</v>
      </c>
      <c r="R96">
        <v>-313.4074368465599</v>
      </c>
      <c r="S96">
        <v>-99.900622206215928</v>
      </c>
      <c r="T96">
        <v>-91.581934614767746</v>
      </c>
      <c r="U96">
        <v>-210.82237899184742</v>
      </c>
      <c r="V96">
        <v>-44.349793072748199</v>
      </c>
      <c r="W96">
        <v>-69.737607446618043</v>
      </c>
      <c r="X96">
        <v>-110.08699361596453</v>
      </c>
      <c r="Y96">
        <v>-31.161054972625454</v>
      </c>
    </row>
    <row r="97" spans="1:25" x14ac:dyDescent="0.2">
      <c r="A97">
        <v>9</v>
      </c>
      <c r="B97">
        <v>-251.46795532222478</v>
      </c>
      <c r="C97">
        <v>-576.83249183671649</v>
      </c>
      <c r="D97">
        <v>-11.410132712228233</v>
      </c>
      <c r="E97">
        <v>-295.46199253302512</v>
      </c>
      <c r="F97">
        <v>-209.28886360922004</v>
      </c>
      <c r="G97">
        <v>-132.13080394919777</v>
      </c>
      <c r="H97">
        <v>-282.62329096669134</v>
      </c>
      <c r="I97">
        <v>-16.724839057103388</v>
      </c>
      <c r="J97">
        <v>-169.47261171658275</v>
      </c>
      <c r="K97">
        <v>-97.306287847905196</v>
      </c>
      <c r="L97">
        <v>-74.59213482860514</v>
      </c>
      <c r="M97">
        <v>-146.75441980100197</v>
      </c>
      <c r="N97">
        <v>-24.308014223362875</v>
      </c>
      <c r="O97">
        <v>-90.257520999657757</v>
      </c>
      <c r="P97">
        <v>-60.23643138556158</v>
      </c>
      <c r="Q97">
        <v>-190.66666390734841</v>
      </c>
      <c r="R97">
        <v>-312.22423846543268</v>
      </c>
      <c r="S97">
        <v>-98.750999406152516</v>
      </c>
      <c r="T97">
        <v>-91.619612385987949</v>
      </c>
      <c r="U97">
        <v>-211.73406268136702</v>
      </c>
      <c r="V97">
        <v>-43.907444026698741</v>
      </c>
      <c r="W97">
        <v>-69.71403229155257</v>
      </c>
      <c r="X97">
        <v>-110.59943338907013</v>
      </c>
      <c r="Y97">
        <v>-30.896484558397937</v>
      </c>
    </row>
    <row r="98" spans="1:25" x14ac:dyDescent="0.2">
      <c r="A98">
        <v>10</v>
      </c>
      <c r="B98">
        <v>-249.19798469749651</v>
      </c>
      <c r="C98">
        <v>-568.74782014094603</v>
      </c>
      <c r="D98">
        <v>-11.461564855186083</v>
      </c>
      <c r="E98">
        <v>-292.40311147188334</v>
      </c>
      <c r="F98">
        <v>-207.72215031925037</v>
      </c>
      <c r="G98">
        <v>-131.45585719145097</v>
      </c>
      <c r="H98">
        <v>-279.50581074406216</v>
      </c>
      <c r="I98">
        <v>-16.80573752295463</v>
      </c>
      <c r="J98">
        <v>-168.26422489472691</v>
      </c>
      <c r="K98">
        <v>-97.035689493923044</v>
      </c>
      <c r="L98">
        <v>-74.346882267676961</v>
      </c>
      <c r="M98">
        <v>-145.43267984050243</v>
      </c>
      <c r="N98">
        <v>-24.410388034225182</v>
      </c>
      <c r="O98">
        <v>-89.810010609069209</v>
      </c>
      <c r="P98">
        <v>-60.146044770266386</v>
      </c>
      <c r="Q98">
        <v>-189.12306021608435</v>
      </c>
      <c r="R98">
        <v>-310.34288409182864</v>
      </c>
      <c r="S98">
        <v>-97.509700973701655</v>
      </c>
      <c r="T98">
        <v>-91.447593837177394</v>
      </c>
      <c r="U98">
        <v>-212.02186821567059</v>
      </c>
      <c r="V98">
        <v>-43.410837685149986</v>
      </c>
      <c r="W98">
        <v>-69.534422005600078</v>
      </c>
      <c r="X98">
        <v>-110.81486452680468</v>
      </c>
      <c r="Y98">
        <v>-30.584858377452399</v>
      </c>
    </row>
    <row r="99" spans="1:25" x14ac:dyDescent="0.2">
      <c r="A99">
        <v>11</v>
      </c>
      <c r="B99">
        <v>-246.60749327631348</v>
      </c>
      <c r="C99">
        <v>-560.55119713192221</v>
      </c>
      <c r="D99">
        <v>-11.482029530428058</v>
      </c>
      <c r="E99">
        <v>-289.03385977309722</v>
      </c>
      <c r="F99">
        <v>-205.8392945870618</v>
      </c>
      <c r="G99">
        <v>-130.5535965435981</v>
      </c>
      <c r="H99">
        <v>-276.17953527709801</v>
      </c>
      <c r="I99">
        <v>-16.840862159381398</v>
      </c>
      <c r="J99">
        <v>-166.8138235747825</v>
      </c>
      <c r="K99">
        <v>-96.568812439767626</v>
      </c>
      <c r="L99">
        <v>-73.961322737121648</v>
      </c>
      <c r="M99">
        <v>-143.97932400893063</v>
      </c>
      <c r="N99">
        <v>-24.446479447092482</v>
      </c>
      <c r="O99">
        <v>-89.215017515940005</v>
      </c>
      <c r="P99">
        <v>-59.928036638336245</v>
      </c>
      <c r="Q99">
        <v>-187.29848607942913</v>
      </c>
      <c r="R99">
        <v>-307.86630214392824</v>
      </c>
      <c r="S99">
        <v>-96.188191792243074</v>
      </c>
      <c r="T99">
        <v>-91.085675946998521</v>
      </c>
      <c r="U99">
        <v>-211.7555362902055</v>
      </c>
      <c r="V99">
        <v>-42.866240868904463</v>
      </c>
      <c r="W99">
        <v>-69.213266505029594</v>
      </c>
      <c r="X99">
        <v>-110.75979711742879</v>
      </c>
      <c r="Y99">
        <v>-30.230759905875185</v>
      </c>
    </row>
    <row r="100" spans="1:25" x14ac:dyDescent="0.2">
      <c r="A100">
        <v>12</v>
      </c>
      <c r="B100">
        <v>-243.73987279906726</v>
      </c>
      <c r="C100">
        <v>-552.26463965387484</v>
      </c>
      <c r="D100">
        <v>-11.473297830829445</v>
      </c>
      <c r="E100">
        <v>-285.39926467719488</v>
      </c>
      <c r="F100">
        <v>-203.67988554312646</v>
      </c>
      <c r="G100">
        <v>-129.45034645137363</v>
      </c>
      <c r="H100">
        <v>-272.67692315344431</v>
      </c>
      <c r="I100">
        <v>-16.833111717256767</v>
      </c>
      <c r="J100">
        <v>-165.15227303535917</v>
      </c>
      <c r="K100">
        <v>-95.925896510507798</v>
      </c>
      <c r="L100">
        <v>-73.449382733553506</v>
      </c>
      <c r="M100">
        <v>-142.41324407566879</v>
      </c>
      <c r="N100">
        <v>-24.419445922579467</v>
      </c>
      <c r="O100">
        <v>-88.488882455085971</v>
      </c>
      <c r="P100">
        <v>-59.593540146162319</v>
      </c>
      <c r="Q100">
        <v>-185.23057176892002</v>
      </c>
      <c r="R100">
        <v>-304.88569220332062</v>
      </c>
      <c r="S100">
        <v>-94.79669318820072</v>
      </c>
      <c r="T100">
        <v>-90.553043988812988</v>
      </c>
      <c r="U100">
        <v>-211.00180738138064</v>
      </c>
      <c r="V100">
        <v>-42.279348469079856</v>
      </c>
      <c r="W100">
        <v>-68.76461837289439</v>
      </c>
      <c r="X100">
        <v>-110.46060305887281</v>
      </c>
      <c r="Y100">
        <v>-29.8384934326027</v>
      </c>
    </row>
    <row r="101" spans="1:25" x14ac:dyDescent="0.2">
      <c r="A101">
        <v>13</v>
      </c>
      <c r="B101">
        <v>-240.6335517615376</v>
      </c>
      <c r="C101">
        <v>-543.90588628227511</v>
      </c>
      <c r="D101">
        <v>-11.437287126946108</v>
      </c>
      <c r="E101">
        <v>-281.53853391491356</v>
      </c>
      <c r="F101">
        <v>-201.27964744892745</v>
      </c>
      <c r="G101">
        <v>-128.17031209828571</v>
      </c>
      <c r="H101">
        <v>-269.02572243496377</v>
      </c>
      <c r="I101">
        <v>-16.78556861018091</v>
      </c>
      <c r="J101">
        <v>-163.30729474910981</v>
      </c>
      <c r="K101">
        <v>-95.126077561484422</v>
      </c>
      <c r="L101">
        <v>-72.824264637059528</v>
      </c>
      <c r="M101">
        <v>-140.75088360956374</v>
      </c>
      <c r="N101">
        <v>-24.332830510393361</v>
      </c>
      <c r="O101">
        <v>-87.646716408957445</v>
      </c>
      <c r="P101">
        <v>-59.153417810057448</v>
      </c>
      <c r="Q101">
        <v>-182.95283493075203</v>
      </c>
      <c r="R101">
        <v>-301.48072941603715</v>
      </c>
      <c r="S101">
        <v>-93.344270769711969</v>
      </c>
      <c r="T101">
        <v>-89.867936788330638</v>
      </c>
      <c r="U101">
        <v>-209.82297542420326</v>
      </c>
      <c r="V101">
        <v>-41.655298229240834</v>
      </c>
      <c r="W101">
        <v>-68.20185533906556</v>
      </c>
      <c r="X101">
        <v>-109.94283434244696</v>
      </c>
      <c r="Y101">
        <v>-29.412061791010004</v>
      </c>
    </row>
    <row r="102" spans="1:25" x14ac:dyDescent="0.2">
      <c r="A102">
        <v>14</v>
      </c>
      <c r="B102">
        <v>-237.32230992360192</v>
      </c>
      <c r="C102">
        <v>-535.48921274427221</v>
      </c>
      <c r="D102">
        <v>-11.375995892651741</v>
      </c>
      <c r="E102">
        <v>-277.4856058961708</v>
      </c>
      <c r="F102">
        <v>-198.67051833550866</v>
      </c>
      <c r="G102">
        <v>-126.73549741326789</v>
      </c>
      <c r="H102">
        <v>-265.24955758033212</v>
      </c>
      <c r="I102">
        <v>-16.701396892368127</v>
      </c>
      <c r="J102">
        <v>-161.30356891189226</v>
      </c>
      <c r="K102">
        <v>-94.187180531398781</v>
      </c>
      <c r="L102">
        <v>-72.098312196865947</v>
      </c>
      <c r="M102">
        <v>-139.0064817623749</v>
      </c>
      <c r="N102">
        <v>-24.190433826524853</v>
      </c>
      <c r="O102">
        <v>-86.70234043546705</v>
      </c>
      <c r="P102">
        <v>-58.618083348976633</v>
      </c>
      <c r="Q102">
        <v>-180.49486749361071</v>
      </c>
      <c r="R102">
        <v>-297.72022626039069</v>
      </c>
      <c r="S102">
        <v>-91.838929096971185</v>
      </c>
      <c r="T102">
        <v>-89.047422040750803</v>
      </c>
      <c r="U102">
        <v>-208.27604079849402</v>
      </c>
      <c r="V102">
        <v>-40.998696286967871</v>
      </c>
      <c r="W102">
        <v>-67.537519156392236</v>
      </c>
      <c r="X102">
        <v>-109.23073430798955</v>
      </c>
      <c r="Y102">
        <v>-28.955156224501032</v>
      </c>
    </row>
    <row r="103" spans="1:25" x14ac:dyDescent="0.2">
      <c r="A103">
        <v>15</v>
      </c>
      <c r="B103">
        <v>-233.83565328663582</v>
      </c>
      <c r="C103">
        <v>-527.02609715032054</v>
      </c>
      <c r="D103">
        <v>-11.291447969155385</v>
      </c>
      <c r="E103">
        <v>-273.26971063279512</v>
      </c>
      <c r="F103">
        <v>-195.88082703193479</v>
      </c>
      <c r="G103">
        <v>-125.16571358990903</v>
      </c>
      <c r="H103">
        <v>-261.3684728712268</v>
      </c>
      <c r="I103">
        <v>-16.583757476672908</v>
      </c>
      <c r="J103">
        <v>-159.1629052753735</v>
      </c>
      <c r="K103">
        <v>-93.125604055629381</v>
      </c>
      <c r="L103">
        <v>-71.282932602390616</v>
      </c>
      <c r="M103">
        <v>-137.19231499898342</v>
      </c>
      <c r="N103">
        <v>-23.99619976195768</v>
      </c>
      <c r="O103">
        <v>-85.668278549733785</v>
      </c>
      <c r="P103">
        <v>-57.99737545022456</v>
      </c>
      <c r="Q103">
        <v>-177.8826015864656</v>
      </c>
      <c r="R103">
        <v>-293.66305740790403</v>
      </c>
      <c r="S103">
        <v>-90.287708343876247</v>
      </c>
      <c r="T103">
        <v>-88.107263056509524</v>
      </c>
      <c r="U103">
        <v>-206.4123294501552</v>
      </c>
      <c r="V103">
        <v>-40.313649793399655</v>
      </c>
      <c r="W103">
        <v>-66.783218313865547</v>
      </c>
      <c r="X103">
        <v>-108.3469153153368</v>
      </c>
      <c r="Y103">
        <v>-28.471155818795406</v>
      </c>
    </row>
    <row r="104" spans="1:25" x14ac:dyDescent="0.2">
      <c r="A104">
        <v>16</v>
      </c>
      <c r="B104">
        <v>-230.19921637233932</v>
      </c>
      <c r="C104">
        <v>-518.52576090398679</v>
      </c>
      <c r="D104">
        <v>-11.185646699060257</v>
      </c>
      <c r="E104">
        <v>-268.91591572024669</v>
      </c>
      <c r="F104">
        <v>-192.93553299701054</v>
      </c>
      <c r="G104">
        <v>-123.47865245526086</v>
      </c>
      <c r="H104">
        <v>-257.39942520167853</v>
      </c>
      <c r="I104">
        <v>-16.43574059132683</v>
      </c>
      <c r="J104">
        <v>-156.90445546107438</v>
      </c>
      <c r="K104">
        <v>-91.956277153728507</v>
      </c>
      <c r="L104">
        <v>-70.388563703023479</v>
      </c>
      <c r="M104">
        <v>-135.31892829235431</v>
      </c>
      <c r="N104">
        <v>-23.754116992513502</v>
      </c>
      <c r="O104">
        <v>-84.555789622285346</v>
      </c>
      <c r="P104">
        <v>-57.300475934597081</v>
      </c>
      <c r="Q104">
        <v>-175.13861930124307</v>
      </c>
      <c r="R104">
        <v>-289.35920663609716</v>
      </c>
      <c r="S104">
        <v>-88.696779463261848</v>
      </c>
      <c r="T104">
        <v>-87.061858424732279</v>
      </c>
      <c r="U104">
        <v>-204.27745475865311</v>
      </c>
      <c r="V104">
        <v>-39.603803694189473</v>
      </c>
      <c r="W104">
        <v>-65.949582028494831</v>
      </c>
      <c r="X104">
        <v>-107.31217326694922</v>
      </c>
      <c r="Y104">
        <v>-27.963134214439691</v>
      </c>
    </row>
    <row r="105" spans="1:25" x14ac:dyDescent="0.2">
      <c r="A105">
        <v>17</v>
      </c>
      <c r="B105">
        <v>-226.43516808020163</v>
      </c>
      <c r="C105">
        <v>-509.99560734640909</v>
      </c>
      <c r="D105">
        <v>-11.06053869799331</v>
      </c>
      <c r="E105">
        <v>-264.44564104252839</v>
      </c>
      <c r="F105">
        <v>-189.85650139858669</v>
      </c>
      <c r="G105">
        <v>-121.69000351122598</v>
      </c>
      <c r="H105">
        <v>-253.35672390711449</v>
      </c>
      <c r="I105">
        <v>-16.260314456242039</v>
      </c>
      <c r="J105">
        <v>-154.54494637564889</v>
      </c>
      <c r="K105">
        <v>-90.692670332774412</v>
      </c>
      <c r="L105">
        <v>-69.424675900324118</v>
      </c>
      <c r="M105">
        <v>-133.39535059009924</v>
      </c>
      <c r="N105">
        <v>-23.468137045693808</v>
      </c>
      <c r="O105">
        <v>-83.374926491880686</v>
      </c>
      <c r="P105">
        <v>-56.535864530261328</v>
      </c>
      <c r="Q105">
        <v>-172.28248037560499</v>
      </c>
      <c r="R105">
        <v>-284.85083893172214</v>
      </c>
      <c r="S105">
        <v>-87.07153545478171</v>
      </c>
      <c r="T105">
        <v>-85.924237503720136</v>
      </c>
      <c r="U105">
        <v>-201.91151647213954</v>
      </c>
      <c r="V105">
        <v>-38.872379430825305</v>
      </c>
      <c r="W105">
        <v>-65.04625383953055</v>
      </c>
      <c r="X105">
        <v>-106.14540982208652</v>
      </c>
      <c r="Y105">
        <v>-27.433871630911973</v>
      </c>
    </row>
    <row r="106" spans="1:25" x14ac:dyDescent="0.2">
      <c r="A106">
        <v>18</v>
      </c>
      <c r="B106">
        <v>-222.56260495914148</v>
      </c>
      <c r="C106">
        <v>-501.44157669534746</v>
      </c>
      <c r="D106">
        <v>-10.917986564305977</v>
      </c>
      <c r="E106">
        <v>-259.87713279758941</v>
      </c>
      <c r="F106">
        <v>-186.66279288637125</v>
      </c>
      <c r="G106">
        <v>-119.81359782442867</v>
      </c>
      <c r="H106">
        <v>-249.2524184852625</v>
      </c>
      <c r="I106">
        <v>-16.060288507597217</v>
      </c>
      <c r="J106">
        <v>-152.09891982699278</v>
      </c>
      <c r="K106">
        <v>-89.346845878179792</v>
      </c>
      <c r="L106">
        <v>-68.399799559485444</v>
      </c>
      <c r="M106">
        <v>-131.42929176809875</v>
      </c>
      <c r="N106">
        <v>-23.142108646580414</v>
      </c>
      <c r="O106">
        <v>-82.134612725388365</v>
      </c>
      <c r="P106">
        <v>-55.711302784608826</v>
      </c>
      <c r="Q106">
        <v>-169.33104949966858</v>
      </c>
      <c r="R106">
        <v>-280.17333534500068</v>
      </c>
      <c r="S106">
        <v>-85.416677184464803</v>
      </c>
      <c r="T106">
        <v>-84.706096782352787</v>
      </c>
      <c r="U106">
        <v>-199.3494514337745</v>
      </c>
      <c r="V106">
        <v>-38.122213895412223</v>
      </c>
      <c r="W106">
        <v>-64.081914509134606</v>
      </c>
      <c r="X106">
        <v>-104.86363567584409</v>
      </c>
      <c r="Y106">
        <v>-26.885870556535984</v>
      </c>
    </row>
    <row r="107" spans="1:25" x14ac:dyDescent="0.2">
      <c r="A107">
        <v>19</v>
      </c>
      <c r="B107">
        <v>-218.59792156499171</v>
      </c>
      <c r="C107">
        <v>-492.86843274073237</v>
      </c>
      <c r="D107">
        <v>-10.759749537565499</v>
      </c>
      <c r="E107">
        <v>-255.22589241039648</v>
      </c>
      <c r="F107">
        <v>-183.37095332843813</v>
      </c>
      <c r="G107">
        <v>-117.86156586663992</v>
      </c>
      <c r="H107">
        <v>-245.09663703036719</v>
      </c>
      <c r="I107">
        <v>-15.838289154771566</v>
      </c>
      <c r="J107">
        <v>-149.5789679075296</v>
      </c>
      <c r="K107">
        <v>-87.929534721037641</v>
      </c>
      <c r="L107">
        <v>-67.321570245696776</v>
      </c>
      <c r="M107">
        <v>-129.42731999068653</v>
      </c>
      <c r="N107">
        <v>-22.779727316207261</v>
      </c>
      <c r="O107">
        <v>-80.842729523427195</v>
      </c>
      <c r="P107">
        <v>-54.833840329771448</v>
      </c>
      <c r="Q107">
        <v>-166.29881099166496</v>
      </c>
      <c r="R107">
        <v>-275.35625364498372</v>
      </c>
      <c r="S107">
        <v>-83.736292852661919</v>
      </c>
      <c r="T107">
        <v>-83.417864572546435</v>
      </c>
      <c r="U107">
        <v>-196.6214706458947</v>
      </c>
      <c r="V107">
        <v>-37.355797444881517</v>
      </c>
      <c r="W107">
        <v>-63.064325525910071</v>
      </c>
      <c r="X107">
        <v>-103.48203191657898</v>
      </c>
      <c r="Y107">
        <v>-26.321373765069524</v>
      </c>
    </row>
    <row r="108" spans="1:25" x14ac:dyDescent="0.2">
      <c r="A108">
        <v>20</v>
      </c>
      <c r="B108">
        <v>-214.55515193577656</v>
      </c>
      <c r="C108">
        <v>-484.27999407867117</v>
      </c>
      <c r="D108">
        <v>-10.587470973142157</v>
      </c>
      <c r="E108">
        <v>-250.50505933018587</v>
      </c>
      <c r="F108">
        <v>-179.99529344634433</v>
      </c>
      <c r="G108">
        <v>-115.84449976970367</v>
      </c>
      <c r="H108">
        <v>-240.89787931134947</v>
      </c>
      <c r="I108">
        <v>-15.596745946821029</v>
      </c>
      <c r="J108">
        <v>-146.99595722467333</v>
      </c>
      <c r="K108">
        <v>-86.450229804350869</v>
      </c>
      <c r="L108">
        <v>-66.196785531360135</v>
      </c>
      <c r="M108">
        <v>-127.39501955560299</v>
      </c>
      <c r="N108">
        <v>-22.384498708939223</v>
      </c>
      <c r="O108">
        <v>-79.506207081398557</v>
      </c>
      <c r="P108">
        <v>-53.909837596070716</v>
      </c>
      <c r="Q108">
        <v>-163.1981632026374</v>
      </c>
      <c r="R108">
        <v>-270.42419586016553</v>
      </c>
      <c r="S108">
        <v>-82.033930687565032</v>
      </c>
      <c r="T108">
        <v>-82.068783898475118</v>
      </c>
      <c r="U108">
        <v>-193.75353471278609</v>
      </c>
      <c r="V108">
        <v>-36.575310159477731</v>
      </c>
      <c r="W108">
        <v>-62.00038611444571</v>
      </c>
      <c r="X108">
        <v>-102.01405048952471</v>
      </c>
      <c r="Y108">
        <v>-25.742383597649386</v>
      </c>
    </row>
    <row r="109" spans="1:25" x14ac:dyDescent="0.2">
      <c r="A109">
        <v>21</v>
      </c>
      <c r="B109">
        <v>-210.44627936885502</v>
      </c>
      <c r="C109">
        <v>-475.67932038699405</v>
      </c>
      <c r="D109">
        <v>-10.402671468660634</v>
      </c>
      <c r="E109">
        <v>-245.72574896770706</v>
      </c>
      <c r="F109">
        <v>-176.54815189874313</v>
      </c>
      <c r="G109">
        <v>-113.77161322358285</v>
      </c>
      <c r="H109">
        <v>-236.6632689395779</v>
      </c>
      <c r="I109">
        <v>-15.337886087781282</v>
      </c>
      <c r="J109">
        <v>-144.35923773544783</v>
      </c>
      <c r="K109">
        <v>-84.917288161156748</v>
      </c>
      <c r="L109">
        <v>-65.031468447470985</v>
      </c>
      <c r="M109">
        <v>-125.33713005069549</v>
      </c>
      <c r="N109">
        <v>-21.959713910323366</v>
      </c>
      <c r="O109">
        <v>-78.131116239011774</v>
      </c>
      <c r="P109">
        <v>-52.945000010557209</v>
      </c>
      <c r="Q109">
        <v>-160.03968841933636</v>
      </c>
      <c r="R109">
        <v>-265.39757597629546</v>
      </c>
      <c r="S109">
        <v>-80.312664787366316</v>
      </c>
      <c r="T109">
        <v>-80.667005665359511</v>
      </c>
      <c r="U109">
        <v>-190.76783416599184</v>
      </c>
      <c r="V109">
        <v>-35.782655826330014</v>
      </c>
      <c r="W109">
        <v>-60.896198151983228</v>
      </c>
      <c r="X109">
        <v>-100.47153870474004</v>
      </c>
      <c r="Y109">
        <v>-25.150681691529861</v>
      </c>
    </row>
    <row r="110" spans="1:25" x14ac:dyDescent="0.2">
      <c r="A110">
        <v>22</v>
      </c>
      <c r="B110">
        <v>-206.28151388200453</v>
      </c>
      <c r="C110">
        <v>-467.06886233199867</v>
      </c>
      <c r="D110">
        <v>-10.206746525400886</v>
      </c>
      <c r="E110">
        <v>-240.89734842465944</v>
      </c>
      <c r="F110">
        <v>-173.04013807992894</v>
      </c>
      <c r="G110">
        <v>-111.65089444410934</v>
      </c>
      <c r="H110">
        <v>-232.39876919114397</v>
      </c>
      <c r="I110">
        <v>-15.063735410666036</v>
      </c>
      <c r="J110">
        <v>-141.67683391963212</v>
      </c>
      <c r="K110">
        <v>-83.338035890061704</v>
      </c>
      <c r="L110">
        <v>-63.830933817281363</v>
      </c>
      <c r="M110">
        <v>-123.25766809827773</v>
      </c>
      <c r="N110">
        <v>-21.508434826854305</v>
      </c>
      <c r="O110">
        <v>-76.722757490798429</v>
      </c>
      <c r="P110">
        <v>-51.944419638464474</v>
      </c>
      <c r="Q110">
        <v>-156.83239646771898</v>
      </c>
      <c r="R110">
        <v>-260.29328887953534</v>
      </c>
      <c r="S110">
        <v>-78.575154274229618</v>
      </c>
      <c r="T110">
        <v>-79.219686127290871</v>
      </c>
      <c r="U110">
        <v>-187.68325255273945</v>
      </c>
      <c r="V110">
        <v>-34.979493354367534</v>
      </c>
      <c r="W110">
        <v>-59.757134715824513</v>
      </c>
      <c r="X110">
        <v>-98.864876258348687</v>
      </c>
      <c r="Y110">
        <v>-24.547848543006438</v>
      </c>
    </row>
    <row r="111" spans="1:25" x14ac:dyDescent="0.2">
      <c r="A111">
        <v>23</v>
      </c>
      <c r="B111">
        <v>-202.06953820755552</v>
      </c>
      <c r="C111">
        <v>-458.45058210476486</v>
      </c>
      <c r="D111">
        <v>-10.000967725289961</v>
      </c>
      <c r="E111">
        <v>-236.02777344544123</v>
      </c>
      <c r="F111">
        <v>-169.48035287864195</v>
      </c>
      <c r="G111">
        <v>-109.48924933229326</v>
      </c>
      <c r="H111">
        <v>-228.10936691603573</v>
      </c>
      <c r="I111">
        <v>-14.77612415038848</v>
      </c>
      <c r="J111">
        <v>-138.9556174396231</v>
      </c>
      <c r="K111">
        <v>-81.718871848438567</v>
      </c>
      <c r="L111">
        <v>-62.599854694516509</v>
      </c>
      <c r="M111">
        <v>-121.16003319869377</v>
      </c>
      <c r="N111">
        <v>-21.033487837644884</v>
      </c>
      <c r="O111">
        <v>-75.285745409296922</v>
      </c>
      <c r="P111">
        <v>-50.912621070819426</v>
      </c>
      <c r="Q111">
        <v>-153.58394189054559</v>
      </c>
      <c r="R111">
        <v>-255.12528630827572</v>
      </c>
      <c r="S111">
        <v>-76.823696081997127</v>
      </c>
      <c r="T111">
        <v>-77.733084297327466</v>
      </c>
      <c r="U111">
        <v>-184.51579875132163</v>
      </c>
      <c r="V111">
        <v>-34.167265494110531</v>
      </c>
      <c r="W111">
        <v>-58.587909105508373</v>
      </c>
      <c r="X111">
        <v>-97.203116258285391</v>
      </c>
      <c r="Y111">
        <v>-23.935282462277698</v>
      </c>
    </row>
    <row r="112" spans="1:25" x14ac:dyDescent="0.2">
      <c r="A112">
        <v>24</v>
      </c>
      <c r="B112">
        <v>-197.81772409087765</v>
      </c>
      <c r="C112">
        <v>-449.8260502717439</v>
      </c>
      <c r="D112">
        <v>-9.7864865289836001</v>
      </c>
      <c r="E112">
        <v>-231.12369036921848</v>
      </c>
      <c r="F112">
        <v>-165.87658703541166</v>
      </c>
      <c r="G112">
        <v>-107.29263321704103</v>
      </c>
      <c r="H112">
        <v>-223.79922868448159</v>
      </c>
      <c r="I112">
        <v>-14.476696109577876</v>
      </c>
      <c r="J112">
        <v>-136.20146140877819</v>
      </c>
      <c r="K112">
        <v>-80.065367195490637</v>
      </c>
      <c r="L112">
        <v>-61.342326934268002</v>
      </c>
      <c r="M112">
        <v>-119.04709927310083</v>
      </c>
      <c r="N112">
        <v>-20.537464003366281</v>
      </c>
      <c r="O112">
        <v>-73.824087285390505</v>
      </c>
      <c r="P112">
        <v>-49.853609103865004</v>
      </c>
      <c r="Q112">
        <v>-150.30081566607458</v>
      </c>
      <c r="R112">
        <v>-249.9050680772234</v>
      </c>
      <c r="S112">
        <v>-75.060271797059769</v>
      </c>
      <c r="T112">
        <v>-76.212656259429409</v>
      </c>
      <c r="U112">
        <v>-181.2790012099488</v>
      </c>
      <c r="V112">
        <v>-33.347224856310774</v>
      </c>
      <c r="W112">
        <v>-57.39264210159606</v>
      </c>
      <c r="X112">
        <v>-95.494124227950763</v>
      </c>
      <c r="Y112">
        <v>-23.314217615726349</v>
      </c>
    </row>
    <row r="113" spans="1:25" x14ac:dyDescent="0.2">
      <c r="A113">
        <v>25</v>
      </c>
      <c r="B113">
        <v>-193.53232119133668</v>
      </c>
      <c r="C113">
        <v>-441.19652354601976</v>
      </c>
      <c r="D113">
        <v>-9.5643399355514696</v>
      </c>
      <c r="E113">
        <v>-226.19070691959107</v>
      </c>
      <c r="F113">
        <v>-162.23549767723424</v>
      </c>
      <c r="G113">
        <v>-105.06617049616827</v>
      </c>
      <c r="H113">
        <v>-219.47183295946593</v>
      </c>
      <c r="I113">
        <v>-14.166920063216352</v>
      </c>
      <c r="J113">
        <v>-133.41937702882953</v>
      </c>
      <c r="K113">
        <v>-78.382358940405723</v>
      </c>
      <c r="L113">
        <v>-60.061930566594633</v>
      </c>
      <c r="M113">
        <v>-116.92129349612783</v>
      </c>
      <c r="N113">
        <v>-20.022724305260247</v>
      </c>
      <c r="O113">
        <v>-72.341255353526932</v>
      </c>
      <c r="P113">
        <v>-48.770916385419063</v>
      </c>
      <c r="Q113">
        <v>-146.98851310270661</v>
      </c>
      <c r="R113">
        <v>-244.64209788827529</v>
      </c>
      <c r="S113">
        <v>-73.286589024239291</v>
      </c>
      <c r="T113">
        <v>-74.663144377823457</v>
      </c>
      <c r="U113">
        <v>-177.98426115972683</v>
      </c>
      <c r="V113">
        <v>-32.520457306992839</v>
      </c>
      <c r="W113">
        <v>-56.174925953111192</v>
      </c>
      <c r="X113">
        <v>-93.744711030706227</v>
      </c>
      <c r="Y113">
        <v>-22.685740960047614</v>
      </c>
    </row>
    <row r="114" spans="1:25" x14ac:dyDescent="0.2">
      <c r="A114">
        <v>26</v>
      </c>
      <c r="B114">
        <v>-189.21862113174299</v>
      </c>
      <c r="C114">
        <v>-432.56300720452936</v>
      </c>
      <c r="D114">
        <v>-9.3354573775362706</v>
      </c>
      <c r="E114">
        <v>-221.23353554334776</v>
      </c>
      <c r="F114">
        <v>-158.56276420841183</v>
      </c>
      <c r="G114">
        <v>-102.81426213887276</v>
      </c>
      <c r="H114">
        <v>-215.13008169124186</v>
      </c>
      <c r="I114">
        <v>-13.848102482291301</v>
      </c>
      <c r="J114">
        <v>-130.61363374768115</v>
      </c>
      <c r="K114">
        <v>-76.67403642686314</v>
      </c>
      <c r="L114">
        <v>-58.761787141196777</v>
      </c>
      <c r="M114">
        <v>-114.7846639378663</v>
      </c>
      <c r="N114">
        <v>-19.4914085894263</v>
      </c>
      <c r="O114">
        <v>-70.840252378856107</v>
      </c>
      <c r="P114">
        <v>-47.667649721556849</v>
      </c>
      <c r="Q114">
        <v>-143.65167990714718</v>
      </c>
      <c r="R114">
        <v>-239.34415316969009</v>
      </c>
      <c r="S114">
        <v>-71.504117769576837</v>
      </c>
      <c r="T114">
        <v>-73.088660192557327</v>
      </c>
      <c r="U114">
        <v>-174.6411647644322</v>
      </c>
      <c r="V114">
        <v>-31.687902871602017</v>
      </c>
      <c r="W114">
        <v>-54.937884151160866</v>
      </c>
      <c r="X114">
        <v>-91.960757173420063</v>
      </c>
      <c r="Y114">
        <v>-22.050807956968722</v>
      </c>
    </row>
    <row r="115" spans="1:25" x14ac:dyDescent="0.2">
      <c r="A115">
        <v>27</v>
      </c>
      <c r="B115">
        <v>-184.8810992997669</v>
      </c>
      <c r="C115">
        <v>-423.9263051591011</v>
      </c>
      <c r="D115">
        <v>-9.1006683490671971</v>
      </c>
      <c r="E115">
        <v>-216.25613277306394</v>
      </c>
      <c r="F115">
        <v>-154.86322508656158</v>
      </c>
      <c r="G115">
        <v>-100.5406814491169</v>
      </c>
      <c r="H115">
        <v>-210.77639433511544</v>
      </c>
      <c r="I115">
        <v>-13.52140086449641</v>
      </c>
      <c r="J115">
        <v>-127.78786430040611</v>
      </c>
      <c r="K115">
        <v>-74.944020257401618</v>
      </c>
      <c r="L115">
        <v>-57.444612588627919</v>
      </c>
      <c r="M115">
        <v>-112.63893742726121</v>
      </c>
      <c r="N115">
        <v>-18.945447099124465</v>
      </c>
      <c r="O115">
        <v>-69.323670670817279</v>
      </c>
      <c r="P115">
        <v>-46.546534152759328</v>
      </c>
      <c r="Q115">
        <v>-140.29423857413153</v>
      </c>
      <c r="R115">
        <v>-234.01761795697197</v>
      </c>
      <c r="S115">
        <v>-69.714122329418601</v>
      </c>
      <c r="T115">
        <v>-71.492760380616716</v>
      </c>
      <c r="U115">
        <v>-171.25775601179649</v>
      </c>
      <c r="V115">
        <v>-30.850374314652765</v>
      </c>
      <c r="W115">
        <v>-53.684226472672123</v>
      </c>
      <c r="X115">
        <v>-90.14732707901257</v>
      </c>
      <c r="Y115">
        <v>-21.410257021053397</v>
      </c>
    </row>
    <row r="116" spans="1:25" x14ac:dyDescent="0.2">
      <c r="A116">
        <v>28</v>
      </c>
      <c r="B116">
        <v>-180.52353693747989</v>
      </c>
      <c r="C116">
        <v>-415.28706010671613</v>
      </c>
      <c r="D116">
        <v>-8.8607103750370122</v>
      </c>
      <c r="E116">
        <v>-211.26181779231115</v>
      </c>
      <c r="F116">
        <v>-151.14099718442347</v>
      </c>
      <c r="G116">
        <v>-98.248658765999465</v>
      </c>
      <c r="H116">
        <v>-206.41278691657573</v>
      </c>
      <c r="I116">
        <v>-13.18783713780323</v>
      </c>
      <c r="J116">
        <v>-124.94515608194315</v>
      </c>
      <c r="K116">
        <v>-73.195433570028925</v>
      </c>
      <c r="L116">
        <v>-56.112765421185564</v>
      </c>
      <c r="M116">
        <v>-110.48556892324235</v>
      </c>
      <c r="N116">
        <v>-18.386573677005675</v>
      </c>
      <c r="O116">
        <v>-67.793744781033737</v>
      </c>
      <c r="P116">
        <v>-45.409954234169689</v>
      </c>
      <c r="Q116">
        <v>-136.91949725376833</v>
      </c>
      <c r="R116">
        <v>-228.66772709677338</v>
      </c>
      <c r="S116">
        <v>-67.917689157583411</v>
      </c>
      <c r="T116">
        <v>-69.878515588743682</v>
      </c>
      <c r="U116">
        <v>-167.8407732237356</v>
      </c>
      <c r="V116">
        <v>-30.008573579095977</v>
      </c>
      <c r="W116">
        <v>-52.416299090758798</v>
      </c>
      <c r="X116">
        <v>-88.308772737558854</v>
      </c>
      <c r="Y116">
        <v>-20.7648227000251</v>
      </c>
    </row>
    <row r="117" spans="1:25" x14ac:dyDescent="0.2">
      <c r="A117">
        <v>29</v>
      </c>
      <c r="B117">
        <v>-176.14912591078979</v>
      </c>
      <c r="C117">
        <v>-406.64578571257988</v>
      </c>
      <c r="D117">
        <v>-8.6162370242990374</v>
      </c>
      <c r="E117">
        <v>-206.25337306212407</v>
      </c>
      <c r="F117">
        <v>-147.39957948591328</v>
      </c>
      <c r="G117">
        <v>-95.94095593644559</v>
      </c>
      <c r="H117">
        <v>-202.04093841862158</v>
      </c>
      <c r="I117">
        <v>-12.84831075029339</v>
      </c>
      <c r="J117">
        <v>-122.08813030028257</v>
      </c>
      <c r="K117">
        <v>-71.43096586060291</v>
      </c>
      <c r="L117">
        <v>-54.76829029476913</v>
      </c>
      <c r="M117">
        <v>-108.32578354793692</v>
      </c>
      <c r="N117">
        <v>-17.816339901616235</v>
      </c>
      <c r="O117">
        <v>-66.252398265494364</v>
      </c>
      <c r="P117">
        <v>-44.259992203342222</v>
      </c>
      <c r="Q117">
        <v>-133.53024316934923</v>
      </c>
      <c r="R117">
        <v>-223.29876918449509</v>
      </c>
      <c r="S117">
        <v>-66.115751155246372</v>
      </c>
      <c r="T117">
        <v>-68.24857224172024</v>
      </c>
      <c r="U117">
        <v>-164.39585259974868</v>
      </c>
      <c r="V117">
        <v>-29.16310627600998</v>
      </c>
      <c r="W117">
        <v>-51.136129770059526</v>
      </c>
      <c r="X117">
        <v>-86.44882671866975</v>
      </c>
      <c r="Y117">
        <v>-20.115147620502412</v>
      </c>
    </row>
    <row r="118" spans="1:25" x14ac:dyDescent="0.2">
      <c r="A118">
        <v>30</v>
      </c>
      <c r="B118">
        <v>-171.7605583629342</v>
      </c>
      <c r="C118">
        <v>-398.00289239814373</v>
      </c>
      <c r="D118">
        <v>-8.3678257492651582</v>
      </c>
      <c r="E118">
        <v>-201.23312954610472</v>
      </c>
      <c r="F118">
        <v>-143.64194283003039</v>
      </c>
      <c r="G118">
        <v>-93.619931470696656</v>
      </c>
      <c r="H118">
        <v>-197.6622464500183</v>
      </c>
      <c r="I118">
        <v>-12.503611178935204</v>
      </c>
      <c r="J118">
        <v>-119.21901030379711</v>
      </c>
      <c r="K118">
        <v>-69.652929728093355</v>
      </c>
      <c r="L118">
        <v>-53.412957088911497</v>
      </c>
      <c r="M118">
        <v>-106.16061230589995</v>
      </c>
      <c r="N118">
        <v>-17.236129583768228</v>
      </c>
      <c r="O118">
        <v>-64.701284960487996</v>
      </c>
      <c r="P118">
        <v>-43.098462904130088</v>
      </c>
      <c r="Q118">
        <v>-130.1288225208142</v>
      </c>
      <c r="R118">
        <v>-217.91425474203635</v>
      </c>
      <c r="S118">
        <v>-64.309108795537796</v>
      </c>
      <c r="T118">
        <v>-66.605207628095016</v>
      </c>
      <c r="U118">
        <v>-160.92770238401465</v>
      </c>
      <c r="V118">
        <v>-28.314494413601832</v>
      </c>
      <c r="W118">
        <v>-49.845468316516623</v>
      </c>
      <c r="X118">
        <v>-84.570684911512984</v>
      </c>
      <c r="Y118">
        <v>-19.46179325488372</v>
      </c>
    </row>
    <row r="119" spans="1:25" x14ac:dyDescent="0.2">
      <c r="A119">
        <v>31</v>
      </c>
      <c r="B119">
        <v>-167.36010324880371</v>
      </c>
      <c r="C119">
        <v>-389.35870799826688</v>
      </c>
      <c r="D119">
        <v>-8.1159853990904818</v>
      </c>
      <c r="E119">
        <v>-196.20303876351571</v>
      </c>
      <c r="F119">
        <v>-139.87060732903126</v>
      </c>
      <c r="G119">
        <v>-91.287597307748911</v>
      </c>
      <c r="H119">
        <v>-193.27787387178358</v>
      </c>
      <c r="I119">
        <v>-12.154429684097206</v>
      </c>
      <c r="J119">
        <v>-116.33968038758667</v>
      </c>
      <c r="K119">
        <v>-67.863311030544224</v>
      </c>
      <c r="L119">
        <v>-52.048295750439777</v>
      </c>
      <c r="M119">
        <v>-103.99092238935445</v>
      </c>
      <c r="N119">
        <v>-16.647173186810619</v>
      </c>
      <c r="O119">
        <v>-63.141825253272955</v>
      </c>
      <c r="P119">
        <v>-41.926945469350201</v>
      </c>
      <c r="Q119">
        <v>-126.71720864271803</v>
      </c>
      <c r="R119">
        <v>-212.51705526752804</v>
      </c>
      <c r="S119">
        <v>-62.498448459649211</v>
      </c>
      <c r="T119">
        <v>-64.950378688721059</v>
      </c>
      <c r="U119">
        <v>-157.44025119083352</v>
      </c>
      <c r="V119">
        <v>-27.463187547500656</v>
      </c>
      <c r="W119">
        <v>-48.545822548319819</v>
      </c>
      <c r="X119">
        <v>-82.677079600273643</v>
      </c>
      <c r="Y119">
        <v>-18.805249579749219</v>
      </c>
    </row>
    <row r="120" spans="1:25" x14ac:dyDescent="0.2">
      <c r="A120">
        <v>32</v>
      </c>
      <c r="B120">
        <v>-162.94967153541873</v>
      </c>
      <c r="C120">
        <v>-380.71349430343304</v>
      </c>
      <c r="D120">
        <v>-7.8611633053007628</v>
      </c>
      <c r="E120">
        <v>-191.16473361325674</v>
      </c>
      <c r="F120">
        <v>-136.08770896954914</v>
      </c>
      <c r="G120">
        <v>-88.945668095397409</v>
      </c>
      <c r="H120">
        <v>-188.88878781176959</v>
      </c>
      <c r="I120">
        <v>-11.801370209074113</v>
      </c>
      <c r="J120">
        <v>-113.45173627671177</v>
      </c>
      <c r="K120">
        <v>-66.063812997126035</v>
      </c>
      <c r="L120">
        <v>-50.675627198709712</v>
      </c>
      <c r="M120">
        <v>-101.81744285471882</v>
      </c>
      <c r="N120">
        <v>-16.050561850780728</v>
      </c>
      <c r="O120">
        <v>-61.575237833372526</v>
      </c>
      <c r="P120">
        <v>-40.746811858321692</v>
      </c>
      <c r="Q120">
        <v>-123.29706000806827</v>
      </c>
      <c r="R120">
        <v>-207.10951797898295</v>
      </c>
      <c r="S120">
        <v>-60.684358325487388</v>
      </c>
      <c r="T120">
        <v>-63.285765001836168</v>
      </c>
      <c r="U120">
        <v>-153.93677382641243</v>
      </c>
      <c r="V120">
        <v>-26.609572523896396</v>
      </c>
      <c r="W120">
        <v>-47.238490111833777</v>
      </c>
      <c r="X120">
        <v>-80.770343620179119</v>
      </c>
      <c r="Y120">
        <v>-18.145943704543779</v>
      </c>
    </row>
    <row r="121" spans="1:25" x14ac:dyDescent="0.2">
      <c r="A121">
        <v>33</v>
      </c>
      <c r="B121">
        <v>-158.53087164850072</v>
      </c>
      <c r="C121">
        <v>-372.06746030295955</v>
      </c>
      <c r="D121">
        <v>-7.6037518789989633</v>
      </c>
      <c r="E121">
        <v>-186.11957965093927</v>
      </c>
      <c r="F121">
        <v>-132.2950567724429</v>
      </c>
      <c r="G121">
        <v>-86.595603842172622</v>
      </c>
      <c r="H121">
        <v>-184.49579228178996</v>
      </c>
      <c r="I121">
        <v>-11.444959378345731</v>
      </c>
      <c r="J121">
        <v>-110.55652836968119</v>
      </c>
      <c r="K121">
        <v>-64.255894861506988</v>
      </c>
      <c r="L121">
        <v>-49.296090616625577</v>
      </c>
      <c r="M121">
        <v>-99.640786351549608</v>
      </c>
      <c r="N121">
        <v>-15.44726079537614</v>
      </c>
      <c r="O121">
        <v>-60.002567397315389</v>
      </c>
      <c r="P121">
        <v>-39.559252407415478</v>
      </c>
      <c r="Q121">
        <v>-119.86976949235523</v>
      </c>
      <c r="R121">
        <v>-201.69356034541494</v>
      </c>
      <c r="S121">
        <v>-58.867342114995509</v>
      </c>
      <c r="T121">
        <v>-61.612806487329514</v>
      </c>
      <c r="U121">
        <v>-150.41999767106387</v>
      </c>
      <c r="V121">
        <v>-25.753981974671316</v>
      </c>
      <c r="W121">
        <v>-45.924586494182847</v>
      </c>
      <c r="X121">
        <v>-78.852466402300209</v>
      </c>
      <c r="Y121">
        <v>-17.484247553061973</v>
      </c>
    </row>
    <row r="122" spans="1:25" x14ac:dyDescent="0.2">
      <c r="A122">
        <v>34</v>
      </c>
      <c r="B122">
        <v>-154.10505655191244</v>
      </c>
      <c r="C122">
        <v>-363.42077278421084</v>
      </c>
      <c r="D122">
        <v>-7.3440946894642245</v>
      </c>
      <c r="E122">
        <v>-181.06871826783794</v>
      </c>
      <c r="F122">
        <v>-128.49418174962818</v>
      </c>
      <c r="G122">
        <v>-84.238646736567958</v>
      </c>
      <c r="H122">
        <v>-180.09955542562071</v>
      </c>
      <c r="I122">
        <v>-11.085655588053427</v>
      </c>
      <c r="J122">
        <v>-107.65519871070563</v>
      </c>
      <c r="K122">
        <v>-62.440805575683285</v>
      </c>
      <c r="L122">
        <v>-47.910667459184552</v>
      </c>
      <c r="M122">
        <v>-97.461467491826866</v>
      </c>
      <c r="N122">
        <v>-14.838121952839181</v>
      </c>
      <c r="O122">
        <v>-58.424708755032398</v>
      </c>
      <c r="P122">
        <v>-38.365298589928436</v>
      </c>
      <c r="Q122">
        <v>-116.43650614271253</v>
      </c>
      <c r="R122">
        <v>-196.27074785732171</v>
      </c>
      <c r="S122">
        <v>-57.047830973048242</v>
      </c>
      <c r="T122">
        <v>-59.932736354305781</v>
      </c>
      <c r="U122">
        <v>-146.89219237747989</v>
      </c>
      <c r="V122">
        <v>-24.896701710329015</v>
      </c>
      <c r="W122">
        <v>-44.605069591307505</v>
      </c>
      <c r="X122">
        <v>-76.925142727091398</v>
      </c>
      <c r="Y122">
        <v>-16.820484680647624</v>
      </c>
    </row>
    <row r="123" spans="1:25" x14ac:dyDescent="0.2">
      <c r="A123">
        <v>35</v>
      </c>
      <c r="B123">
        <v>-149.67336366915089</v>
      </c>
      <c r="C123">
        <v>-354.77356481341872</v>
      </c>
      <c r="D123">
        <v>-7.0824920167247862</v>
      </c>
      <c r="E123">
        <v>-176.01310301400497</v>
      </c>
      <c r="F123">
        <v>-124.68637876092785</v>
      </c>
      <c r="G123">
        <v>-81.875852859878563</v>
      </c>
      <c r="H123">
        <v>-175.70063226639738</v>
      </c>
      <c r="I123">
        <v>-10.723857210248982</v>
      </c>
      <c r="J123">
        <v>-104.74871254863429</v>
      </c>
      <c r="K123">
        <v>-60.61961314026685</v>
      </c>
      <c r="L123">
        <v>-46.520202505844409</v>
      </c>
      <c r="M123">
        <v>-95.27991836502791</v>
      </c>
      <c r="N123">
        <v>-14.22389574165577</v>
      </c>
      <c r="O123">
        <v>-56.842427754691826</v>
      </c>
      <c r="P123">
        <v>-37.165843202016674</v>
      </c>
      <c r="Q123">
        <v>-112.9982505396554</v>
      </c>
      <c r="R123">
        <v>-190.84235793170518</v>
      </c>
      <c r="S123">
        <v>-55.226193719853661</v>
      </c>
      <c r="T123">
        <v>-58.246609799167963</v>
      </c>
      <c r="U123">
        <v>-143.35524532576218</v>
      </c>
      <c r="V123">
        <v>-24.037977142980758</v>
      </c>
      <c r="W123">
        <v>-43.280761183257589</v>
      </c>
      <c r="X123">
        <v>-74.989814984254224</v>
      </c>
      <c r="Y123">
        <v>-16.154936308040639</v>
      </c>
    </row>
    <row r="124" spans="1:25" x14ac:dyDescent="0.2">
      <c r="A124">
        <v>36</v>
      </c>
      <c r="B124">
        <v>-145.23674869552795</v>
      </c>
      <c r="C124">
        <v>-346.12594251971308</v>
      </c>
      <c r="D124">
        <v>-6.8192058870758681</v>
      </c>
      <c r="E124">
        <v>-170.95353012691447</v>
      </c>
      <c r="F124">
        <v>-120.87274224546354</v>
      </c>
      <c r="G124">
        <v>-79.508119447766418</v>
      </c>
      <c r="H124">
        <v>-171.29948368539101</v>
      </c>
      <c r="I124">
        <v>-10.359909951412179</v>
      </c>
      <c r="J124">
        <v>-101.837885236923</v>
      </c>
      <c r="K124">
        <v>-58.793230053578512</v>
      </c>
      <c r="L124">
        <v>-45.125422268976727</v>
      </c>
      <c r="M124">
        <v>-93.096501632077604</v>
      </c>
      <c r="N124">
        <v>-13.605241937927916</v>
      </c>
      <c r="O124">
        <v>-55.256379407887088</v>
      </c>
      <c r="P124">
        <v>-35.961658198944782</v>
      </c>
      <c r="Q124">
        <v>-109.55582469536937</v>
      </c>
      <c r="R124">
        <v>-185.40943236932432</v>
      </c>
      <c r="S124">
        <v>-53.402745690331784</v>
      </c>
      <c r="T124">
        <v>-56.55532893293806</v>
      </c>
      <c r="U124">
        <v>-139.81072497166031</v>
      </c>
      <c r="V124">
        <v>-23.178018858400836</v>
      </c>
      <c r="W124">
        <v>-41.952365652163955</v>
      </c>
      <c r="X124">
        <v>-73.047709692662906</v>
      </c>
      <c r="Y124">
        <v>-15.48784664922306</v>
      </c>
    </row>
    <row r="125" spans="1:25" x14ac:dyDescent="0.2">
      <c r="A125">
        <v>37</v>
      </c>
      <c r="B125">
        <v>-140.79601420638593</v>
      </c>
      <c r="C125">
        <v>-337.47799052042473</v>
      </c>
      <c r="D125">
        <v>-6.5544646118555097</v>
      </c>
      <c r="E125">
        <v>-165.8906641696947</v>
      </c>
      <c r="F125">
        <v>-117.05419668282057</v>
      </c>
      <c r="G125">
        <v>-77.13620828570285</v>
      </c>
      <c r="H125">
        <v>-166.8964922479619</v>
      </c>
      <c r="I125">
        <v>-9.9941134176877604</v>
      </c>
      <c r="J125">
        <v>-98.923405133932505</v>
      </c>
      <c r="K125">
        <v>-56.96243534246679</v>
      </c>
      <c r="L125">
        <v>-43.726951051291366</v>
      </c>
      <c r="M125">
        <v>-90.911521568230327</v>
      </c>
      <c r="N125">
        <v>-12.982739635746123</v>
      </c>
      <c r="O125">
        <v>-53.667123561146369</v>
      </c>
      <c r="P125">
        <v>-34.753410404323724</v>
      </c>
      <c r="Q125">
        <v>-106.1099173038032</v>
      </c>
      <c r="R125">
        <v>-179.9728203759914</v>
      </c>
      <c r="S125">
        <v>-51.577756348082396</v>
      </c>
      <c r="T125">
        <v>-54.859664381335456</v>
      </c>
      <c r="U125">
        <v>-136.25993394102395</v>
      </c>
      <c r="V125">
        <v>-22.317007443536408</v>
      </c>
      <c r="W125">
        <v>-40.620486256355342</v>
      </c>
      <c r="X125">
        <v>-71.099868977910262</v>
      </c>
      <c r="Y125">
        <v>-14.819427606018689</v>
      </c>
    </row>
    <row r="126" spans="1:25" x14ac:dyDescent="0.2">
      <c r="A126">
        <v>38</v>
      </c>
      <c r="B126">
        <v>-136.35183384007777</v>
      </c>
      <c r="C126">
        <v>-328.82977625865772</v>
      </c>
      <c r="D126">
        <v>-6.2884668572128248</v>
      </c>
      <c r="E126">
        <v>-160.8250595470561</v>
      </c>
      <c r="F126">
        <v>-113.23152253042397</v>
      </c>
      <c r="G126">
        <v>-74.760765756860081</v>
      </c>
      <c r="H126">
        <v>-162.49197539396062</v>
      </c>
      <c r="I126">
        <v>-9.6267269460072775</v>
      </c>
      <c r="J126">
        <v>-96.005853076924353</v>
      </c>
      <c r="K126">
        <v>-55.127893595909903</v>
      </c>
      <c r="L126">
        <v>-42.325324922780538</v>
      </c>
      <c r="M126">
        <v>-88.725233370336085</v>
      </c>
      <c r="N126">
        <v>-12.356896313000613</v>
      </c>
      <c r="O126">
        <v>-52.075138424315888</v>
      </c>
      <c r="P126">
        <v>-33.541675307232275</v>
      </c>
      <c r="Q126">
        <v>-102.66110504368426</v>
      </c>
      <c r="R126">
        <v>-174.53321381710666</v>
      </c>
      <c r="S126">
        <v>-49.751455838279561</v>
      </c>
      <c r="T126">
        <v>-53.160273962733271</v>
      </c>
      <c r="U126">
        <v>-132.7039534658937</v>
      </c>
      <c r="V126">
        <v>-21.455097664050964</v>
      </c>
      <c r="W126">
        <v>-39.285639249088668</v>
      </c>
      <c r="X126">
        <v>-69.147177642947838</v>
      </c>
      <c r="Y126">
        <v>-14.149862897024196</v>
      </c>
    </row>
    <row r="127" spans="1:25" x14ac:dyDescent="0.2">
      <c r="A127">
        <v>39</v>
      </c>
      <c r="B127">
        <v>-131.90477272345044</v>
      </c>
      <c r="C127">
        <v>-320.18135347029767</v>
      </c>
      <c r="D127">
        <v>-6.0213852770367327</v>
      </c>
      <c r="E127">
        <v>-155.75717855011999</v>
      </c>
      <c r="F127">
        <v>-109.40537828564685</v>
      </c>
      <c r="G127">
        <v>-72.382339999084479</v>
      </c>
      <c r="H127">
        <v>-158.08619642651422</v>
      </c>
      <c r="I127">
        <v>-9.2579747631351985</v>
      </c>
      <c r="J127">
        <v>-93.085718926339879</v>
      </c>
      <c r="K127">
        <v>-53.290171380453117</v>
      </c>
      <c r="L127">
        <v>-40.921003864131364</v>
      </c>
      <c r="M127">
        <v>-86.537850996865572</v>
      </c>
      <c r="N127">
        <v>-11.728156036702218</v>
      </c>
      <c r="O127">
        <v>-50.480832232514352</v>
      </c>
      <c r="P127">
        <v>-32.326949150345015</v>
      </c>
      <c r="Q127">
        <v>-99.2098705353025</v>
      </c>
      <c r="R127">
        <v>-169.0911760870288</v>
      </c>
      <c r="S127">
        <v>-47.924040623032646</v>
      </c>
      <c r="T127">
        <v>-51.457718809945057</v>
      </c>
      <c r="U127">
        <v>-129.14368052779284</v>
      </c>
      <c r="V127">
        <v>-20.592422075599181</v>
      </c>
      <c r="W127">
        <v>-37.948266104195454</v>
      </c>
      <c r="X127">
        <v>-67.190386403713603</v>
      </c>
      <c r="Y127">
        <v>-13.479311683015441</v>
      </c>
    </row>
    <row r="128" spans="1:25" x14ac:dyDescent="0.2">
      <c r="A128">
        <v>40</v>
      </c>
      <c r="B128">
        <v>-127.45530471089249</v>
      </c>
      <c r="C128">
        <v>-311.53276495444476</v>
      </c>
      <c r="D128">
        <v>-5.7533697434158171</v>
      </c>
      <c r="E128">
        <v>-150.68740648123526</v>
      </c>
      <c r="F128">
        <v>-105.57631923396583</v>
      </c>
      <c r="G128">
        <v>-70.001395570924927</v>
      </c>
      <c r="H128">
        <v>-153.67937366282754</v>
      </c>
      <c r="I128">
        <v>-8.8880505348116312</v>
      </c>
      <c r="J128">
        <v>-90.163415608963277</v>
      </c>
      <c r="K128">
        <v>-51.449751375901315</v>
      </c>
      <c r="L128">
        <v>-39.514382299878719</v>
      </c>
      <c r="M128">
        <v>-84.349553768630471</v>
      </c>
      <c r="N128">
        <v>-11.0969068536347</v>
      </c>
      <c r="O128">
        <v>-48.884553286694931</v>
      </c>
      <c r="P128">
        <v>-31.109659498059809</v>
      </c>
      <c r="Q128">
        <v>-95.756617464458273</v>
      </c>
      <c r="R128">
        <v>-163.64716573454223</v>
      </c>
      <c r="S128">
        <v>-46.095678324282382</v>
      </c>
      <c r="T128">
        <v>-49.75247726348276</v>
      </c>
      <c r="U128">
        <v>-125.57985887142435</v>
      </c>
      <c r="V128">
        <v>-19.72909414261439</v>
      </c>
      <c r="W128">
        <v>-36.608744084887995</v>
      </c>
      <c r="X128">
        <v>-65.230131799473682</v>
      </c>
      <c r="Y128">
        <v>-12.807911745510705</v>
      </c>
    </row>
    <row r="129" spans="1:25" x14ac:dyDescent="0.2">
      <c r="A129">
        <v>41</v>
      </c>
      <c r="B129">
        <v>-123.00382692423932</v>
      </c>
      <c r="C129">
        <v>-302.8840447866221</v>
      </c>
      <c r="D129">
        <v>-5.4845502095757883</v>
      </c>
      <c r="E129">
        <v>-145.6160643244211</v>
      </c>
      <c r="F129">
        <v>-101.74481336744539</v>
      </c>
      <c r="G129">
        <v>-67.618325975524499</v>
      </c>
      <c r="H129">
        <v>-149.27168805141775</v>
      </c>
      <c r="I129">
        <v>-8.5171213654062488</v>
      </c>
      <c r="J129">
        <v>-87.239291028819423</v>
      </c>
      <c r="K129">
        <v>-49.607044531372232</v>
      </c>
      <c r="L129">
        <v>-38.105798221609291</v>
      </c>
      <c r="M129">
        <v>-82.160491923511771</v>
      </c>
      <c r="N129">
        <v>-10.463487419368116</v>
      </c>
      <c r="O129">
        <v>-47.286598588717077</v>
      </c>
      <c r="P129">
        <v>-29.89017445831788</v>
      </c>
      <c r="Q129">
        <v>-92.301683311158627</v>
      </c>
      <c r="R129">
        <v>-158.20155578556975</v>
      </c>
      <c r="S129">
        <v>-44.266511882976879</v>
      </c>
      <c r="T129">
        <v>-48.044956827514085</v>
      </c>
      <c r="U129">
        <v>-122.01310487570488</v>
      </c>
      <c r="V129">
        <v>-18.865210929434525</v>
      </c>
      <c r="W129">
        <v>-35.267395366861408</v>
      </c>
      <c r="X129">
        <v>-63.266953228679007</v>
      </c>
      <c r="Y129">
        <v>-12.135782269843467</v>
      </c>
    </row>
    <row r="130" spans="1:25" x14ac:dyDescent="0.2">
      <c r="A130">
        <v>42</v>
      </c>
      <c r="B130">
        <v>-118.55067200855942</v>
      </c>
      <c r="C130">
        <v>-294.23522008634978</v>
      </c>
      <c r="D130">
        <v>-5.2150392396643808</v>
      </c>
      <c r="E130">
        <v>-140.54341935434761</v>
      </c>
      <c r="F130">
        <v>-97.911254890243683</v>
      </c>
      <c r="G130">
        <v>-65.23346434544537</v>
      </c>
      <c r="H130">
        <v>-144.86328951042023</v>
      </c>
      <c r="I130">
        <v>-8.1453313054973524</v>
      </c>
      <c r="J130">
        <v>-84.313638162453998</v>
      </c>
      <c r="K130">
        <v>-47.762400506358347</v>
      </c>
      <c r="L130">
        <v>-36.695541079789976</v>
      </c>
      <c r="M130">
        <v>-79.970791288941555</v>
      </c>
      <c r="N130">
        <v>-9.8281929224270126</v>
      </c>
      <c r="O130">
        <v>-45.687221260358747</v>
      </c>
      <c r="P130">
        <v>-28.668810716186773</v>
      </c>
      <c r="Q130">
        <v>-88.845350055239365</v>
      </c>
      <c r="R130">
        <v>-152.7546495381564</v>
      </c>
      <c r="S130">
        <v>-42.436663128907782</v>
      </c>
      <c r="T130">
        <v>-46.335504445847249</v>
      </c>
      <c r="U130">
        <v>-118.44392911677139</v>
      </c>
      <c r="V130">
        <v>-18.000855420562971</v>
      </c>
      <c r="W130">
        <v>-33.92449490319364</v>
      </c>
      <c r="X130">
        <v>-61.301307506506241</v>
      </c>
      <c r="Y130">
        <v>-11.463026279008012</v>
      </c>
    </row>
    <row r="131" spans="1:25" x14ac:dyDescent="0.2">
      <c r="A131">
        <v>43</v>
      </c>
      <c r="B131">
        <v>-114.09611845671721</v>
      </c>
      <c r="C131">
        <v>-285.58631242841301</v>
      </c>
      <c r="D131">
        <v>-4.9449342383913928</v>
      </c>
      <c r="E131">
        <v>-135.46969401501642</v>
      </c>
      <c r="F131">
        <v>-94.075975668850475</v>
      </c>
      <c r="G131">
        <v>-62.847092550935614</v>
      </c>
      <c r="H131">
        <v>-140.45430219980918</v>
      </c>
      <c r="I131">
        <v>-7.7728044210300702</v>
      </c>
      <c r="J131">
        <v>-81.386703609858372</v>
      </c>
      <c r="K131">
        <v>-45.916116629093224</v>
      </c>
      <c r="L131">
        <v>-35.283858602576807</v>
      </c>
      <c r="M131">
        <v>-77.780557210690787</v>
      </c>
      <c r="N131">
        <v>-9.1912803616159664</v>
      </c>
      <c r="O131">
        <v>-44.086636911879957</v>
      </c>
      <c r="P131">
        <v>-27.44584052191534</v>
      </c>
      <c r="Q131">
        <v>-85.387853174891944</v>
      </c>
      <c r="R131">
        <v>-147.30669346717858</v>
      </c>
      <c r="S131">
        <v>-40.606235842989136</v>
      </c>
      <c r="T131">
        <v>-44.624415324197081</v>
      </c>
      <c r="U131">
        <v>-114.87275432688604</v>
      </c>
      <c r="V131">
        <v>-17.13609851970541</v>
      </c>
      <c r="W131">
        <v>-32.580277196684015</v>
      </c>
      <c r="X131">
        <v>-59.333581290427851</v>
      </c>
      <c r="Y131">
        <v>-10.789732759758584</v>
      </c>
    </row>
    <row r="132" spans="1:25" x14ac:dyDescent="0.2">
      <c r="A132">
        <v>44</v>
      </c>
      <c r="B132">
        <v>-109.64039930235813</v>
      </c>
      <c r="C132">
        <v>-276.93733896932321</v>
      </c>
      <c r="D132">
        <v>-4.6743194116635065</v>
      </c>
      <c r="E132">
        <v>-130.39507334697672</v>
      </c>
      <c r="F132">
        <v>-90.239254933529125</v>
      </c>
      <c r="G132">
        <v>-60.459448958416075</v>
      </c>
      <c r="H132">
        <v>-136.044828905326</v>
      </c>
      <c r="I132">
        <v>-7.3996474735444995</v>
      </c>
      <c r="J132">
        <v>-78.458694833003591</v>
      </c>
      <c r="K132">
        <v>-44.068445575326166</v>
      </c>
      <c r="L132">
        <v>-33.870962681412387</v>
      </c>
      <c r="M132">
        <v>-75.589877855089981</v>
      </c>
      <c r="N132">
        <v>-8.5529732338666928</v>
      </c>
      <c r="O132">
        <v>-42.485029104487616</v>
      </c>
      <c r="P132">
        <v>-26.221497761457954</v>
      </c>
      <c r="Q132">
        <v>-81.929389205943409</v>
      </c>
      <c r="R132">
        <v>-141.85788776254051</v>
      </c>
      <c r="S132">
        <v>-38.775318382747969</v>
      </c>
      <c r="T132">
        <v>-42.911940496843641</v>
      </c>
      <c r="U132">
        <v>-111.29993034157133</v>
      </c>
      <c r="V132">
        <v>-16.271000770878452</v>
      </c>
      <c r="W132">
        <v>-31.234942125313069</v>
      </c>
      <c r="X132">
        <v>-57.364101675286328</v>
      </c>
      <c r="Y132">
        <v>-10.115978518004843</v>
      </c>
    </row>
    <row r="133" spans="1:25" x14ac:dyDescent="0.2">
      <c r="A133">
        <v>45</v>
      </c>
      <c r="B133">
        <v>-105.18370943543766</v>
      </c>
      <c r="C133">
        <v>-268.28831334617956</v>
      </c>
      <c r="D133">
        <v>-4.4032674871885646</v>
      </c>
      <c r="E133">
        <v>-125.31971119764879</v>
      </c>
      <c r="F133">
        <v>-86.401327493090065</v>
      </c>
      <c r="G133">
        <v>-58.070735034654241</v>
      </c>
      <c r="H133">
        <v>-131.63495468254854</v>
      </c>
      <c r="I133">
        <v>-7.0259522566531816</v>
      </c>
      <c r="J133">
        <v>-75.529786280035438</v>
      </c>
      <c r="K133">
        <v>-42.219601944499132</v>
      </c>
      <c r="L133">
        <v>-32.457034446382536</v>
      </c>
      <c r="M133">
        <v>-73.398826983617553</v>
      </c>
      <c r="N133">
        <v>-7.9134656880407519</v>
      </c>
      <c r="O133">
        <v>-40.882554032194612</v>
      </c>
      <c r="P133">
        <v>-24.995983223643119</v>
      </c>
      <c r="Q133">
        <v>-78.470122088635918</v>
      </c>
      <c r="R133">
        <v>-136.40839493081643</v>
      </c>
      <c r="S133">
        <v>-36.943985932189968</v>
      </c>
      <c r="T133">
        <v>-41.198293310547889</v>
      </c>
      <c r="U133">
        <v>-107.72574653244681</v>
      </c>
      <c r="V133">
        <v>-15.405613839282809</v>
      </c>
      <c r="W133">
        <v>-29.88865994847907</v>
      </c>
      <c r="X133">
        <v>-55.393145219337576</v>
      </c>
      <c r="Y133">
        <v>-9.441829796468868</v>
      </c>
    </row>
    <row r="134" spans="1:25" x14ac:dyDescent="0.2">
      <c r="A134">
        <v>46</v>
      </c>
      <c r="B134">
        <v>-100.72621175557663</v>
      </c>
      <c r="C134">
        <v>-259.63924639369793</v>
      </c>
      <c r="D134">
        <v>-4.131841221716094</v>
      </c>
      <c r="E134">
        <v>-120.24373541193464</v>
      </c>
      <c r="F134">
        <v>-82.562390686864617</v>
      </c>
      <c r="G134">
        <v>-55.68112096477833</v>
      </c>
      <c r="H134">
        <v>-127.2247498849563</v>
      </c>
      <c r="I134">
        <v>-6.6517976296665742</v>
      </c>
      <c r="J134">
        <v>-72.600124564001618</v>
      </c>
      <c r="K134">
        <v>-40.369767887132731</v>
      </c>
      <c r="L134">
        <v>-31.042228639150306</v>
      </c>
      <c r="M134">
        <v>-71.207466283363928</v>
      </c>
      <c r="N134">
        <v>-7.2729261973306993</v>
      </c>
      <c r="O134">
        <v>-39.279344531931081</v>
      </c>
      <c r="P134">
        <v>-23.769469165365663</v>
      </c>
      <c r="Q134">
        <v>-75.01018849363308</v>
      </c>
      <c r="R134">
        <v>-130.95834681301909</v>
      </c>
      <c r="S134">
        <v>-35.112302428845744</v>
      </c>
      <c r="T134">
        <v>-39.483654976112582</v>
      </c>
      <c r="U134">
        <v>-104.1504421428904</v>
      </c>
      <c r="V134">
        <v>-14.539981784703354</v>
      </c>
      <c r="W134">
        <v>-28.541575605515987</v>
      </c>
      <c r="X134">
        <v>-53.420945627333069</v>
      </c>
      <c r="Y134">
        <v>-8.7673436838528023</v>
      </c>
    </row>
    <row r="135" spans="1:25" x14ac:dyDescent="0.2">
      <c r="A135">
        <v>47</v>
      </c>
      <c r="B135">
        <v>-96.26804234545331</v>
      </c>
      <c r="C135">
        <v>-250.99014671600889</v>
      </c>
      <c r="D135">
        <v>-3.8600947192403798</v>
      </c>
      <c r="E135">
        <v>-115.16725216875105</v>
      </c>
      <c r="F135">
        <v>-78.722610264829584</v>
      </c>
      <c r="G135">
        <v>-53.290750428544996</v>
      </c>
      <c r="H135">
        <v>-122.81427267929325</v>
      </c>
      <c r="I135">
        <v>-6.2772512851351427</v>
      </c>
      <c r="J135">
        <v>-69.669832839931289</v>
      </c>
      <c r="K135">
        <v>-38.519097916756948</v>
      </c>
      <c r="L135">
        <v>-29.626677377741739</v>
      </c>
      <c r="M135">
        <v>-69.015847323815535</v>
      </c>
      <c r="N135">
        <v>-6.6315007995779913</v>
      </c>
      <c r="O135">
        <v>-37.675513516154972</v>
      </c>
      <c r="P135">
        <v>-22.542103264469318</v>
      </c>
      <c r="Q135">
        <v>-71.549702289204774</v>
      </c>
      <c r="R135">
        <v>-125.50785030758666</v>
      </c>
      <c r="S135">
        <v>-33.280322213542881</v>
      </c>
      <c r="T135">
        <v>-37.768179318091768</v>
      </c>
      <c r="U135">
        <v>-100.57421487578917</v>
      </c>
      <c r="V135">
        <v>-13.674142155872829</v>
      </c>
      <c r="W135">
        <v>-27.193812403627966</v>
      </c>
      <c r="X135">
        <v>-51.447700285597506</v>
      </c>
      <c r="Y135">
        <v>-8.0925693414021467</v>
      </c>
    </row>
    <row r="136" spans="1:25" x14ac:dyDescent="0.2">
      <c r="A136">
        <v>48</v>
      </c>
      <c r="B136">
        <v>-91.809314818322321</v>
      </c>
      <c r="C136">
        <v>-242.34102114249106</v>
      </c>
      <c r="D136">
        <v>-3.5880745821964513</v>
      </c>
      <c r="E136">
        <v>-110.09034960253506</v>
      </c>
      <c r="F136">
        <v>-74.882125358570818</v>
      </c>
      <c r="G136">
        <v>-50.899744658705714</v>
      </c>
      <c r="H136">
        <v>-118.40357113434906</v>
      </c>
      <c r="I136">
        <v>-5.9023712831745296</v>
      </c>
      <c r="J136">
        <v>-66.739014502628592</v>
      </c>
      <c r="K136">
        <v>-36.667723021735682</v>
      </c>
      <c r="L136">
        <v>-28.21049339542299</v>
      </c>
      <c r="M136">
        <v>-66.824013199347291</v>
      </c>
      <c r="N136">
        <v>-5.989315951214369</v>
      </c>
      <c r="O136">
        <v>-36.071156909424282</v>
      </c>
      <c r="P136">
        <v>-21.314012039364894</v>
      </c>
      <c r="Q136">
        <v>-68.088758286267307</v>
      </c>
      <c r="R136">
        <v>-120.05699203540644</v>
      </c>
      <c r="S136">
        <v>-31.448091442154336</v>
      </c>
      <c r="T136">
        <v>-36.051996835649803</v>
      </c>
      <c r="U136">
        <v>-96.997228025476147</v>
      </c>
      <c r="V136">
        <v>-12.808126930451131</v>
      </c>
      <c r="W136">
        <v>-25.845475179661058</v>
      </c>
      <c r="X136">
        <v>-49.47357581685494</v>
      </c>
      <c r="Y136">
        <v>-7.4175490697205895</v>
      </c>
    </row>
    <row r="137" spans="1:25" x14ac:dyDescent="0.2">
      <c r="A137">
        <v>49</v>
      </c>
      <c r="B137">
        <v>-87.350123969872882</v>
      </c>
      <c r="C137">
        <v>-233.69187509103645</v>
      </c>
      <c r="D137">
        <v>-3.3158209154798053</v>
      </c>
      <c r="E137">
        <v>-105.01310082638715</v>
      </c>
      <c r="F137">
        <v>-71.041052681559179</v>
      </c>
      <c r="G137">
        <v>-48.508205887542928</v>
      </c>
      <c r="H137">
        <v>-113.99268495492997</v>
      </c>
      <c r="I137">
        <v>-5.527207381810916</v>
      </c>
      <c r="J137">
        <v>-63.80775630918918</v>
      </c>
      <c r="K137">
        <v>-34.815754176594631</v>
      </c>
      <c r="L137">
        <v>-26.793772825263588</v>
      </c>
      <c r="M137">
        <v>-64.631999907468241</v>
      </c>
      <c r="N137">
        <v>-5.3464810368154394</v>
      </c>
      <c r="O137">
        <v>-34.466356159240775</v>
      </c>
      <c r="P137">
        <v>-20.085303804866498</v>
      </c>
      <c r="Q137">
        <v>-64.6274353765331</v>
      </c>
      <c r="R137">
        <v>-114.60584214076766</v>
      </c>
      <c r="S137">
        <v>-29.615649293122388</v>
      </c>
      <c r="T137">
        <v>-34.335218172231798</v>
      </c>
      <c r="U137">
        <v>-93.419616397886671</v>
      </c>
      <c r="V137">
        <v>-11.941963321967146</v>
      </c>
      <c r="W137">
        <v>-24.49665300893562</v>
      </c>
      <c r="X137">
        <v>-47.49871279887185</v>
      </c>
      <c r="Y137">
        <v>-6.7423192359781572</v>
      </c>
    </row>
    <row r="138" spans="1:25" x14ac:dyDescent="0.2">
      <c r="A138">
        <v>50</v>
      </c>
      <c r="B138">
        <v>-82.890548844390153</v>
      </c>
      <c r="C138">
        <v>-225.04271285744312</v>
      </c>
      <c r="D138">
        <v>-3.0433682010500704</v>
      </c>
      <c r="E138">
        <v>-99.935566454688484</v>
      </c>
      <c r="F138">
        <v>-67.199490076496716</v>
      </c>
      <c r="G138">
        <v>-46.116220272322728</v>
      </c>
      <c r="H138">
        <v>-109.58164692080774</v>
      </c>
      <c r="I138">
        <v>-5.1518021892490049</v>
      </c>
      <c r="J138">
        <v>-60.876131014578768</v>
      </c>
      <c r="K138">
        <v>-32.963285338735773</v>
      </c>
      <c r="L138">
        <v>-25.376597592604053</v>
      </c>
      <c r="M138">
        <v>-62.439837504971329</v>
      </c>
      <c r="N138">
        <v>-4.7030905725608845</v>
      </c>
      <c r="O138">
        <v>-32.861180381772378</v>
      </c>
      <c r="P138">
        <v>-18.856071225173</v>
      </c>
      <c r="Q138">
        <v>-61.165799160889947</v>
      </c>
      <c r="R138">
        <v>-109.15445738690512</v>
      </c>
      <c r="S138">
        <v>-27.783028999843221</v>
      </c>
      <c r="T138">
        <v>-32.617937078312757</v>
      </c>
      <c r="U138">
        <v>-89.841491222629088</v>
      </c>
      <c r="V138">
        <v>-11.075674472190384</v>
      </c>
      <c r="W138">
        <v>-23.147421524539894</v>
      </c>
      <c r="X138">
        <v>-45.523229770442448</v>
      </c>
      <c r="Y138">
        <v>-6.0669110792313692</v>
      </c>
    </row>
    <row r="139" spans="1:25" x14ac:dyDescent="0.2">
      <c r="A139">
        <v>51</v>
      </c>
      <c r="B139">
        <v>-78.43065530802491</v>
      </c>
      <c r="C139">
        <v>-216.39353784587496</v>
      </c>
      <c r="D139">
        <v>-2.770746058956004</v>
      </c>
      <c r="E139">
        <v>-94.857796707196485</v>
      </c>
      <c r="F139">
        <v>-63.357519509796241</v>
      </c>
      <c r="G139">
        <v>-43.723860377223588</v>
      </c>
      <c r="H139">
        <v>-105.17048408043881</v>
      </c>
      <c r="I139">
        <v>-4.7761921609309841</v>
      </c>
      <c r="J139">
        <v>-57.944199595250431</v>
      </c>
      <c r="K139">
        <v>-31.110396004485249</v>
      </c>
      <c r="L139">
        <v>-23.959037469413786</v>
      </c>
      <c r="M139">
        <v>-60.247551077474562</v>
      </c>
      <c r="N139">
        <v>-4.0592261383152941</v>
      </c>
      <c r="O139">
        <v>-31.255688194640005</v>
      </c>
      <c r="P139">
        <v>-17.626393517305036</v>
      </c>
      <c r="Q139">
        <v>-57.703904149795193</v>
      </c>
      <c r="R139">
        <v>-103.70288367590669</v>
      </c>
      <c r="S139">
        <v>-25.950258732924851</v>
      </c>
      <c r="T139">
        <v>-30.900232939830872</v>
      </c>
      <c r="U139">
        <v>-86.262944226860427</v>
      </c>
      <c r="V139">
        <v>-10.20928004489403</v>
      </c>
      <c r="W139">
        <v>-21.797844901896237</v>
      </c>
      <c r="X139">
        <v>-43.547226630475407</v>
      </c>
      <c r="Y139">
        <v>-5.3913514094187729</v>
      </c>
    </row>
    <row r="140" spans="1:25" x14ac:dyDescent="0.2">
      <c r="A140">
        <v>52</v>
      </c>
      <c r="B140">
        <v>-73.97049820745417</v>
      </c>
      <c r="C140">
        <v>-207.74435275231986</v>
      </c>
      <c r="D140">
        <v>-2.4979799088525692</v>
      </c>
      <c r="E140">
        <v>-89.779833163323985</v>
      </c>
      <c r="F140">
        <v>-59.515209598161505</v>
      </c>
      <c r="G140">
        <v>-41.33118727797212</v>
      </c>
      <c r="H140">
        <v>-100.75921874090396</v>
      </c>
      <c r="I140">
        <v>-4.4004084615156636</v>
      </c>
      <c r="J140">
        <v>-55.012013124392958</v>
      </c>
      <c r="K140">
        <v>-29.257153388067348</v>
      </c>
      <c r="L140">
        <v>-22.54115183731852</v>
      </c>
      <c r="M140">
        <v>-58.055161552220042</v>
      </c>
      <c r="N140">
        <v>-3.4149580696372315</v>
      </c>
      <c r="O140">
        <v>-29.649929281658142</v>
      </c>
      <c r="P140">
        <v>-16.396338351556995</v>
      </c>
      <c r="Q140">
        <v>-54.241795604516582</v>
      </c>
      <c r="R140">
        <v>-98.251158099079518</v>
      </c>
      <c r="S140">
        <v>-24.117362353816002</v>
      </c>
      <c r="T140">
        <v>-29.182172934784738</v>
      </c>
      <c r="U140">
        <v>-82.684051012562335</v>
      </c>
      <c r="V140">
        <v>-9.3427967347944207</v>
      </c>
      <c r="W140">
        <v>-20.447977555922925</v>
      </c>
      <c r="X140">
        <v>-41.570787520617806</v>
      </c>
      <c r="Y140">
        <v>-4.7156632136832197</v>
      </c>
    </row>
    <row r="141" spans="1:25" x14ac:dyDescent="0.2">
      <c r="A141">
        <v>53</v>
      </c>
      <c r="B141">
        <v>-69.510123179930929</v>
      </c>
      <c r="C141">
        <v>-199.09515971057542</v>
      </c>
      <c r="D141">
        <v>-2.2250915444716308</v>
      </c>
      <c r="E141">
        <v>-84.701710224141848</v>
      </c>
      <c r="F141">
        <v>-55.672617739369429</v>
      </c>
      <c r="G141">
        <v>-38.938252345698011</v>
      </c>
      <c r="H141">
        <v>-96.347869288566841</v>
      </c>
      <c r="I141">
        <v>-4.0244777094502311</v>
      </c>
      <c r="J141">
        <v>-52.079614352717556</v>
      </c>
      <c r="K141">
        <v>-27.403614278134381</v>
      </c>
      <c r="L141">
        <v>-21.122991199783375</v>
      </c>
      <c r="M141">
        <v>-55.862686379256537</v>
      </c>
      <c r="N141">
        <v>-2.770346937829173</v>
      </c>
      <c r="O141">
        <v>-28.043945728108682</v>
      </c>
      <c r="P141">
        <v>-15.165963489560209</v>
      </c>
      <c r="Q141">
        <v>-50.779511077117498</v>
      </c>
      <c r="R141">
        <v>-92.799310604475764</v>
      </c>
      <c r="S141">
        <v>-22.284360058273002</v>
      </c>
      <c r="T141">
        <v>-27.463813871700417</v>
      </c>
      <c r="U141">
        <v>-79.10487385515745</v>
      </c>
      <c r="V141">
        <v>-8.4762387035636024</v>
      </c>
      <c r="W141">
        <v>-19.097865591600112</v>
      </c>
      <c r="X141">
        <v>-39.593983268664083</v>
      </c>
      <c r="Y141">
        <v>-4.0398661819804396</v>
      </c>
    </row>
    <row r="142" spans="1:25" x14ac:dyDescent="0.2">
      <c r="A142">
        <v>54</v>
      </c>
      <c r="B142">
        <v>-65.049568170337096</v>
      </c>
      <c r="C142">
        <v>-190.44596040836876</v>
      </c>
      <c r="D142">
        <v>-1.9520996320523905</v>
      </c>
      <c r="E142">
        <v>-79.623456330271452</v>
      </c>
      <c r="F142">
        <v>-51.829791908402605</v>
      </c>
      <c r="G142">
        <v>-36.545098758193625</v>
      </c>
      <c r="H142">
        <v>-91.936450869152026</v>
      </c>
      <c r="I142">
        <v>-3.6484226196152028</v>
      </c>
      <c r="J142">
        <v>-49.147039040453663</v>
      </c>
      <c r="K142">
        <v>-25.549826618738212</v>
      </c>
      <c r="L142">
        <v>-19.704598478453669</v>
      </c>
      <c r="M142">
        <v>-53.670140102137601</v>
      </c>
      <c r="N142">
        <v>-2.1254448431774779</v>
      </c>
      <c r="O142">
        <v>-26.437773159678642</v>
      </c>
      <c r="P142">
        <v>-13.935318195303491</v>
      </c>
      <c r="Q142">
        <v>-47.317081697862704</v>
      </c>
      <c r="R142">
        <v>-87.347365352399649</v>
      </c>
      <c r="S142">
        <v>-20.451268925520264</v>
      </c>
      <c r="T142">
        <v>-25.745203756087697</v>
      </c>
      <c r="U142">
        <v>-75.525464021645575</v>
      </c>
      <c r="V142">
        <v>-7.6096179531748334</v>
      </c>
      <c r="W142">
        <v>-17.747548043094522</v>
      </c>
      <c r="X142">
        <v>-37.616873458669083</v>
      </c>
      <c r="Y142">
        <v>-3.3639771624398622</v>
      </c>
    </row>
    <row r="143" spans="1:25" x14ac:dyDescent="0.2">
      <c r="A143">
        <v>55</v>
      </c>
      <c r="B143">
        <v>-60.58886470208418</v>
      </c>
      <c r="C143">
        <v>-181.79675617968053</v>
      </c>
      <c r="D143">
        <v>-1.6790201424289584</v>
      </c>
      <c r="E143">
        <v>-74.545094975976113</v>
      </c>
      <c r="F143">
        <v>-47.986772170762457</v>
      </c>
      <c r="G143">
        <v>-34.151762779637593</v>
      </c>
      <c r="H143">
        <v>-87.524975951115223</v>
      </c>
      <c r="I143">
        <v>-3.2722625575765858</v>
      </c>
      <c r="J143">
        <v>-46.214317079228287</v>
      </c>
      <c r="K143">
        <v>-23.69583085494795</v>
      </c>
      <c r="L143">
        <v>-18.286010123885426</v>
      </c>
      <c r="M143">
        <v>-51.477534835900762</v>
      </c>
      <c r="N143">
        <v>-1.480296543807853</v>
      </c>
      <c r="O143">
        <v>-24.831441713492136</v>
      </c>
      <c r="P143">
        <v>-12.704444449846353</v>
      </c>
      <c r="Q143">
        <v>-43.854533250947718</v>
      </c>
      <c r="R143">
        <v>-81.895341816724923</v>
      </c>
      <c r="S143">
        <v>-18.618103386711116</v>
      </c>
      <c r="T143">
        <v>-24.026383124454707</v>
      </c>
      <c r="U143">
        <v>-71.945863689948808</v>
      </c>
      <c r="V143">
        <v>-6.7429446454241599</v>
      </c>
      <c r="W143">
        <v>-16.397057931697677</v>
      </c>
      <c r="X143">
        <v>-35.639508183968722</v>
      </c>
      <c r="Y143">
        <v>-2.6880105556273102</v>
      </c>
    </row>
    <row r="144" spans="1:25" x14ac:dyDescent="0.2">
      <c r="A144">
        <v>56</v>
      </c>
      <c r="B144">
        <v>-56.128038941300161</v>
      </c>
      <c r="C144">
        <v>-173.14754807811812</v>
      </c>
      <c r="D144">
        <v>-1.4058667253014816</v>
      </c>
      <c r="E144">
        <v>-69.466645553167638</v>
      </c>
      <c r="F144">
        <v>-44.143591956872818</v>
      </c>
      <c r="G144">
        <v>-31.758274843748417</v>
      </c>
      <c r="H144">
        <v>-83.113454792154599</v>
      </c>
      <c r="I144">
        <v>-2.8960140172569209</v>
      </c>
      <c r="J144">
        <v>-43.281473436563026</v>
      </c>
      <c r="K144">
        <v>-21.841661077563273</v>
      </c>
      <c r="L144">
        <v>-16.867257066755382</v>
      </c>
      <c r="M144">
        <v>-49.284880667260168</v>
      </c>
      <c r="N144">
        <v>-0.83494044009656088</v>
      </c>
      <c r="O144">
        <v>-23.22497686561843</v>
      </c>
      <c r="P144">
        <v>-11.473377996420457</v>
      </c>
      <c r="Q144">
        <v>-40.39188707290856</v>
      </c>
      <c r="R144">
        <v>-76.443255679221892</v>
      </c>
      <c r="S144">
        <v>-16.784875624361103</v>
      </c>
      <c r="T144">
        <v>-22.307386179803416</v>
      </c>
      <c r="U144">
        <v>-68.366107537399188</v>
      </c>
      <c r="V144">
        <v>-5.8762273752453966</v>
      </c>
      <c r="W144">
        <v>-15.046423168594107</v>
      </c>
      <c r="X144">
        <v>-33.661929530991173</v>
      </c>
      <c r="Y144">
        <v>-2.0119786557012898</v>
      </c>
    </row>
    <row r="145" spans="1:25" x14ac:dyDescent="0.2">
      <c r="A145">
        <v>57</v>
      </c>
      <c r="B145">
        <v>-51.667112587494906</v>
      </c>
      <c r="C145">
        <v>-164.49833693520009</v>
      </c>
      <c r="D145">
        <v>-1.1326510331738144</v>
      </c>
      <c r="E145">
        <v>-64.388124053523555</v>
      </c>
      <c r="F145">
        <v>-40.300279134755648</v>
      </c>
      <c r="G145">
        <v>-29.364660470128989</v>
      </c>
      <c r="H145">
        <v>-78.70189582536311</v>
      </c>
      <c r="I145">
        <v>-2.5196910323181219</v>
      </c>
      <c r="J145">
        <v>-40.348528950682933</v>
      </c>
      <c r="K145">
        <v>-19.987345996420046</v>
      </c>
      <c r="L145">
        <v>-15.448365532047802</v>
      </c>
      <c r="M145">
        <v>-47.092185989559148</v>
      </c>
      <c r="N145">
        <v>-0.18940943232421995</v>
      </c>
      <c r="O145">
        <v>-21.618400135953063</v>
      </c>
      <c r="P145">
        <v>-10.242149239082387</v>
      </c>
      <c r="Q145">
        <v>-36.929160802556041</v>
      </c>
      <c r="R145">
        <v>-70.991119555404353</v>
      </c>
      <c r="S145">
        <v>-14.951595912761611</v>
      </c>
      <c r="T145">
        <v>-20.588241757666747</v>
      </c>
      <c r="U145">
        <v>-64.786224054839863</v>
      </c>
      <c r="V145">
        <v>-5.0094734043766902</v>
      </c>
      <c r="W145">
        <v>-13.69566732481367</v>
      </c>
      <c r="X145">
        <v>-31.684172834624345</v>
      </c>
      <c r="Y145">
        <v>-1.335891945437339</v>
      </c>
    </row>
    <row r="146" spans="1:25" x14ac:dyDescent="0.2">
      <c r="A146">
        <v>58</v>
      </c>
      <c r="B146">
        <v>-47.206103618625654</v>
      </c>
      <c r="C146">
        <v>-155.84912340663303</v>
      </c>
      <c r="D146">
        <v>-0.85938300151423463</v>
      </c>
      <c r="E146">
        <v>-59.309543652281832</v>
      </c>
      <c r="F146">
        <v>-36.456856912448956</v>
      </c>
      <c r="G146">
        <v>-26.970941039119587</v>
      </c>
      <c r="H146">
        <v>-74.290305978733102</v>
      </c>
      <c r="I146">
        <v>-2.143305530213254</v>
      </c>
      <c r="J146">
        <v>-37.415500999057691</v>
      </c>
      <c r="K146">
        <v>-18.13290976752852</v>
      </c>
      <c r="L146">
        <v>-14.029357735604219</v>
      </c>
      <c r="M146">
        <v>-44.899457783021631</v>
      </c>
      <c r="N146">
        <v>0.4562683327738779</v>
      </c>
      <c r="O146">
        <v>-20.011729688372565</v>
      </c>
      <c r="P146">
        <v>-9.0107840149970446</v>
      </c>
      <c r="Q146">
        <v>-33.466369006641663</v>
      </c>
      <c r="R146">
        <v>-65.538943583302782</v>
      </c>
      <c r="S146">
        <v>-13.118272907951605</v>
      </c>
      <c r="T146">
        <v>-18.868974147566586</v>
      </c>
      <c r="U146">
        <v>-61.206236633261859</v>
      </c>
      <c r="V146">
        <v>-4.1426888610218686</v>
      </c>
      <c r="W146">
        <v>-12.344810287562346</v>
      </c>
      <c r="X146">
        <v>-29.706267739824131</v>
      </c>
      <c r="Y146">
        <v>-0.65975935120251927</v>
      </c>
    </row>
    <row r="147" spans="1:25" x14ac:dyDescent="0.2">
      <c r="A147">
        <v>59</v>
      </c>
      <c r="B147">
        <v>-42.745026914043144</v>
      </c>
      <c r="C147">
        <v>-147.19990800903597</v>
      </c>
      <c r="D147">
        <v>-0.5860710908755814</v>
      </c>
      <c r="E147">
        <v>-54.230915193406723</v>
      </c>
      <c r="F147">
        <v>-32.613344596790796</v>
      </c>
      <c r="G147">
        <v>-24.57713444668666</v>
      </c>
      <c r="H147">
        <v>-69.878690939403697</v>
      </c>
      <c r="I147">
        <v>-1.7668676366925926</v>
      </c>
      <c r="J147">
        <v>-34.482404060473563</v>
      </c>
      <c r="K147">
        <v>-16.278372695628764</v>
      </c>
      <c r="L147">
        <v>-12.610252479730047</v>
      </c>
      <c r="M147">
        <v>-42.706701849152836</v>
      </c>
      <c r="N147">
        <v>1.1020688127328724</v>
      </c>
      <c r="O147">
        <v>-18.404980841488566</v>
      </c>
      <c r="P147">
        <v>-7.7793042577432558</v>
      </c>
      <c r="Q147">
        <v>-30.003523701561353</v>
      </c>
      <c r="R147">
        <v>-60.086735900768915</v>
      </c>
      <c r="S147">
        <v>-11.284913894596068</v>
      </c>
      <c r="T147">
        <v>-17.149603791179192</v>
      </c>
      <c r="U147">
        <v>-57.626164461947567</v>
      </c>
      <c r="V147">
        <v>-3.2758789103602486</v>
      </c>
      <c r="W147">
        <v>-10.993868819401525</v>
      </c>
      <c r="X147">
        <v>-27.728239098957019</v>
      </c>
      <c r="Y147">
        <v>1.6411536819849644E-2</v>
      </c>
    </row>
    <row r="148" spans="1:25" x14ac:dyDescent="0.2">
      <c r="A148">
        <v>60</v>
      </c>
      <c r="B148">
        <v>-38.28389477505592</v>
      </c>
      <c r="C148">
        <v>-138.55069114906865</v>
      </c>
      <c r="D148">
        <v>-0.31272249598707164</v>
      </c>
      <c r="E148">
        <v>-49.152247592575193</v>
      </c>
      <c r="F148">
        <v>-28.769758231084079</v>
      </c>
      <c r="G148">
        <v>-22.183255657643457</v>
      </c>
      <c r="H148">
        <v>-65.467055372111261</v>
      </c>
      <c r="I148">
        <v>-1.3903859375233869</v>
      </c>
      <c r="J148">
        <v>-31.549250187365491</v>
      </c>
      <c r="K148">
        <v>-14.423751830611893</v>
      </c>
      <c r="L148">
        <v>-11.191065662225363</v>
      </c>
      <c r="M148">
        <v>-40.513923006718976</v>
      </c>
      <c r="N148">
        <v>1.7479715051646658</v>
      </c>
      <c r="O148">
        <v>-16.798166503116619</v>
      </c>
      <c r="P148">
        <v>-6.5477285666936034</v>
      </c>
      <c r="Q148">
        <v>-26.540634788124262</v>
      </c>
      <c r="R148">
        <v>-54.634503032176262</v>
      </c>
      <c r="S148">
        <v>-9.4515249960648742</v>
      </c>
      <c r="T148">
        <v>-15.430147875410499</v>
      </c>
      <c r="U148">
        <v>-54.046023270477349</v>
      </c>
      <c r="V148">
        <v>-2.4090479000774541</v>
      </c>
      <c r="W148">
        <v>-9.6428570344002029</v>
      </c>
      <c r="X148">
        <v>-25.750107729942584</v>
      </c>
      <c r="Y148">
        <v>0.69261427453960622</v>
      </c>
    </row>
    <row r="149" spans="1:25" x14ac:dyDescent="0.2">
      <c r="A149">
        <v>61</v>
      </c>
      <c r="B149">
        <v>-33.822717359697265</v>
      </c>
      <c r="C149">
        <v>-129.90147314652222</v>
      </c>
      <c r="D149">
        <v>-3.9343326192217636E-2</v>
      </c>
      <c r="E149">
        <v>-44.073548171719239</v>
      </c>
      <c r="F149">
        <v>-24.926111130673522</v>
      </c>
      <c r="G149">
        <v>-19.789317172745388</v>
      </c>
      <c r="H149">
        <v>-61.055403099697038</v>
      </c>
      <c r="I149">
        <v>-1.013867703286228</v>
      </c>
      <c r="J149">
        <v>-28.616049402541346</v>
      </c>
      <c r="K149">
        <v>-12.569061473566665</v>
      </c>
      <c r="L149">
        <v>-9.7718107111976469</v>
      </c>
      <c r="M149">
        <v>-38.32112525554215</v>
      </c>
      <c r="N149">
        <v>2.393958957908584</v>
      </c>
      <c r="O149">
        <v>-15.191297539678104</v>
      </c>
      <c r="P149">
        <v>-5.3160726954864161</v>
      </c>
      <c r="Q149">
        <v>-23.077710413659016</v>
      </c>
      <c r="R149">
        <v>-49.182250201512979</v>
      </c>
      <c r="S149">
        <v>-7.6181113530997164</v>
      </c>
      <c r="T149">
        <v>-13.710620835938183</v>
      </c>
      <c r="U149">
        <v>-50.465825941452493</v>
      </c>
      <c r="V149">
        <v>-1.5421994845026499</v>
      </c>
      <c r="W149">
        <v>-8.2917868033656532</v>
      </c>
      <c r="X149">
        <v>-23.771891056488109</v>
      </c>
      <c r="Y149">
        <v>1.3688433999863323</v>
      </c>
    </row>
    <row r="150" spans="1:25" x14ac:dyDescent="0.2">
      <c r="A150">
        <v>62</v>
      </c>
      <c r="B150">
        <v>-29.361503045625309</v>
      </c>
      <c r="C150">
        <v>-121.25225425261337</v>
      </c>
      <c r="D150">
        <v>0.23406123895350195</v>
      </c>
      <c r="E150">
        <v>-38.994822936588683</v>
      </c>
      <c r="F150">
        <v>-21.082414332515121</v>
      </c>
      <c r="G150">
        <v>-17.395329422858854</v>
      </c>
      <c r="H150">
        <v>-56.643737252190959</v>
      </c>
      <c r="I150">
        <v>-0.63731908232870238</v>
      </c>
      <c r="J150">
        <v>-25.682810032230108</v>
      </c>
      <c r="K150">
        <v>-10.714313605907305</v>
      </c>
      <c r="L150">
        <v>-8.3524989562801739</v>
      </c>
      <c r="M150">
        <v>-36.128311913342507</v>
      </c>
      <c r="N150">
        <v>3.0400163440856933</v>
      </c>
      <c r="O150">
        <v>-13.58438309012687</v>
      </c>
      <c r="P150">
        <v>-4.0843499708412505</v>
      </c>
      <c r="Q150">
        <v>-19.614757273414931</v>
      </c>
      <c r="R150">
        <v>-43.729981585706334</v>
      </c>
      <c r="S150">
        <v>-5.7846772756797655</v>
      </c>
      <c r="T150">
        <v>-11.991034784509502</v>
      </c>
      <c r="U150">
        <v>-46.885583016212387</v>
      </c>
      <c r="V150">
        <v>-0.67533673043176168</v>
      </c>
      <c r="W150">
        <v>-6.9406680985227487</v>
      </c>
      <c r="X150">
        <v>-21.793603648493178</v>
      </c>
      <c r="Y150">
        <v>2.0450942919591522</v>
      </c>
    </row>
    <row r="151" spans="1:25" x14ac:dyDescent="0.2">
      <c r="A151">
        <v>63</v>
      </c>
      <c r="B151">
        <v>-24.900258732852542</v>
      </c>
      <c r="C151">
        <v>-112.60303466446904</v>
      </c>
      <c r="D151">
        <v>0.50748681560366915</v>
      </c>
      <c r="E151">
        <v>-33.916076806900939</v>
      </c>
      <c r="F151">
        <v>-17.238676972319858</v>
      </c>
      <c r="G151">
        <v>-15.001301101406474</v>
      </c>
      <c r="H151">
        <v>-52.232060389880637</v>
      </c>
      <c r="I151">
        <v>-0.2607452662755369</v>
      </c>
      <c r="J151">
        <v>-22.749538985525945</v>
      </c>
      <c r="K151">
        <v>-8.8595182530660441</v>
      </c>
      <c r="L151">
        <v>-6.9331399453845917</v>
      </c>
      <c r="M151">
        <v>-33.935485730016921</v>
      </c>
      <c r="N151">
        <v>3.6861310937662437</v>
      </c>
      <c r="O151">
        <v>-11.977430832598154</v>
      </c>
      <c r="P151">
        <v>-2.8525716514363859</v>
      </c>
      <c r="Q151">
        <v>-16.15178086127311</v>
      </c>
      <c r="R151">
        <v>-38.277700519441808</v>
      </c>
      <c r="S151">
        <v>-3.9512263720299794</v>
      </c>
      <c r="T151">
        <v>-10.271399871341627</v>
      </c>
      <c r="U151">
        <v>-43.305303112021285</v>
      </c>
      <c r="V151">
        <v>0.19153779271946053</v>
      </c>
      <c r="W151">
        <v>-5.5895092865206486</v>
      </c>
      <c r="X151">
        <v>-19.81525767796656</v>
      </c>
      <c r="Y151">
        <v>2.721363048262456</v>
      </c>
    </row>
    <row r="152" spans="1:25" x14ac:dyDescent="0.2">
      <c r="A152">
        <v>64</v>
      </c>
      <c r="B152">
        <v>-20.438990096121273</v>
      </c>
      <c r="C152">
        <v>-103.9538145365883</v>
      </c>
      <c r="D152">
        <v>0.7809297001703166</v>
      </c>
      <c r="E152">
        <v>-28.837313807055764</v>
      </c>
      <c r="F152">
        <v>-13.394906600737697</v>
      </c>
      <c r="G152">
        <v>-12.607239444594372</v>
      </c>
      <c r="H152">
        <v>-47.820374604852233</v>
      </c>
      <c r="I152">
        <v>0.11584936809857335</v>
      </c>
      <c r="J152">
        <v>-19.816241988725775</v>
      </c>
      <c r="K152">
        <v>-7.0046837925458947</v>
      </c>
      <c r="L152">
        <v>-5.5137417148275167</v>
      </c>
      <c r="M152">
        <v>-31.742648983034396</v>
      </c>
      <c r="N152">
        <v>4.332292574978025</v>
      </c>
      <c r="O152">
        <v>-10.370447210782778</v>
      </c>
      <c r="P152">
        <v>-1.6207472352379546</v>
      </c>
      <c r="Q152">
        <v>-12.688785678151273</v>
      </c>
      <c r="R152">
        <v>-32.82540966063975</v>
      </c>
      <c r="S152">
        <v>-2.1177616581446457</v>
      </c>
      <c r="T152">
        <v>-8.5517245923079184</v>
      </c>
      <c r="U152">
        <v>-39.724993266041231</v>
      </c>
      <c r="V152">
        <v>1.0584219361636513</v>
      </c>
      <c r="W152">
        <v>-4.2383173773651741</v>
      </c>
      <c r="X152">
        <v>-17.836863303470103</v>
      </c>
      <c r="Y152">
        <v>3.3976463808886712</v>
      </c>
    </row>
    <row r="153" spans="1:25" x14ac:dyDescent="0.2">
      <c r="A153">
        <v>65</v>
      </c>
      <c r="B153">
        <v>-15.977701795160955</v>
      </c>
      <c r="C153">
        <v>-95.304593989905385</v>
      </c>
      <c r="D153">
        <v>1.0543867699886558</v>
      </c>
      <c r="E153">
        <v>-23.75853722406751</v>
      </c>
      <c r="F153">
        <v>-9.5511094482584813</v>
      </c>
      <c r="G153">
        <v>-10.21315046748324</v>
      </c>
      <c r="H153">
        <v>-43.408681604723327</v>
      </c>
      <c r="I153">
        <v>0.49246113734268465</v>
      </c>
      <c r="J153">
        <v>-16.882923781727939</v>
      </c>
      <c r="K153">
        <v>-5.1498172146856698</v>
      </c>
      <c r="L153">
        <v>-4.0943110195612213</v>
      </c>
      <c r="M153">
        <v>-29.549803557034135</v>
      </c>
      <c r="N153">
        <v>4.978491817683409</v>
      </c>
      <c r="O153">
        <v>-8.7634376260069935</v>
      </c>
      <c r="P153">
        <v>-0.38888472251915851</v>
      </c>
      <c r="Q153">
        <v>-9.2257754051180427</v>
      </c>
      <c r="R153">
        <v>-27.373111124040474</v>
      </c>
      <c r="S153">
        <v>-0.28428565070885758</v>
      </c>
      <c r="T153">
        <v>-6.8320160491706288</v>
      </c>
      <c r="U153">
        <v>-36.144659218783467</v>
      </c>
      <c r="V153">
        <v>1.9253139064450988</v>
      </c>
      <c r="W153">
        <v>-2.8870982357762398</v>
      </c>
      <c r="X153">
        <v>-15.858428994125605</v>
      </c>
      <c r="Y153">
        <v>4.0739415258565543</v>
      </c>
    </row>
    <row r="154" spans="1:25" x14ac:dyDescent="0.2">
      <c r="A154">
        <v>66</v>
      </c>
      <c r="B154">
        <v>-11.516397649734042</v>
      </c>
      <c r="C154">
        <v>-86.655373118951445</v>
      </c>
      <c r="D154">
        <v>1.3278553979138747</v>
      </c>
      <c r="E154">
        <v>-18.679749738258657</v>
      </c>
      <c r="F154">
        <v>-5.7072906469920968</v>
      </c>
      <c r="G154">
        <v>-7.8190391627379388</v>
      </c>
      <c r="H154">
        <v>-38.996982781651518</v>
      </c>
      <c r="I154">
        <v>0.86908694730664271</v>
      </c>
      <c r="J154">
        <v>-13.949588282534872</v>
      </c>
      <c r="K154">
        <v>-3.2949243432553028</v>
      </c>
      <c r="L154">
        <v>-2.6748535292831965</v>
      </c>
      <c r="M154">
        <v>-27.356951010212047</v>
      </c>
      <c r="N154">
        <v>5.6247212751468005</v>
      </c>
      <c r="O154">
        <v>-7.156406600122855</v>
      </c>
      <c r="P154">
        <v>0.84300915918846797</v>
      </c>
      <c r="Q154">
        <v>-5.7627530470850292</v>
      </c>
      <c r="R154">
        <v>-21.920806588953443</v>
      </c>
      <c r="S154">
        <v>1.5491995541189343</v>
      </c>
      <c r="T154">
        <v>-5.1122801699036344</v>
      </c>
      <c r="U154">
        <v>-32.564305647553006</v>
      </c>
      <c r="V154">
        <v>2.7922122099293429</v>
      </c>
      <c r="W154">
        <v>-1.535856760527198</v>
      </c>
      <c r="X154">
        <v>-13.879961802538496</v>
      </c>
      <c r="Y154">
        <v>4.7502461657161419</v>
      </c>
    </row>
    <row r="155" spans="1:25" x14ac:dyDescent="0.2">
      <c r="A155">
        <v>67</v>
      </c>
      <c r="B155">
        <v>-7.0550807852601984</v>
      </c>
      <c r="C155">
        <v>-78.006151997509278</v>
      </c>
      <c r="D155">
        <v>1.6013333789546047</v>
      </c>
      <c r="E155">
        <v>-13.600953531333028</v>
      </c>
      <c r="F155">
        <v>-1.8634544162106523</v>
      </c>
      <c r="G155">
        <v>-5.4249096678476452</v>
      </c>
      <c r="H155">
        <v>-34.585279269174073</v>
      </c>
      <c r="I155">
        <v>1.2457242041664527</v>
      </c>
      <c r="J155">
        <v>-11.0162387249528</v>
      </c>
      <c r="K155">
        <v>-1.4400100219451299</v>
      </c>
      <c r="L155">
        <v>-1.2553739953774721</v>
      </c>
      <c r="M155">
        <v>-25.16409262966253</v>
      </c>
      <c r="N155">
        <v>6.2709746178137298</v>
      </c>
      <c r="O155">
        <v>-5.5493579135651894</v>
      </c>
      <c r="P155">
        <v>2.0749287628318864</v>
      </c>
      <c r="Q155">
        <v>-2.2997210519830062</v>
      </c>
      <c r="R155">
        <v>-16.468497386089773</v>
      </c>
      <c r="S155">
        <v>3.3826922139595417</v>
      </c>
      <c r="T155">
        <v>-3.3925218951084335</v>
      </c>
      <c r="U155">
        <v>-28.98393635859308</v>
      </c>
      <c r="V155">
        <v>3.6591156056489265</v>
      </c>
      <c r="W155">
        <v>-0.18459703651496648</v>
      </c>
      <c r="X155">
        <v>-11.901467594563805</v>
      </c>
      <c r="Y155">
        <v>5.4265583629950829</v>
      </c>
    </row>
    <row r="156" spans="1:25" x14ac:dyDescent="0.2">
      <c r="A156">
        <v>68</v>
      </c>
      <c r="B156">
        <v>-2.5937537538701814</v>
      </c>
      <c r="C156">
        <v>-69.356930683074964</v>
      </c>
      <c r="D156">
        <v>1.8748188672987005</v>
      </c>
      <c r="E156">
        <v>-8.5221503756745172</v>
      </c>
      <c r="F156">
        <v>1.980395782546484</v>
      </c>
      <c r="G156">
        <v>-3.0307654057229021</v>
      </c>
      <c r="H156">
        <v>-30.17357198899488</v>
      </c>
      <c r="I156">
        <v>1.6223707383795203</v>
      </c>
      <c r="J156">
        <v>-8.0828777737792041</v>
      </c>
      <c r="K156">
        <v>0.41492172808754901</v>
      </c>
      <c r="L156">
        <v>0.16412360706617005</v>
      </c>
      <c r="M156">
        <v>-22.971229477490411</v>
      </c>
      <c r="N156">
        <v>6.9172465554381706</v>
      </c>
      <c r="O156">
        <v>-3.9422947222906264</v>
      </c>
      <c r="P156">
        <v>3.3068693576269097</v>
      </c>
      <c r="Q156">
        <v>1.1633185904774721</v>
      </c>
      <c r="R156">
        <v>-11.016184567472443</v>
      </c>
      <c r="S156">
        <v>5.2161908837047228</v>
      </c>
      <c r="T156">
        <v>-1.672745335637901</v>
      </c>
      <c r="U156">
        <v>-25.403554445136589</v>
      </c>
      <c r="V156">
        <v>4.5260230652801132</v>
      </c>
      <c r="W156">
        <v>1.1666775363825412</v>
      </c>
      <c r="X156">
        <v>-9.9229512426264304</v>
      </c>
      <c r="Y156">
        <v>6.1028765030903971</v>
      </c>
    </row>
    <row r="157" spans="1:25" x14ac:dyDescent="0.2">
      <c r="A157">
        <v>69</v>
      </c>
      <c r="B157">
        <v>1.8675813650473068</v>
      </c>
      <c r="C157">
        <v>-60.707709220374909</v>
      </c>
      <c r="D157">
        <v>2.1483103223057287</v>
      </c>
      <c r="E157">
        <v>-3.4433417080723934</v>
      </c>
      <c r="F157">
        <v>5.8242571159177734</v>
      </c>
      <c r="G157">
        <v>-0.63660920282408395</v>
      </c>
      <c r="H157">
        <v>-25.761861689471434</v>
      </c>
      <c r="I157">
        <v>1.9990247397427674</v>
      </c>
      <c r="J157">
        <v>-5.149507621091475</v>
      </c>
      <c r="K157">
        <v>2.2698675752200237</v>
      </c>
      <c r="L157">
        <v>1.5836359585163922</v>
      </c>
      <c r="M157">
        <v>-20.778362429212564</v>
      </c>
      <c r="N157">
        <v>7.5635326837354242</v>
      </c>
      <c r="O157">
        <v>-2.3352196567667018</v>
      </c>
      <c r="P157">
        <v>4.5388269889115369</v>
      </c>
      <c r="Q157">
        <v>4.626364267036065</v>
      </c>
      <c r="R157">
        <v>-5.5638689626653166</v>
      </c>
      <c r="S157">
        <v>7.0496943677151203</v>
      </c>
      <c r="T157">
        <v>4.7046094216797819E-2</v>
      </c>
      <c r="U157">
        <v>-21.823162417327922</v>
      </c>
      <c r="V157">
        <v>5.3929337392014363</v>
      </c>
      <c r="W157">
        <v>2.5179641341980732</v>
      </c>
      <c r="X157">
        <v>-7.9444167882781622</v>
      </c>
      <c r="Y157">
        <v>6.7791992453093401</v>
      </c>
    </row>
    <row r="158" spans="1:25" x14ac:dyDescent="0.2">
      <c r="A158">
        <v>70</v>
      </c>
      <c r="B158">
        <v>6.3289228814041403</v>
      </c>
      <c r="C158">
        <v>-52.058487644135873</v>
      </c>
      <c r="D158">
        <v>2.4218064622309794</v>
      </c>
      <c r="E158">
        <v>1.6354713094637459</v>
      </c>
      <c r="F158">
        <v>9.6681272705994754</v>
      </c>
      <c r="G158">
        <v>1.7575566116624302</v>
      </c>
      <c r="H158">
        <v>-21.350148977252022</v>
      </c>
      <c r="I158">
        <v>2.3756847019788983</v>
      </c>
      <c r="J158">
        <v>-2.2161300666784425</v>
      </c>
      <c r="K158">
        <v>4.1248247651750463</v>
      </c>
      <c r="L158">
        <v>3.0031602924311529</v>
      </c>
      <c r="M158">
        <v>-18.585492205721394</v>
      </c>
      <c r="N158">
        <v>8.2098293523125339</v>
      </c>
      <c r="O158">
        <v>-0.72813490571106976</v>
      </c>
      <c r="P158">
        <v>5.7707983586278955</v>
      </c>
      <c r="Q158">
        <v>8.0894146732436347</v>
      </c>
      <c r="R158">
        <v>-0.11155122394984304</v>
      </c>
      <c r="S158">
        <v>8.8832016794169171</v>
      </c>
      <c r="T158">
        <v>1.7668495642687581</v>
      </c>
      <c r="U158">
        <v>-18.242762308947391</v>
      </c>
      <c r="V158">
        <v>6.2598469277361879</v>
      </c>
      <c r="W158">
        <v>3.8692604165597992</v>
      </c>
      <c r="X158">
        <v>-5.965867578800248</v>
      </c>
      <c r="Y158">
        <v>7.4555254809364335</v>
      </c>
    </row>
    <row r="159" spans="1:25" x14ac:dyDescent="0.2">
      <c r="A159">
        <v>71</v>
      </c>
      <c r="B159">
        <v>10.790269425230244</v>
      </c>
      <c r="C159">
        <v>-43.409265981264753</v>
      </c>
      <c r="D159">
        <v>2.6953062246114818</v>
      </c>
      <c r="E159">
        <v>6.714287739584754</v>
      </c>
      <c r="F159">
        <v>13.512004363196834</v>
      </c>
      <c r="G159">
        <v>4.1517301226254748</v>
      </c>
      <c r="H159">
        <v>-16.93843434326326</v>
      </c>
      <c r="I159">
        <v>2.7523493754942798</v>
      </c>
      <c r="J159">
        <v>0.71725341482572991</v>
      </c>
      <c r="K159">
        <v>5.9797910264616752</v>
      </c>
      <c r="L159">
        <v>4.4226943081866237</v>
      </c>
      <c r="M159">
        <v>-16.392619399874548</v>
      </c>
      <c r="N159">
        <v>8.8561335510443868</v>
      </c>
      <c r="O159">
        <v>0.87895771311881565</v>
      </c>
      <c r="P159">
        <v>7.0027807234784856</v>
      </c>
      <c r="Q159">
        <v>11.552468757567985</v>
      </c>
      <c r="R159">
        <v>5.3407681374197153</v>
      </c>
      <c r="S159">
        <v>10.716712007182279</v>
      </c>
      <c r="T159">
        <v>3.486662733552925</v>
      </c>
      <c r="U159">
        <v>-14.662355765016034</v>
      </c>
      <c r="V159">
        <v>7.1267620568106285</v>
      </c>
      <c r="W159">
        <v>5.2205644486475258</v>
      </c>
      <c r="X159">
        <v>-3.9873063819192796</v>
      </c>
      <c r="Y159">
        <v>8.1318542973545629</v>
      </c>
    </row>
    <row r="160" spans="1:25" x14ac:dyDescent="0.2">
      <c r="A160">
        <v>72</v>
      </c>
      <c r="B160">
        <v>15.251619889369346</v>
      </c>
      <c r="C160">
        <v>-34.760044252561997</v>
      </c>
      <c r="D160">
        <v>2.9688087323884971</v>
      </c>
      <c r="E160">
        <v>11.793106828337796</v>
      </c>
      <c r="F160">
        <v>17.355886865132483</v>
      </c>
      <c r="G160">
        <v>6.5459097592919608</v>
      </c>
      <c r="H160">
        <v>-12.526718184040361</v>
      </c>
      <c r="I160">
        <v>3.1290177271405173</v>
      </c>
      <c r="J160">
        <v>3.6506416179525654</v>
      </c>
      <c r="K160">
        <v>7.8347644907436713</v>
      </c>
      <c r="L160">
        <v>5.8422360972203524</v>
      </c>
      <c r="M160">
        <v>-14.199744498601277</v>
      </c>
      <c r="N160">
        <v>9.5024428124283169</v>
      </c>
      <c r="O160">
        <v>2.4860566931265207</v>
      </c>
      <c r="P160">
        <v>8.2347718082166068</v>
      </c>
      <c r="Q160">
        <v>15.015525675253979</v>
      </c>
      <c r="R160">
        <v>10.793088722156524</v>
      </c>
      <c r="S160">
        <v>12.550224685543386</v>
      </c>
      <c r="T160">
        <v>5.2064836703359445</v>
      </c>
      <c r="U160">
        <v>-11.081944113650437</v>
      </c>
      <c r="V160">
        <v>7.993678657371114</v>
      </c>
      <c r="W160">
        <v>6.5718746352702313</v>
      </c>
      <c r="X160">
        <v>-2.0087354820760335</v>
      </c>
      <c r="Y160">
        <v>8.8081849473789386</v>
      </c>
    </row>
    <row r="161" spans="1:25" x14ac:dyDescent="0.2">
      <c r="A161">
        <v>73</v>
      </c>
      <c r="B161">
        <v>19.712973382062884</v>
      </c>
      <c r="C161">
        <v>-26.11082247406711</v>
      </c>
      <c r="D161">
        <v>3.2423132649660524</v>
      </c>
      <c r="E161">
        <v>16.871927971228207</v>
      </c>
      <c r="F161">
        <v>21.199773540162013</v>
      </c>
      <c r="G161">
        <v>8.9400942368249012</v>
      </c>
      <c r="H161">
        <v>-8.1150008192202758</v>
      </c>
      <c r="I161">
        <v>3.5056889059747318</v>
      </c>
      <c r="J161">
        <v>6.5840335597454267</v>
      </c>
      <c r="K161">
        <v>9.6897436258395011</v>
      </c>
      <c r="L161">
        <v>7.2617840804349507</v>
      </c>
      <c r="M161">
        <v>-12.006867901270089</v>
      </c>
      <c r="N161">
        <v>10.148755127769078</v>
      </c>
      <c r="O161">
        <v>4.0931607884003158</v>
      </c>
      <c r="P161">
        <v>9.4667697318880286</v>
      </c>
      <c r="Q161">
        <v>18.478584750279015</v>
      </c>
      <c r="R161">
        <v>16.245410219679503</v>
      </c>
      <c r="S161">
        <v>14.383739170930543</v>
      </c>
      <c r="T161">
        <v>6.9263107847376943</v>
      </c>
      <c r="U161">
        <v>-7.5015284249512373</v>
      </c>
      <c r="V161">
        <v>8.8605963479987278</v>
      </c>
      <c r="W161">
        <v>7.9231896652324423</v>
      </c>
      <c r="X161">
        <v>-3.0156761154481126E-2</v>
      </c>
      <c r="Y161">
        <v>9.4845168230764436</v>
      </c>
    </row>
    <row r="162" spans="1:25" x14ac:dyDescent="0.2">
      <c r="A162">
        <v>74</v>
      </c>
      <c r="B162">
        <v>24.174329187759312</v>
      </c>
      <c r="C162">
        <v>-17.461600658113905</v>
      </c>
      <c r="D162">
        <v>3.5158192335136915</v>
      </c>
      <c r="E162">
        <v>21.950750685337763</v>
      </c>
      <c r="F162">
        <v>25.043663392437452</v>
      </c>
      <c r="G162">
        <v>11.334282507459982</v>
      </c>
      <c r="H162">
        <v>-3.7032825058756966</v>
      </c>
      <c r="I162">
        <v>3.8823622141542371</v>
      </c>
      <c r="J162">
        <v>9.5174284409199768</v>
      </c>
      <c r="K162">
        <v>11.544727179404241</v>
      </c>
      <c r="L162">
        <v>8.6813369551918136</v>
      </c>
      <c r="M162">
        <v>-9.8139899349399933</v>
      </c>
      <c r="N162">
        <v>10.795068875325329</v>
      </c>
      <c r="O162">
        <v>5.700268971140698</v>
      </c>
      <c r="P162">
        <v>10.698772945148827</v>
      </c>
      <c r="Q162">
        <v>21.941645444021479</v>
      </c>
      <c r="R162">
        <v>21.697732389519331</v>
      </c>
      <c r="S162">
        <v>16.217255021245141</v>
      </c>
      <c r="T162">
        <v>8.6461427720266517</v>
      </c>
      <c r="U162">
        <v>-3.9211095592232743</v>
      </c>
      <c r="V162">
        <v>9.7275148202419039</v>
      </c>
      <c r="W162">
        <v>9.2745084644284042</v>
      </c>
      <c r="X162">
        <v>1.9484282338728014</v>
      </c>
      <c r="Y162">
        <v>10.160849433441516</v>
      </c>
    </row>
    <row r="163" spans="1:25" x14ac:dyDescent="0.2">
      <c r="A163">
        <v>75</v>
      </c>
      <c r="B163">
        <v>28.63568673476038</v>
      </c>
      <c r="C163">
        <v>-8.8123788141572863</v>
      </c>
      <c r="D163">
        <v>3.7893261599157966</v>
      </c>
      <c r="E163">
        <v>27.029574586445836</v>
      </c>
      <c r="F163">
        <v>28.887555623389115</v>
      </c>
      <c r="G163">
        <v>13.728473719663468</v>
      </c>
      <c r="H163">
        <v>0.70843654975050008</v>
      </c>
      <c r="I163">
        <v>4.2590370822227026</v>
      </c>
      <c r="J163">
        <v>12.450825613561577</v>
      </c>
      <c r="K163">
        <v>13.399714131638564</v>
      </c>
      <c r="L163">
        <v>10.100893650467095</v>
      </c>
      <c r="M163">
        <v>-7.6211108670155046</v>
      </c>
      <c r="N163">
        <v>11.441382758792596</v>
      </c>
      <c r="O163">
        <v>7.307380395784814</v>
      </c>
      <c r="P163">
        <v>11.930780177049501</v>
      </c>
      <c r="Q163">
        <v>25.404707329491313</v>
      </c>
      <c r="R163">
        <v>27.150055046478336</v>
      </c>
      <c r="S163">
        <v>18.050771878680877</v>
      </c>
      <c r="T163">
        <v>10.365978564943291</v>
      </c>
      <c r="U163">
        <v>-0.34068820642395037</v>
      </c>
      <c r="V163">
        <v>10.594433826257633</v>
      </c>
      <c r="W163">
        <v>10.625830156334908</v>
      </c>
      <c r="X163">
        <v>3.9270182343085827</v>
      </c>
      <c r="Y163">
        <v>10.837182385385315</v>
      </c>
    </row>
    <row r="164" spans="1:25" x14ac:dyDescent="0.2">
      <c r="A164">
        <v>76</v>
      </c>
      <c r="B164">
        <v>33.097045568545596</v>
      </c>
      <c r="C164">
        <v>-0.1631569494200075</v>
      </c>
      <c r="D164">
        <v>4.0628336588515834</v>
      </c>
      <c r="E164">
        <v>32.108399370279848</v>
      </c>
      <c r="F164">
        <v>32.731449595973913</v>
      </c>
      <c r="G164">
        <v>16.122667184030924</v>
      </c>
      <c r="H164">
        <v>5.1201561826483237</v>
      </c>
      <c r="I164">
        <v>4.6357130481496096</v>
      </c>
      <c r="J164">
        <v>15.384224554287318</v>
      </c>
      <c r="K164">
        <v>15.254703655620993</v>
      </c>
      <c r="L164">
        <v>11.520453288950305</v>
      </c>
      <c r="M164">
        <v>-5.428230915739781</v>
      </c>
      <c r="N164">
        <v>12.08769575471084</v>
      </c>
      <c r="O164">
        <v>8.9144943688017211</v>
      </c>
      <c r="P164">
        <v>13.162790389904048</v>
      </c>
      <c r="Q164">
        <v>28.867770070164983</v>
      </c>
      <c r="R164">
        <v>32.602378048806003</v>
      </c>
      <c r="S164">
        <v>19.884289455294255</v>
      </c>
      <c r="T164">
        <v>12.085817293654394</v>
      </c>
      <c r="U164">
        <v>3.239735081595962</v>
      </c>
      <c r="V164">
        <v>11.461353168411922</v>
      </c>
      <c r="W164">
        <v>11.9771540287717</v>
      </c>
      <c r="X164">
        <v>5.905612202353355</v>
      </c>
      <c r="Y164">
        <v>11.513515367569102</v>
      </c>
    </row>
    <row r="165" spans="1:25" x14ac:dyDescent="0.2">
      <c r="A165">
        <v>77</v>
      </c>
      <c r="B165">
        <v>37.558405329808387</v>
      </c>
      <c r="C165">
        <v>8.4860649306020139</v>
      </c>
      <c r="D165">
        <v>4.3363414225606078</v>
      </c>
      <c r="E165">
        <v>37.187224797170629</v>
      </c>
      <c r="F165">
        <v>36.575344805071865</v>
      </c>
      <c r="G165">
        <v>18.516862344846377</v>
      </c>
      <c r="H165">
        <v>9.531876261200054</v>
      </c>
      <c r="I165">
        <v>5.0123897395750356</v>
      </c>
      <c r="J165">
        <v>18.317624841972894</v>
      </c>
      <c r="K165">
        <v>17.109695084073042</v>
      </c>
      <c r="L165">
        <v>12.940015155044108</v>
      </c>
      <c r="M165">
        <v>-3.2353502588885599</v>
      </c>
      <c r="N165">
        <v>12.734007067570648</v>
      </c>
      <c r="O165">
        <v>10.521610323286522</v>
      </c>
      <c r="P165">
        <v>14.394802741059086</v>
      </c>
      <c r="Q165">
        <v>32.330833402628357</v>
      </c>
      <c r="R165">
        <v>38.054701288794419</v>
      </c>
      <c r="S165">
        <v>21.717807520900198</v>
      </c>
      <c r="T165">
        <v>13.805658252152892</v>
      </c>
      <c r="U165">
        <v>6.8201598647695203</v>
      </c>
      <c r="V165">
        <v>12.328272690541549</v>
      </c>
      <c r="W165">
        <v>13.328479505967328</v>
      </c>
      <c r="X165">
        <v>7.8842092915088537</v>
      </c>
      <c r="Y165">
        <v>12.18984813667705</v>
      </c>
    </row>
    <row r="166" spans="1:25" x14ac:dyDescent="0.2">
      <c r="A166">
        <v>78</v>
      </c>
      <c r="B166">
        <v>42.019765736398398</v>
      </c>
      <c r="C166">
        <v>17.135286821745535</v>
      </c>
      <c r="D166">
        <v>4.6098492079100009</v>
      </c>
      <c r="E166">
        <v>42.266050679513263</v>
      </c>
      <c r="F166">
        <v>40.41924085300959</v>
      </c>
      <c r="G166">
        <v>20.911058756391153</v>
      </c>
      <c r="H166">
        <v>13.943596680781692</v>
      </c>
      <c r="I166">
        <v>5.3890668587896249</v>
      </c>
      <c r="J166">
        <v>21.251026139289788</v>
      </c>
      <c r="K166">
        <v>18.96468788154861</v>
      </c>
      <c r="L166">
        <v>14.35957866787658</v>
      </c>
      <c r="M166">
        <v>-1.0424690409676218</v>
      </c>
      <c r="N166">
        <v>13.380316091554226</v>
      </c>
      <c r="O166">
        <v>12.12872779761285</v>
      </c>
      <c r="P166">
        <v>15.626816550547536</v>
      </c>
      <c r="Q166">
        <v>35.79389712236577</v>
      </c>
      <c r="R166">
        <v>43.507024685313041</v>
      </c>
      <c r="S166">
        <v>23.551325892932468</v>
      </c>
      <c r="T166">
        <v>15.52550087009797</v>
      </c>
      <c r="U166">
        <v>10.400585793346343</v>
      </c>
      <c r="V166">
        <v>13.195192270623318</v>
      </c>
      <c r="W166">
        <v>14.679806125112608</v>
      </c>
      <c r="X166">
        <v>9.8628088135168532</v>
      </c>
      <c r="Y166">
        <v>12.866180505779464</v>
      </c>
    </row>
    <row r="167" spans="1:25" x14ac:dyDescent="0.2">
      <c r="A167">
        <v>79</v>
      </c>
      <c r="B167">
        <v>46.481126568498951</v>
      </c>
      <c r="C167">
        <v>25.78450872087301</v>
      </c>
      <c r="D167">
        <v>4.8833568254326627</v>
      </c>
      <c r="E167">
        <v>47.344876871536613</v>
      </c>
      <c r="F167">
        <v>44.263137429354771</v>
      </c>
      <c r="G167">
        <v>23.305256063234772</v>
      </c>
      <c r="H167">
        <v>18.355317358547484</v>
      </c>
      <c r="I167">
        <v>5.7657441700465055</v>
      </c>
      <c r="J167">
        <v>24.184428177420354</v>
      </c>
      <c r="K167">
        <v>20.819681621193329</v>
      </c>
      <c r="L167">
        <v>15.779143358567852</v>
      </c>
      <c r="M167">
        <v>1.1504126208337193</v>
      </c>
      <c r="N167">
        <v>14.026622377988842</v>
      </c>
      <c r="O167">
        <v>13.735846417514917</v>
      </c>
      <c r="P167">
        <v>16.858831273756678</v>
      </c>
      <c r="Q167">
        <v>39.256961072145614</v>
      </c>
      <c r="R167">
        <v>48.95934817789562</v>
      </c>
      <c r="S167">
        <v>25.384844427962658</v>
      </c>
      <c r="T167">
        <v>17.245344689243442</v>
      </c>
      <c r="U167">
        <v>13.98101259040595</v>
      </c>
      <c r="V167">
        <v>14.062111814634449</v>
      </c>
      <c r="W167">
        <v>16.03113351670677</v>
      </c>
      <c r="X167">
        <v>11.841410210783144</v>
      </c>
      <c r="Y167">
        <v>13.542512334485435</v>
      </c>
    </row>
    <row r="168" spans="1:25" x14ac:dyDescent="0.2">
      <c r="A168">
        <v>80</v>
      </c>
      <c r="B168">
        <v>50.942487656480999</v>
      </c>
      <c r="C168">
        <v>34.433730625633991</v>
      </c>
      <c r="D168">
        <v>5.1568641300516438</v>
      </c>
      <c r="E168">
        <v>52.423703260971124</v>
      </c>
      <c r="F168">
        <v>48.107034294265155</v>
      </c>
      <c r="G168">
        <v>25.699453983861574</v>
      </c>
      <c r="H168">
        <v>22.767038229184184</v>
      </c>
      <c r="I168">
        <v>6.1424214888596484</v>
      </c>
      <c r="J168">
        <v>27.117830743421141</v>
      </c>
      <c r="K168">
        <v>22.674675965350716</v>
      </c>
      <c r="L168">
        <v>17.198708851104925</v>
      </c>
      <c r="M168">
        <v>3.343294631722546</v>
      </c>
      <c r="N168">
        <v>14.672925607713356</v>
      </c>
      <c r="O168">
        <v>15.342965881065783</v>
      </c>
      <c r="P168">
        <v>18.090846478365592</v>
      </c>
      <c r="Q168">
        <v>42.720025132546304</v>
      </c>
      <c r="R168">
        <v>54.41167172206778</v>
      </c>
      <c r="S168">
        <v>27.218363014618298</v>
      </c>
      <c r="T168">
        <v>18.965189343732646</v>
      </c>
      <c r="U168">
        <v>17.561440037631694</v>
      </c>
      <c r="V168">
        <v>14.929031251420094</v>
      </c>
      <c r="W168">
        <v>17.382461388106272</v>
      </c>
      <c r="X168">
        <v>13.820013033401935</v>
      </c>
      <c r="Y168">
        <v>14.218843520625942</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62A0C-1C9F-4D4F-9606-8E2A06F24062}">
  <dimension ref="A1:CD27"/>
  <sheetViews>
    <sheetView workbookViewId="0">
      <selection activeCell="K20" sqref="K20"/>
    </sheetView>
  </sheetViews>
  <sheetFormatPr baseColWidth="10" defaultRowHeight="15" x14ac:dyDescent="0.2"/>
  <sheetData>
    <row r="1" spans="1:82" x14ac:dyDescent="0.2">
      <c r="A1" s="2" t="s">
        <v>4</v>
      </c>
      <c r="B1" t="s">
        <v>28</v>
      </c>
      <c r="C1" t="s">
        <v>28</v>
      </c>
      <c r="D1" t="s">
        <v>28</v>
      </c>
      <c r="E1" t="s">
        <v>28</v>
      </c>
      <c r="F1" t="s">
        <v>28</v>
      </c>
      <c r="G1" t="s">
        <v>28</v>
      </c>
      <c r="H1" t="s">
        <v>28</v>
      </c>
      <c r="I1" t="s">
        <v>28</v>
      </c>
      <c r="J1" t="s">
        <v>28</v>
      </c>
      <c r="K1" t="s">
        <v>28</v>
      </c>
      <c r="L1" t="s">
        <v>28</v>
      </c>
      <c r="M1" t="s">
        <v>28</v>
      </c>
      <c r="N1" t="s">
        <v>28</v>
      </c>
      <c r="O1" t="s">
        <v>28</v>
      </c>
      <c r="P1" t="s">
        <v>28</v>
      </c>
      <c r="Q1" t="s">
        <v>28</v>
      </c>
      <c r="R1" t="s">
        <v>28</v>
      </c>
      <c r="S1" t="s">
        <v>28</v>
      </c>
      <c r="T1" t="s">
        <v>28</v>
      </c>
      <c r="U1" t="s">
        <v>28</v>
      </c>
      <c r="V1" t="s">
        <v>28</v>
      </c>
      <c r="W1" t="s">
        <v>28</v>
      </c>
      <c r="X1" t="s">
        <v>28</v>
      </c>
      <c r="Y1" t="s">
        <v>28</v>
      </c>
      <c r="Z1" t="s">
        <v>28</v>
      </c>
      <c r="AA1" t="s">
        <v>28</v>
      </c>
      <c r="AB1" t="s">
        <v>28</v>
      </c>
      <c r="AC1" t="s">
        <v>28</v>
      </c>
      <c r="AD1" t="s">
        <v>28</v>
      </c>
      <c r="AE1" t="s">
        <v>28</v>
      </c>
      <c r="AF1" t="s">
        <v>28</v>
      </c>
      <c r="AG1" t="s">
        <v>28</v>
      </c>
      <c r="AH1" t="s">
        <v>28</v>
      </c>
      <c r="AI1" t="s">
        <v>28</v>
      </c>
      <c r="AJ1" t="s">
        <v>28</v>
      </c>
      <c r="AK1" t="s">
        <v>28</v>
      </c>
      <c r="AL1" t="s">
        <v>28</v>
      </c>
      <c r="AM1" t="s">
        <v>28</v>
      </c>
      <c r="AN1" t="s">
        <v>28</v>
      </c>
      <c r="AO1" t="s">
        <v>28</v>
      </c>
      <c r="AP1" t="s">
        <v>28</v>
      </c>
      <c r="AQ1" t="s">
        <v>28</v>
      </c>
      <c r="AR1" t="s">
        <v>28</v>
      </c>
      <c r="AS1" t="s">
        <v>28</v>
      </c>
      <c r="AT1" t="s">
        <v>28</v>
      </c>
      <c r="AU1" t="s">
        <v>28</v>
      </c>
      <c r="AV1" t="s">
        <v>28</v>
      </c>
      <c r="AW1" t="s">
        <v>28</v>
      </c>
      <c r="AX1" t="s">
        <v>28</v>
      </c>
      <c r="AY1" t="s">
        <v>28</v>
      </c>
      <c r="AZ1" t="s">
        <v>28</v>
      </c>
      <c r="BA1" t="s">
        <v>28</v>
      </c>
      <c r="BB1" t="s">
        <v>28</v>
      </c>
      <c r="BC1" t="s">
        <v>28</v>
      </c>
      <c r="BD1" t="s">
        <v>28</v>
      </c>
      <c r="BE1" t="s">
        <v>28</v>
      </c>
      <c r="BF1" t="s">
        <v>28</v>
      </c>
      <c r="BG1" t="s">
        <v>28</v>
      </c>
      <c r="BH1" t="s">
        <v>28</v>
      </c>
      <c r="BI1" t="s">
        <v>28</v>
      </c>
      <c r="BJ1" t="s">
        <v>28</v>
      </c>
      <c r="BK1" t="s">
        <v>28</v>
      </c>
      <c r="BL1" t="s">
        <v>28</v>
      </c>
      <c r="BM1" t="s">
        <v>28</v>
      </c>
      <c r="BN1" t="s">
        <v>28</v>
      </c>
      <c r="BO1" t="s">
        <v>28</v>
      </c>
      <c r="BP1" t="s">
        <v>28</v>
      </c>
      <c r="BQ1" t="s">
        <v>28</v>
      </c>
      <c r="BR1" t="s">
        <v>28</v>
      </c>
      <c r="BS1" t="s">
        <v>28</v>
      </c>
      <c r="BT1" t="s">
        <v>28</v>
      </c>
      <c r="BU1" t="s">
        <v>28</v>
      </c>
      <c r="BV1" t="s">
        <v>28</v>
      </c>
      <c r="BW1" t="s">
        <v>28</v>
      </c>
      <c r="BX1" t="s">
        <v>28</v>
      </c>
      <c r="BY1" t="s">
        <v>28</v>
      </c>
      <c r="BZ1" t="s">
        <v>28</v>
      </c>
      <c r="CA1" t="s">
        <v>28</v>
      </c>
      <c r="CB1" t="s">
        <v>28</v>
      </c>
      <c r="CC1" t="s">
        <v>28</v>
      </c>
      <c r="CD1" t="s">
        <v>28</v>
      </c>
    </row>
    <row r="2" spans="1:82" x14ac:dyDescent="0.2">
      <c r="A2" s="2" t="s">
        <v>3</v>
      </c>
      <c r="B2" t="s">
        <v>74</v>
      </c>
      <c r="C2" t="s">
        <v>75</v>
      </c>
      <c r="D2" t="s">
        <v>76</v>
      </c>
      <c r="E2" t="s">
        <v>77</v>
      </c>
      <c r="F2" t="s">
        <v>78</v>
      </c>
      <c r="G2" t="s">
        <v>80</v>
      </c>
      <c r="H2" t="s">
        <v>81</v>
      </c>
      <c r="I2" t="s">
        <v>82</v>
      </c>
      <c r="J2" t="s">
        <v>83</v>
      </c>
      <c r="K2" t="s">
        <v>84</v>
      </c>
      <c r="L2" t="s">
        <v>85</v>
      </c>
      <c r="M2" t="s">
        <v>86</v>
      </c>
      <c r="N2" t="s">
        <v>87</v>
      </c>
      <c r="O2" t="s">
        <v>88</v>
      </c>
      <c r="P2" t="s">
        <v>89</v>
      </c>
      <c r="Q2" t="s">
        <v>90</v>
      </c>
      <c r="R2" t="s">
        <v>91</v>
      </c>
      <c r="S2" t="s">
        <v>92</v>
      </c>
      <c r="T2" t="s">
        <v>93</v>
      </c>
      <c r="U2" t="s">
        <v>94</v>
      </c>
      <c r="V2" t="s">
        <v>95</v>
      </c>
      <c r="W2" t="s">
        <v>97</v>
      </c>
      <c r="X2" t="s">
        <v>98</v>
      </c>
      <c r="Y2" t="s">
        <v>99</v>
      </c>
      <c r="Z2" t="s">
        <v>100</v>
      </c>
      <c r="AA2" t="s">
        <v>101</v>
      </c>
      <c r="AB2" t="s">
        <v>102</v>
      </c>
      <c r="AC2" t="s">
        <v>103</v>
      </c>
      <c r="AD2" t="s">
        <v>104</v>
      </c>
      <c r="AE2" t="s">
        <v>105</v>
      </c>
      <c r="AF2" t="s">
        <v>106</v>
      </c>
      <c r="AG2" t="s">
        <v>107</v>
      </c>
      <c r="AH2" t="s">
        <v>108</v>
      </c>
      <c r="AI2" t="s">
        <v>109</v>
      </c>
      <c r="AJ2" t="s">
        <v>110</v>
      </c>
      <c r="AK2" t="s">
        <v>111</v>
      </c>
      <c r="AL2" t="s">
        <v>112</v>
      </c>
      <c r="AM2" t="s">
        <v>113</v>
      </c>
      <c r="AN2" t="s">
        <v>114</v>
      </c>
      <c r="AO2" t="s">
        <v>115</v>
      </c>
      <c r="AP2" t="s">
        <v>116</v>
      </c>
      <c r="AQ2" t="s">
        <v>117</v>
      </c>
      <c r="AR2" t="s">
        <v>118</v>
      </c>
      <c r="AS2" t="s">
        <v>119</v>
      </c>
      <c r="AT2" t="s">
        <v>124</v>
      </c>
      <c r="AU2" t="s">
        <v>123</v>
      </c>
      <c r="AV2" t="s">
        <v>126</v>
      </c>
      <c r="AW2" t="s">
        <v>133</v>
      </c>
      <c r="AX2" t="s">
        <v>134</v>
      </c>
      <c r="AY2" t="s">
        <v>135</v>
      </c>
      <c r="AZ2" t="s">
        <v>136</v>
      </c>
      <c r="BA2" t="s">
        <v>137</v>
      </c>
      <c r="BB2" t="s">
        <v>138</v>
      </c>
      <c r="BC2" t="s">
        <v>139</v>
      </c>
      <c r="BD2" t="s">
        <v>140</v>
      </c>
      <c r="BE2" t="s">
        <v>127</v>
      </c>
      <c r="BF2" t="s">
        <v>128</v>
      </c>
      <c r="BG2" t="s">
        <v>129</v>
      </c>
      <c r="BH2" t="s">
        <v>130</v>
      </c>
      <c r="BI2" t="s">
        <v>131</v>
      </c>
      <c r="BJ2" t="s">
        <v>132</v>
      </c>
      <c r="BK2" t="s">
        <v>160</v>
      </c>
      <c r="BL2" t="s">
        <v>188</v>
      </c>
      <c r="BM2" t="s">
        <v>162</v>
      </c>
      <c r="BN2" t="s">
        <v>163</v>
      </c>
      <c r="BO2" t="s">
        <v>164</v>
      </c>
      <c r="BP2" t="s">
        <v>165</v>
      </c>
      <c r="BQ2" t="s">
        <v>166</v>
      </c>
      <c r="BR2" t="s">
        <v>167</v>
      </c>
      <c r="BS2" t="s">
        <v>168</v>
      </c>
      <c r="BT2" t="s">
        <v>190</v>
      </c>
      <c r="BU2" t="s">
        <v>169</v>
      </c>
      <c r="BV2" t="s">
        <v>191</v>
      </c>
      <c r="BW2" t="s">
        <v>157</v>
      </c>
      <c r="BX2" t="s">
        <v>192</v>
      </c>
      <c r="BY2" t="s">
        <v>158</v>
      </c>
      <c r="BZ2" t="s">
        <v>159</v>
      </c>
      <c r="CA2" t="s">
        <v>193</v>
      </c>
      <c r="CB2" t="s">
        <v>194</v>
      </c>
      <c r="CC2" t="s">
        <v>161</v>
      </c>
      <c r="CD2" t="s">
        <v>213</v>
      </c>
    </row>
    <row r="3" spans="1:82" x14ac:dyDescent="0.2">
      <c r="A3" s="2" t="s">
        <v>2</v>
      </c>
      <c r="B3">
        <v>6.391800536699999</v>
      </c>
      <c r="C3">
        <v>3.1770135480600001</v>
      </c>
      <c r="D3">
        <v>12.816808360899998</v>
      </c>
      <c r="E3">
        <v>6.4393644018000007</v>
      </c>
      <c r="F3">
        <v>4.1415547519999993</v>
      </c>
      <c r="G3">
        <v>6.7330414951999993</v>
      </c>
      <c r="H3">
        <v>6.1017497671000003</v>
      </c>
      <c r="I3">
        <v>5.2679979476000014</v>
      </c>
      <c r="J3">
        <v>1.9426925711999996</v>
      </c>
      <c r="K3">
        <v>7.2663764387999992</v>
      </c>
      <c r="L3">
        <v>9.8133792090527017</v>
      </c>
      <c r="M3">
        <v>5.9634416576470928</v>
      </c>
      <c r="N3">
        <v>8.621972916599999</v>
      </c>
      <c r="O3">
        <v>6.9784064186600006</v>
      </c>
      <c r="P3">
        <v>5.9439750680000003</v>
      </c>
      <c r="Q3">
        <v>9.3769842030999975</v>
      </c>
      <c r="R3">
        <v>5.7659015617000007</v>
      </c>
      <c r="S3">
        <v>4.9435101709999989</v>
      </c>
      <c r="T3">
        <v>6.3687977963999991</v>
      </c>
      <c r="U3">
        <v>4.2012945678399998</v>
      </c>
      <c r="V3">
        <v>1.94224344706537</v>
      </c>
      <c r="W3">
        <v>5.6914977681000014</v>
      </c>
      <c r="X3">
        <v>3.5272978020000001</v>
      </c>
      <c r="Y3">
        <v>3.3474243279999998</v>
      </c>
      <c r="Z3">
        <v>1.9251146577599998</v>
      </c>
      <c r="AA3">
        <v>1.9583813354699993</v>
      </c>
      <c r="AB3">
        <v>12.688791656000001</v>
      </c>
      <c r="AC3">
        <v>4.3809950771999997</v>
      </c>
      <c r="AD3">
        <v>6.8273253735999999</v>
      </c>
      <c r="AE3">
        <v>2.3971099300000001</v>
      </c>
      <c r="AF3">
        <v>3.900568452299999</v>
      </c>
      <c r="AG3">
        <v>4.0726768946000007</v>
      </c>
      <c r="AH3">
        <v>7.5345529800000008</v>
      </c>
      <c r="AI3">
        <v>4.4405213595999999</v>
      </c>
      <c r="AJ3">
        <v>2.5034119380000006</v>
      </c>
      <c r="AK3">
        <v>5.8217415102857135</v>
      </c>
      <c r="AL3">
        <v>5.4120773374000004</v>
      </c>
      <c r="AM3">
        <v>3.1308680299499994</v>
      </c>
      <c r="AN3">
        <v>2.1530791841999997</v>
      </c>
      <c r="AO3">
        <v>4.6828832297511145</v>
      </c>
      <c r="AP3">
        <v>4.5696121390500002</v>
      </c>
      <c r="AQ3">
        <v>5.4771448991999998</v>
      </c>
      <c r="AR3">
        <v>4.5332182904499998</v>
      </c>
      <c r="AS3">
        <v>6.2772916932000005</v>
      </c>
      <c r="AT3">
        <v>7.2507659897804499</v>
      </c>
      <c r="AU3">
        <v>5.2424940364182175</v>
      </c>
      <c r="AV3">
        <v>7.8035580797046311</v>
      </c>
      <c r="AW3">
        <v>4.3081732437999998</v>
      </c>
      <c r="AX3">
        <v>5.9116515077315306</v>
      </c>
      <c r="AY3">
        <v>6.3690267548859678</v>
      </c>
      <c r="AZ3">
        <v>1.9958043233230687</v>
      </c>
      <c r="BA3">
        <v>5.0152046884003711</v>
      </c>
      <c r="BB3">
        <v>2.8197356420516986</v>
      </c>
      <c r="BC3">
        <v>6.8148693932681876</v>
      </c>
      <c r="BD3">
        <v>5.2707788291051818</v>
      </c>
      <c r="BE3">
        <v>3.9566496721089051</v>
      </c>
      <c r="BF3">
        <v>5.5692706669773777</v>
      </c>
      <c r="BG3">
        <v>4.7930427101559818</v>
      </c>
      <c r="BH3">
        <v>4.9504883473366341</v>
      </c>
      <c r="BI3">
        <v>10.871165677992973</v>
      </c>
      <c r="BJ3">
        <v>7.4679808898985423</v>
      </c>
      <c r="BK3">
        <v>19.946134186819162</v>
      </c>
      <c r="BL3">
        <v>6.4223087544769069</v>
      </c>
      <c r="BM3">
        <v>3.6916910040154773</v>
      </c>
      <c r="BN3">
        <v>3.9347221929654719</v>
      </c>
      <c r="BO3">
        <v>3.9347221929654719</v>
      </c>
      <c r="BP3">
        <v>3.9347221929654719</v>
      </c>
      <c r="BQ3">
        <v>3.6236144062996232</v>
      </c>
      <c r="BR3">
        <v>4.5734651714511285</v>
      </c>
      <c r="BS3">
        <v>6.030428868010616</v>
      </c>
      <c r="BT3">
        <v>6.5530017198397887</v>
      </c>
      <c r="BU3">
        <v>3.777933176509281</v>
      </c>
      <c r="BV3">
        <v>21.360497201093356</v>
      </c>
      <c r="BW3">
        <v>5.1578729531264251</v>
      </c>
      <c r="BX3">
        <v>7.618925827711827</v>
      </c>
      <c r="BY3">
        <v>3.010194052165716</v>
      </c>
      <c r="BZ3">
        <v>4.5653243432231205</v>
      </c>
      <c r="CA3">
        <v>2.6636050095151971</v>
      </c>
      <c r="CB3">
        <v>4.3495176746170765</v>
      </c>
      <c r="CC3">
        <v>4.424043523818284</v>
      </c>
      <c r="CD3">
        <v>1.5789424310550071</v>
      </c>
    </row>
    <row r="4" spans="1:82" x14ac:dyDescent="0.2">
      <c r="A4" s="3" t="s">
        <v>1</v>
      </c>
      <c r="B4" t="s">
        <v>72</v>
      </c>
      <c r="C4" t="s">
        <v>72</v>
      </c>
      <c r="D4" t="s">
        <v>72</v>
      </c>
      <c r="E4" t="s">
        <v>72</v>
      </c>
      <c r="F4" t="s">
        <v>72</v>
      </c>
      <c r="G4" t="s">
        <v>72</v>
      </c>
      <c r="H4" t="s">
        <v>72</v>
      </c>
      <c r="I4" t="s">
        <v>72</v>
      </c>
      <c r="J4" t="s">
        <v>72</v>
      </c>
      <c r="K4" t="s">
        <v>72</v>
      </c>
      <c r="L4" t="s">
        <v>72</v>
      </c>
      <c r="M4" t="s">
        <v>72</v>
      </c>
      <c r="N4" t="s">
        <v>72</v>
      </c>
      <c r="O4" t="s">
        <v>72</v>
      </c>
      <c r="P4" t="s">
        <v>72</v>
      </c>
      <c r="Q4" t="s">
        <v>72</v>
      </c>
      <c r="R4" t="s">
        <v>72</v>
      </c>
      <c r="S4" t="s">
        <v>72</v>
      </c>
      <c r="T4" t="s">
        <v>72</v>
      </c>
      <c r="U4" t="s">
        <v>72</v>
      </c>
      <c r="V4" t="s">
        <v>72</v>
      </c>
      <c r="W4" t="s">
        <v>72</v>
      </c>
      <c r="X4" t="s">
        <v>72</v>
      </c>
      <c r="Y4" t="s">
        <v>72</v>
      </c>
      <c r="Z4" t="s">
        <v>72</v>
      </c>
      <c r="AA4" t="s">
        <v>72</v>
      </c>
      <c r="AB4" t="s">
        <v>72</v>
      </c>
      <c r="AC4" t="s">
        <v>72</v>
      </c>
      <c r="AD4" t="s">
        <v>72</v>
      </c>
      <c r="AE4" t="s">
        <v>72</v>
      </c>
      <c r="AF4" t="s">
        <v>72</v>
      </c>
      <c r="AG4" t="s">
        <v>72</v>
      </c>
      <c r="AH4" t="s">
        <v>72</v>
      </c>
      <c r="AI4" t="s">
        <v>72</v>
      </c>
      <c r="AJ4" t="s">
        <v>72</v>
      </c>
      <c r="AK4" t="s">
        <v>72</v>
      </c>
      <c r="AL4" t="s">
        <v>72</v>
      </c>
      <c r="AM4" t="s">
        <v>72</v>
      </c>
      <c r="AN4" t="s">
        <v>72</v>
      </c>
      <c r="AO4" t="s">
        <v>72</v>
      </c>
      <c r="AP4" t="s">
        <v>72</v>
      </c>
      <c r="AQ4" t="s">
        <v>72</v>
      </c>
      <c r="AR4" t="s">
        <v>72</v>
      </c>
      <c r="AS4" t="s">
        <v>72</v>
      </c>
      <c r="AT4" t="s">
        <v>72</v>
      </c>
      <c r="AU4" t="s">
        <v>72</v>
      </c>
      <c r="AV4" t="s">
        <v>72</v>
      </c>
      <c r="AW4" t="s">
        <v>155</v>
      </c>
      <c r="AX4" t="s">
        <v>155</v>
      </c>
      <c r="AY4" t="s">
        <v>155</v>
      </c>
      <c r="AZ4" t="s">
        <v>155</v>
      </c>
      <c r="BA4" t="s">
        <v>155</v>
      </c>
      <c r="BB4" t="s">
        <v>155</v>
      </c>
      <c r="BC4" t="s">
        <v>155</v>
      </c>
      <c r="BD4" t="s">
        <v>155</v>
      </c>
      <c r="BE4" t="s">
        <v>155</v>
      </c>
      <c r="BF4" t="s">
        <v>155</v>
      </c>
      <c r="BG4" t="s">
        <v>155</v>
      </c>
      <c r="BH4" t="s">
        <v>155</v>
      </c>
      <c r="BI4" t="s">
        <v>155</v>
      </c>
      <c r="BJ4" t="s">
        <v>155</v>
      </c>
      <c r="BK4" t="s">
        <v>187</v>
      </c>
      <c r="BL4" t="s">
        <v>187</v>
      </c>
      <c r="BM4" t="s">
        <v>187</v>
      </c>
      <c r="BN4" t="s">
        <v>187</v>
      </c>
      <c r="BO4" t="s">
        <v>187</v>
      </c>
      <c r="BP4" t="s">
        <v>187</v>
      </c>
      <c r="BQ4" t="s">
        <v>187</v>
      </c>
      <c r="BR4" t="s">
        <v>187</v>
      </c>
      <c r="BS4" t="s">
        <v>187</v>
      </c>
      <c r="BT4" t="s">
        <v>187</v>
      </c>
      <c r="BU4" t="s">
        <v>187</v>
      </c>
      <c r="BV4" t="s">
        <v>187</v>
      </c>
      <c r="BW4" t="s">
        <v>187</v>
      </c>
      <c r="BX4" t="s">
        <v>187</v>
      </c>
      <c r="BY4" t="s">
        <v>187</v>
      </c>
      <c r="BZ4" t="s">
        <v>187</v>
      </c>
      <c r="CA4" t="s">
        <v>187</v>
      </c>
      <c r="CB4" t="s">
        <v>187</v>
      </c>
      <c r="CC4" t="s">
        <v>187</v>
      </c>
      <c r="CD4" t="s">
        <v>187</v>
      </c>
    </row>
    <row r="5" spans="1:82" x14ac:dyDescent="0.2">
      <c r="A5" s="3" t="s">
        <v>0</v>
      </c>
      <c r="B5" t="s">
        <v>29</v>
      </c>
      <c r="C5" t="s">
        <v>30</v>
      </c>
      <c r="D5" t="s">
        <v>31</v>
      </c>
      <c r="E5" t="s">
        <v>32</v>
      </c>
      <c r="F5" t="s">
        <v>33</v>
      </c>
      <c r="G5" t="s">
        <v>34</v>
      </c>
      <c r="H5" t="s">
        <v>35</v>
      </c>
      <c r="I5" t="s">
        <v>36</v>
      </c>
      <c r="J5" t="s">
        <v>37</v>
      </c>
      <c r="K5" t="s">
        <v>38</v>
      </c>
      <c r="L5" t="s">
        <v>39</v>
      </c>
      <c r="M5" t="s">
        <v>40</v>
      </c>
      <c r="N5" t="s">
        <v>41</v>
      </c>
      <c r="O5" t="s">
        <v>42</v>
      </c>
      <c r="P5" t="s">
        <v>43</v>
      </c>
      <c r="Q5" t="s">
        <v>44</v>
      </c>
      <c r="R5" t="s">
        <v>45</v>
      </c>
      <c r="S5" t="s">
        <v>46</v>
      </c>
      <c r="T5" t="s">
        <v>47</v>
      </c>
      <c r="U5" t="s">
        <v>48</v>
      </c>
      <c r="V5" t="s">
        <v>96</v>
      </c>
      <c r="W5" t="s">
        <v>49</v>
      </c>
      <c r="X5" t="s">
        <v>50</v>
      </c>
      <c r="Y5" t="s">
        <v>51</v>
      </c>
      <c r="Z5" t="s">
        <v>52</v>
      </c>
      <c r="AA5" t="s">
        <v>53</v>
      </c>
      <c r="AB5" t="s">
        <v>54</v>
      </c>
      <c r="AC5" t="s">
        <v>55</v>
      </c>
      <c r="AD5" t="s">
        <v>56</v>
      </c>
      <c r="AE5" t="s">
        <v>57</v>
      </c>
      <c r="AF5" t="s">
        <v>58</v>
      </c>
      <c r="AG5" t="s">
        <v>59</v>
      </c>
      <c r="AH5" t="s">
        <v>60</v>
      </c>
      <c r="AI5" t="s">
        <v>61</v>
      </c>
      <c r="AJ5" t="s">
        <v>62</v>
      </c>
      <c r="AK5" t="s">
        <v>63</v>
      </c>
      <c r="AL5" t="s">
        <v>64</v>
      </c>
      <c r="AM5" t="s">
        <v>65</v>
      </c>
      <c r="AN5" t="s">
        <v>66</v>
      </c>
      <c r="AO5" t="s">
        <v>67</v>
      </c>
      <c r="AP5" t="s">
        <v>68</v>
      </c>
      <c r="AQ5" t="s">
        <v>69</v>
      </c>
      <c r="AR5" t="s">
        <v>70</v>
      </c>
      <c r="AS5" t="s">
        <v>71</v>
      </c>
      <c r="AT5" t="s">
        <v>121</v>
      </c>
      <c r="AU5" t="s">
        <v>122</v>
      </c>
      <c r="AV5" t="s">
        <v>125</v>
      </c>
      <c r="AW5" t="s">
        <v>147</v>
      </c>
      <c r="AX5" t="s">
        <v>148</v>
      </c>
      <c r="AY5" t="s">
        <v>149</v>
      </c>
      <c r="AZ5" t="s">
        <v>150</v>
      </c>
      <c r="BA5" t="s">
        <v>151</v>
      </c>
      <c r="BB5" t="s">
        <v>152</v>
      </c>
      <c r="BC5" t="s">
        <v>153</v>
      </c>
      <c r="BD5" t="s">
        <v>154</v>
      </c>
      <c r="BE5" t="s">
        <v>141</v>
      </c>
      <c r="BF5" t="s">
        <v>142</v>
      </c>
      <c r="BG5" t="s">
        <v>143</v>
      </c>
      <c r="BH5" t="s">
        <v>144</v>
      </c>
      <c r="BI5" t="s">
        <v>145</v>
      </c>
      <c r="BJ5" t="s">
        <v>146</v>
      </c>
      <c r="BK5" t="s">
        <v>177</v>
      </c>
      <c r="BL5" t="s">
        <v>179</v>
      </c>
      <c r="BM5" t="s">
        <v>180</v>
      </c>
      <c r="BN5" t="s">
        <v>181</v>
      </c>
      <c r="BO5" t="s">
        <v>181</v>
      </c>
      <c r="BP5" t="s">
        <v>181</v>
      </c>
      <c r="BQ5" t="s">
        <v>182</v>
      </c>
      <c r="BR5" t="s">
        <v>183</v>
      </c>
      <c r="BS5" t="s">
        <v>184</v>
      </c>
      <c r="BT5" t="s">
        <v>185</v>
      </c>
      <c r="BU5" t="s">
        <v>186</v>
      </c>
      <c r="BV5" t="s">
        <v>170</v>
      </c>
      <c r="BW5" t="s">
        <v>171</v>
      </c>
      <c r="BX5" t="s">
        <v>172</v>
      </c>
      <c r="BY5" t="s">
        <v>173</v>
      </c>
      <c r="BZ5" t="s">
        <v>174</v>
      </c>
      <c r="CA5" t="s">
        <v>175</v>
      </c>
      <c r="CB5" t="s">
        <v>176</v>
      </c>
      <c r="CC5" t="s">
        <v>178</v>
      </c>
      <c r="CD5" t="s">
        <v>189</v>
      </c>
    </row>
    <row r="6" spans="1:82" x14ac:dyDescent="0.2">
      <c r="A6" s="3" t="s">
        <v>239</v>
      </c>
    </row>
    <row r="7" spans="1:82" x14ac:dyDescent="0.2">
      <c r="A7" s="3">
        <v>-147</v>
      </c>
      <c r="B7">
        <v>-2.4358307196169422</v>
      </c>
      <c r="C7">
        <v>0.24186928418217823</v>
      </c>
      <c r="D7">
        <v>-1.6181502050282925</v>
      </c>
      <c r="E7">
        <v>0.2454338852240113</v>
      </c>
      <c r="F7">
        <v>-2.067654668068398</v>
      </c>
      <c r="G7">
        <v>-2.067654668068398</v>
      </c>
      <c r="H7">
        <v>-1.2352054621897635E-2</v>
      </c>
      <c r="I7">
        <v>-0.55053906862427548</v>
      </c>
      <c r="J7">
        <v>-0.59671495398696528</v>
      </c>
      <c r="K7">
        <v>-0.30618110547463062</v>
      </c>
      <c r="L7">
        <v>-0.20564349816769897</v>
      </c>
      <c r="M7">
        <v>1.2157362334582318E-2</v>
      </c>
      <c r="N7">
        <v>-0.42835988155027616</v>
      </c>
      <c r="O7">
        <v>0.24231922383211019</v>
      </c>
      <c r="P7">
        <v>-0.3829684095317813</v>
      </c>
      <c r="Q7">
        <v>-0.48260055593892792</v>
      </c>
      <c r="R7">
        <v>-0.33939320700509118</v>
      </c>
      <c r="S7">
        <v>3.2111836128493401E-3</v>
      </c>
      <c r="T7">
        <v>-0.26841844831194078</v>
      </c>
      <c r="U7">
        <v>-0.26660529934630101</v>
      </c>
      <c r="V7">
        <v>-0.14761456340348539</v>
      </c>
      <c r="W7">
        <v>-0.11315476813283878</v>
      </c>
      <c r="X7">
        <v>-4.6255669626248212E-3</v>
      </c>
      <c r="Y7">
        <v>-0.14598137343010917</v>
      </c>
      <c r="Z7">
        <v>-8.9880823278102734E-2</v>
      </c>
      <c r="AA7">
        <v>-5.8180650075276653E-2</v>
      </c>
      <c r="AB7">
        <v>0.27161510623231161</v>
      </c>
      <c r="AC7">
        <v>-9.3808725577629523E-3</v>
      </c>
      <c r="AD7">
        <v>-0.46081677910421903</v>
      </c>
      <c r="AE7">
        <v>-1.13066199685443E-3</v>
      </c>
      <c r="AF7">
        <v>0.1834384178628721</v>
      </c>
      <c r="AG7">
        <v>-0.24848273660049899</v>
      </c>
      <c r="AH7">
        <v>0.24925281239204622</v>
      </c>
      <c r="AI7">
        <v>-1.3092118866589798E-2</v>
      </c>
      <c r="AJ7">
        <v>1.7682328516123148E-2</v>
      </c>
      <c r="AK7">
        <v>8.7656034093326514E-3</v>
      </c>
      <c r="AL7">
        <v>6.8197367142657825E-2</v>
      </c>
      <c r="AM7">
        <v>-7.2069051314372787E-2</v>
      </c>
      <c r="AN7">
        <v>-0.20508414547459522</v>
      </c>
      <c r="AO7">
        <v>-5.2646455310639394E-3</v>
      </c>
      <c r="AP7">
        <v>-0.11723382132393939</v>
      </c>
      <c r="AQ7">
        <v>-9.9748248145693524E-2</v>
      </c>
      <c r="AR7">
        <v>1.2453919365292866E-2</v>
      </c>
      <c r="AS7">
        <v>0.128324528129733</v>
      </c>
      <c r="AT7">
        <v>0.11542038690476181</v>
      </c>
      <c r="AU7">
        <v>-0.16386674374950141</v>
      </c>
      <c r="AV7">
        <v>-0.13376076886443036</v>
      </c>
      <c r="AW7">
        <v>-0.66880850240486767</v>
      </c>
      <c r="AX7">
        <v>0.26535973581327038</v>
      </c>
      <c r="AY7">
        <v>-0.20337886118294127</v>
      </c>
      <c r="AZ7">
        <v>-0.16024154870688476</v>
      </c>
      <c r="BA7">
        <v>-5.0266594573214205E-3</v>
      </c>
      <c r="BB7" t="s">
        <v>120</v>
      </c>
      <c r="BC7">
        <v>-1.8044400377338773E-2</v>
      </c>
      <c r="BD7">
        <v>-0.26711183664750032</v>
      </c>
      <c r="BE7" t="s">
        <v>120</v>
      </c>
      <c r="BF7">
        <v>-0.18037103795680831</v>
      </c>
      <c r="BG7">
        <v>-0.42721859938433299</v>
      </c>
      <c r="BH7">
        <v>-1.4093463923655243E-2</v>
      </c>
      <c r="BI7">
        <v>-0.33604661461447316</v>
      </c>
      <c r="BJ7">
        <v>-1.390937234268734E-2</v>
      </c>
      <c r="BK7">
        <v>9.0094589752618387E-2</v>
      </c>
      <c r="BL7">
        <v>-5.938746653446534E-2</v>
      </c>
      <c r="BM7">
        <v>6.1578374330689231E-2</v>
      </c>
      <c r="BN7">
        <v>-0.30055031808866084</v>
      </c>
      <c r="BO7">
        <v>-0.3451256914203667</v>
      </c>
      <c r="BP7">
        <v>-0.23676738609261938</v>
      </c>
      <c r="BQ7">
        <v>-0.29064849931366532</v>
      </c>
      <c r="BR7">
        <v>-6.9759502973145468E-2</v>
      </c>
      <c r="BS7">
        <v>-1.0329733089524826E-2</v>
      </c>
      <c r="BT7">
        <v>-0.14860353988855035</v>
      </c>
      <c r="BU7">
        <v>0</v>
      </c>
      <c r="BV7">
        <v>3.6704992220785597E-2</v>
      </c>
      <c r="BW7">
        <v>-0.1543313921714306</v>
      </c>
      <c r="BX7">
        <v>-1.2217237140741139E-3</v>
      </c>
      <c r="BY7">
        <v>-9.586671582695579E-3</v>
      </c>
      <c r="BZ7">
        <v>-0.17719655458618921</v>
      </c>
      <c r="CA7">
        <v>-3.0963248947039657E-2</v>
      </c>
      <c r="CB7">
        <v>-2.3589026089968087E-3</v>
      </c>
      <c r="CC7">
        <v>7.0988189606439475E-2</v>
      </c>
      <c r="CD7">
        <v>-2.4405635133081551E-2</v>
      </c>
    </row>
    <row r="8" spans="1:82" x14ac:dyDescent="0.2">
      <c r="A8" s="3">
        <v>-137</v>
      </c>
      <c r="B8">
        <v>3.188602419665322E-2</v>
      </c>
      <c r="C8">
        <v>-0.25952397645824959</v>
      </c>
      <c r="D8">
        <v>-1.7645891843921022</v>
      </c>
      <c r="E8">
        <v>6.0929904018875561E-2</v>
      </c>
      <c r="F8">
        <v>-2.2544289470589014</v>
      </c>
      <c r="G8">
        <v>-2.2544289470589014</v>
      </c>
      <c r="H8">
        <v>1.3253664448313496E-2</v>
      </c>
      <c r="I8">
        <v>-0.69605999967477594</v>
      </c>
      <c r="J8">
        <v>3.3850203465370821E-2</v>
      </c>
      <c r="K8">
        <v>-0.35691753356126033</v>
      </c>
      <c r="L8">
        <v>-0.23563425384298645</v>
      </c>
      <c r="M8">
        <v>-0.83613040673471617</v>
      </c>
      <c r="N8">
        <v>-0.48246085730782329</v>
      </c>
      <c r="O8">
        <v>-0.2155443456051124</v>
      </c>
      <c r="P8">
        <v>-0.37184287857835291</v>
      </c>
      <c r="Q8">
        <v>-0.60364155177652334</v>
      </c>
      <c r="R8">
        <v>-0.35899874415710803</v>
      </c>
      <c r="S8">
        <v>4.796383154653674E-3</v>
      </c>
      <c r="T8">
        <v>-0.31478464168353582</v>
      </c>
      <c r="U8">
        <v>-0.26574395172787407</v>
      </c>
      <c r="V8">
        <v>-0.16273376019331567</v>
      </c>
      <c r="W8">
        <v>0.12141424025932336</v>
      </c>
      <c r="X8">
        <v>-9.4982063683280889E-3</v>
      </c>
      <c r="Y8">
        <v>-7.009854281905803E-2</v>
      </c>
      <c r="Z8">
        <v>7.950721866022846E-2</v>
      </c>
      <c r="AA8">
        <v>6.8047144117146519E-2</v>
      </c>
      <c r="AB8">
        <v>-0.21813851377389709</v>
      </c>
      <c r="AC8">
        <v>-0.47575480050414054</v>
      </c>
      <c r="AD8">
        <v>-0.44893378932980654</v>
      </c>
      <c r="AE8">
        <v>-0.46256359824298904</v>
      </c>
      <c r="AF8">
        <v>-0.26287383058645397</v>
      </c>
      <c r="AG8">
        <v>-0.23222963653341644</v>
      </c>
      <c r="AH8">
        <v>-0.26282426040538032</v>
      </c>
      <c r="AI8">
        <v>4.6261084340784658E-2</v>
      </c>
      <c r="AJ8">
        <v>-1.8973009429708754E-2</v>
      </c>
      <c r="AK8">
        <v>-0.20401090078980366</v>
      </c>
      <c r="AL8">
        <v>-0.17105801436152698</v>
      </c>
      <c r="AM8">
        <v>7.4443761449660584E-2</v>
      </c>
      <c r="AN8">
        <v>-0.24144772717552335</v>
      </c>
      <c r="AO8">
        <v>-0.25248682063861461</v>
      </c>
      <c r="AP8">
        <v>-0.15713698672552115</v>
      </c>
      <c r="AQ8">
        <v>-0.14529718273747552</v>
      </c>
      <c r="AR8">
        <v>-0.17714064312677247</v>
      </c>
      <c r="AS8">
        <v>-0.10671656671231643</v>
      </c>
      <c r="AT8">
        <v>-7.9747053828552614E-2</v>
      </c>
      <c r="AU8">
        <v>-0.25620576064952039</v>
      </c>
      <c r="AV8">
        <v>-0.15645943801768461</v>
      </c>
      <c r="AW8">
        <v>-0.84856509466240837</v>
      </c>
      <c r="AX8">
        <v>-0.38013157531292741</v>
      </c>
      <c r="AY8">
        <v>-0.12728269024777</v>
      </c>
      <c r="AZ8">
        <v>-0.19674156356031788</v>
      </c>
      <c r="BA8">
        <v>5.3935689067609403E-3</v>
      </c>
      <c r="BB8" t="s">
        <v>120</v>
      </c>
      <c r="BC8">
        <v>8.0229487732379617E-3</v>
      </c>
      <c r="BD8">
        <v>8.0342842714629562E-2</v>
      </c>
      <c r="BE8">
        <v>-2.3112220485715308E-2</v>
      </c>
      <c r="BF8">
        <v>-0.24824033862482808</v>
      </c>
      <c r="BG8">
        <v>4.7351363801608377E-2</v>
      </c>
      <c r="BH8">
        <v>-1.4123290124602248E-3</v>
      </c>
      <c r="BI8">
        <v>-0.23024520038688212</v>
      </c>
      <c r="BJ8">
        <v>1.0469534101277087E-2</v>
      </c>
      <c r="BK8">
        <v>6.2676562444597683E-2</v>
      </c>
      <c r="BL8">
        <v>-6.1332702636718722E-2</v>
      </c>
      <c r="BM8">
        <v>-7.1605181171946294E-2</v>
      </c>
      <c r="BN8">
        <v>-0.39439155411546167</v>
      </c>
      <c r="BO8">
        <v>-4.9842597794359109E-2</v>
      </c>
      <c r="BP8">
        <v>-0.27529241742878802</v>
      </c>
      <c r="BQ8">
        <v>-0.44556996422092371</v>
      </c>
      <c r="BR8">
        <v>0.15307685406538651</v>
      </c>
      <c r="BS8">
        <v>0.14086987571994708</v>
      </c>
      <c r="BT8">
        <v>-0.17252209122743578</v>
      </c>
      <c r="BU8">
        <v>0.22408166593008649</v>
      </c>
      <c r="BV8">
        <v>-2.281533540600391E-2</v>
      </c>
      <c r="BW8">
        <v>-0.18485983618854526</v>
      </c>
      <c r="BX8">
        <v>1.0483062553207135E-3</v>
      </c>
      <c r="BY8">
        <v>4.0408280644103296E-2</v>
      </c>
      <c r="BZ8">
        <v>-0.13782946732792514</v>
      </c>
      <c r="CA8">
        <v>-7.4603171244154803E-2</v>
      </c>
      <c r="CB8">
        <v>3.9219461798377852E-3</v>
      </c>
      <c r="CC8">
        <v>-0.23474166167043317</v>
      </c>
      <c r="CD8">
        <v>-2.519246261485291E-2</v>
      </c>
    </row>
    <row r="9" spans="1:82" x14ac:dyDescent="0.2">
      <c r="A9" s="3">
        <v>-127</v>
      </c>
      <c r="B9">
        <v>-3.4396734763319052E-2</v>
      </c>
      <c r="C9">
        <v>-0.38281560882808585</v>
      </c>
      <c r="D9">
        <v>-2.0791366457000473</v>
      </c>
      <c r="E9">
        <v>-6.5727534256582246E-2</v>
      </c>
      <c r="F9">
        <v>5.5940282626413297E-2</v>
      </c>
      <c r="G9">
        <v>5.5940282626413297E-2</v>
      </c>
      <c r="H9">
        <v>-0.29279531644085161</v>
      </c>
      <c r="I9">
        <v>-0.84477451654869684</v>
      </c>
      <c r="J9">
        <v>1.4983109601839377E-2</v>
      </c>
      <c r="K9">
        <v>-0.358300879421665</v>
      </c>
      <c r="L9">
        <v>-0.26705955144927124</v>
      </c>
      <c r="M9">
        <v>2.6856550081508647E-2</v>
      </c>
      <c r="N9">
        <v>-0.58818829153466368</v>
      </c>
      <c r="O9">
        <v>-0.18525674774890788</v>
      </c>
      <c r="P9">
        <v>9.0852271853469682E-2</v>
      </c>
      <c r="Q9">
        <v>-0.78680334316463851</v>
      </c>
      <c r="R9">
        <v>-0.33434258858988503</v>
      </c>
      <c r="S9">
        <v>-2.1218442541407451E-2</v>
      </c>
      <c r="T9">
        <v>-0.31442843459722442</v>
      </c>
      <c r="U9">
        <v>-0.31154145969180586</v>
      </c>
      <c r="V9">
        <v>-0.15604082993634985</v>
      </c>
      <c r="W9">
        <v>0.14786012904850471</v>
      </c>
      <c r="X9">
        <v>5.3540027047704903E-3</v>
      </c>
      <c r="Y9">
        <v>0.16346377275121457</v>
      </c>
      <c r="Z9">
        <v>7.8303723823366131E-2</v>
      </c>
      <c r="AA9">
        <v>8.7920342843363392E-2</v>
      </c>
      <c r="AB9">
        <v>0.22564266985795589</v>
      </c>
      <c r="AC9">
        <v>-0.5980288738340831</v>
      </c>
      <c r="AD9">
        <v>-0.45264135946438894</v>
      </c>
      <c r="AE9">
        <v>4.5311822665957451E-2</v>
      </c>
      <c r="AF9">
        <v>0.24478503099576612</v>
      </c>
      <c r="AG9">
        <v>-0.32960696483221535</v>
      </c>
      <c r="AH9">
        <v>0.28351908405934723</v>
      </c>
      <c r="AI9">
        <v>1.5153869869202365E-2</v>
      </c>
      <c r="AJ9">
        <v>2.2669499314675615E-2</v>
      </c>
      <c r="AK9">
        <v>7.2737566129448721E-4</v>
      </c>
      <c r="AL9">
        <v>-0.1931380925216063</v>
      </c>
      <c r="AM9">
        <v>8.1173363633042533E-2</v>
      </c>
      <c r="AN9">
        <v>-0.26450690322034803</v>
      </c>
      <c r="AO9">
        <v>-0.27922085138756381</v>
      </c>
      <c r="AP9">
        <v>-0.19878102099801576</v>
      </c>
      <c r="AQ9">
        <v>0.15153724189818307</v>
      </c>
      <c r="AR9">
        <v>-1.0512325707383072E-2</v>
      </c>
      <c r="AS9">
        <v>-0.10114553406482558</v>
      </c>
      <c r="AT9">
        <v>-8.9322938693789961E-2</v>
      </c>
      <c r="AU9">
        <v>-0.29526009146622723</v>
      </c>
      <c r="AV9">
        <v>-0.22918971955306827</v>
      </c>
      <c r="AW9">
        <v>-0.90462499903881533</v>
      </c>
      <c r="AX9">
        <v>0.30620034285417669</v>
      </c>
      <c r="AY9">
        <v>-0.28046455533485637</v>
      </c>
      <c r="AZ9">
        <v>-0.24291466540238937</v>
      </c>
      <c r="BA9">
        <v>1.825669556465077E-2</v>
      </c>
      <c r="BB9" t="s">
        <v>120</v>
      </c>
      <c r="BD9">
        <v>0.12845072408360747</v>
      </c>
      <c r="BE9">
        <v>0</v>
      </c>
      <c r="BF9">
        <v>-0.26983738696481219</v>
      </c>
      <c r="BG9">
        <v>-3.5016743216927958E-2</v>
      </c>
      <c r="BH9">
        <v>1.5235360213153467E-3</v>
      </c>
      <c r="BI9">
        <v>-0.2809835193664067</v>
      </c>
      <c r="BJ9">
        <v>-3.0517578124999677E-2</v>
      </c>
      <c r="BK9">
        <v>-6.7611724841810106E-2</v>
      </c>
      <c r="BL9">
        <v>-7.3704937311607988E-2</v>
      </c>
      <c r="BM9">
        <v>0.11413958692175172</v>
      </c>
      <c r="BN9">
        <v>6.3874852938917382E-3</v>
      </c>
      <c r="BO9">
        <v>-0.36848021679975829</v>
      </c>
      <c r="BP9">
        <v>-0.34890671977846494</v>
      </c>
      <c r="BQ9">
        <v>-0.16395518535704093</v>
      </c>
      <c r="BR9">
        <v>8.0745251472853427E-2</v>
      </c>
      <c r="BS9">
        <v>-9.5028695534533303E-2</v>
      </c>
      <c r="BT9">
        <v>-0.23198063041907219</v>
      </c>
      <c r="BU9">
        <v>-7.2544248085321658E-2</v>
      </c>
      <c r="BV9">
        <v>2.3843675147829986E-2</v>
      </c>
      <c r="BW9">
        <v>-0.19922462598545274</v>
      </c>
      <c r="BX9">
        <v>4.0779419503141224E-3</v>
      </c>
      <c r="BY9">
        <v>-0.45547488355261068</v>
      </c>
      <c r="BZ9">
        <v>1.5120258481483354E-2</v>
      </c>
      <c r="CA9">
        <v>-0.1175438888429652</v>
      </c>
      <c r="CB9">
        <v>-2.3220257496270536E-2</v>
      </c>
      <c r="CC9">
        <v>-9.6684239980742132E-2</v>
      </c>
      <c r="CD9">
        <v>-7.7262780797763039E-2</v>
      </c>
    </row>
    <row r="10" spans="1:82" x14ac:dyDescent="0.2">
      <c r="A10" s="3">
        <v>-117</v>
      </c>
      <c r="B10">
        <v>0.50859650179871374</v>
      </c>
      <c r="C10">
        <v>0.44743541163257006</v>
      </c>
      <c r="D10">
        <v>-2.278584667760077</v>
      </c>
      <c r="E10">
        <v>-1.1255828335753868</v>
      </c>
      <c r="F10">
        <v>-2.4718863984458417</v>
      </c>
      <c r="G10">
        <v>-2.4718863984458417</v>
      </c>
      <c r="H10">
        <v>2.0060449583917509E-2</v>
      </c>
      <c r="I10">
        <v>-1.0324751536051426</v>
      </c>
      <c r="J10">
        <v>-1.6263717260116245E-2</v>
      </c>
      <c r="K10">
        <v>4.1390904376649815E-2</v>
      </c>
      <c r="L10">
        <v>-0.30269632584009271</v>
      </c>
      <c r="M10">
        <v>-1.5274634728064965E-2</v>
      </c>
      <c r="N10">
        <v>0.21073841844868463</v>
      </c>
      <c r="O10">
        <v>0.2010906578129171</v>
      </c>
      <c r="P10">
        <v>-0.44593250242053895</v>
      </c>
      <c r="Q10">
        <v>-0.86173657474354703</v>
      </c>
      <c r="R10">
        <v>-0.39705246330326327</v>
      </c>
      <c r="S10">
        <v>-4.0345640264004227E-3</v>
      </c>
      <c r="T10">
        <v>2.0877805530521262E-3</v>
      </c>
      <c r="U10">
        <v>4.4845189803685896E-2</v>
      </c>
      <c r="V10">
        <v>-0.20172620430970725</v>
      </c>
      <c r="W10">
        <v>-0.15170281565087435</v>
      </c>
      <c r="X10">
        <v>5.6276761568509859E-2</v>
      </c>
      <c r="Y10">
        <v>8.2081199711204686E-2</v>
      </c>
      <c r="Z10">
        <v>-0.14231484160464017</v>
      </c>
      <c r="AA10">
        <v>-0.13611821639232094</v>
      </c>
      <c r="AB10">
        <v>-0.24492836813641367</v>
      </c>
      <c r="AC10">
        <v>-0.7168229094937304</v>
      </c>
      <c r="AD10">
        <v>-0.51921518439920433</v>
      </c>
      <c r="AE10">
        <v>1.4205753293811765E-3</v>
      </c>
      <c r="AF10">
        <v>-0.32972294245010769</v>
      </c>
      <c r="AG10">
        <v>-1.460931239984187E-3</v>
      </c>
      <c r="AH10">
        <v>-0.49845009176140093</v>
      </c>
      <c r="AI10">
        <v>-2.1048717009715393E-2</v>
      </c>
      <c r="AJ10">
        <v>-0.2951551095033299</v>
      </c>
      <c r="AK10">
        <v>-7.8954452123418688E-4</v>
      </c>
      <c r="AL10">
        <v>-0.24672715276734355</v>
      </c>
      <c r="AM10">
        <v>-8.7169190757294873E-2</v>
      </c>
      <c r="AN10">
        <v>-0.27338715903779226</v>
      </c>
      <c r="AO10">
        <v>-0.35164358677008117</v>
      </c>
      <c r="AP10">
        <v>-0.19184748331705642</v>
      </c>
      <c r="AQ10">
        <v>0.13232113764836198</v>
      </c>
      <c r="AR10">
        <v>1.1410815084082478E-2</v>
      </c>
      <c r="AS10">
        <v>0.10979045150626367</v>
      </c>
      <c r="AT10">
        <v>9.3379028841980405E-2</v>
      </c>
      <c r="AU10">
        <v>-0.35562582097501766</v>
      </c>
      <c r="AV10">
        <v>-0.19690606858995188</v>
      </c>
      <c r="AW10">
        <v>-0.97350200424846367</v>
      </c>
      <c r="AX10">
        <v>-0.4766581608698911</v>
      </c>
      <c r="AY10">
        <v>-0.2501773589696637</v>
      </c>
      <c r="AZ10">
        <v>-0.29566150241427902</v>
      </c>
      <c r="BA10">
        <v>-1.8747710094832327E-2</v>
      </c>
      <c r="BB10" t="s">
        <v>120</v>
      </c>
      <c r="BC10">
        <v>0</v>
      </c>
      <c r="BD10">
        <v>-0.24631601317315938</v>
      </c>
      <c r="BE10">
        <v>4.0925082997378653E-2</v>
      </c>
      <c r="BF10">
        <v>-0.36096771761902269</v>
      </c>
      <c r="BG10">
        <v>3.8009627252562794E-2</v>
      </c>
      <c r="BH10">
        <v>3.1125256138988457E-2</v>
      </c>
      <c r="BI10">
        <v>-0.32933731568165253</v>
      </c>
      <c r="BJ10" t="s">
        <v>120</v>
      </c>
      <c r="BK10">
        <v>-0.21383830521714103</v>
      </c>
      <c r="BL10">
        <v>-9.8162659213074224E-2</v>
      </c>
      <c r="BM10">
        <v>-0.13339347513312932</v>
      </c>
      <c r="BN10">
        <v>-0.57242649437015858</v>
      </c>
      <c r="BO10">
        <v>-0.43377948011088546</v>
      </c>
      <c r="BP10">
        <v>-0.43331165802784322</v>
      </c>
      <c r="BQ10">
        <v>-0.12103691264095427</v>
      </c>
      <c r="BR10">
        <v>-0.19838330412861982</v>
      </c>
      <c r="BS10">
        <v>1.2978382599659395E-2</v>
      </c>
      <c r="BT10">
        <v>-0.1181785428625903</v>
      </c>
      <c r="BU10" t="s">
        <v>120</v>
      </c>
      <c r="BV10">
        <v>-2.5881596100635972E-2</v>
      </c>
      <c r="BW10">
        <v>-0.22443702485826153</v>
      </c>
      <c r="BX10">
        <v>-1.2275039058028867E-3</v>
      </c>
      <c r="BY10">
        <v>1.204479250133547E-2</v>
      </c>
      <c r="BZ10">
        <v>-0.20134239522819755</v>
      </c>
      <c r="CA10">
        <v>-0.11092611459585308</v>
      </c>
      <c r="CB10">
        <v>-1.9308192098242413E-2</v>
      </c>
      <c r="CC10">
        <v>-0.27848817344404569</v>
      </c>
      <c r="CD10">
        <v>-6.771328102829087E-2</v>
      </c>
    </row>
    <row r="11" spans="1:82" x14ac:dyDescent="0.2">
      <c r="A11" s="3">
        <v>-107</v>
      </c>
      <c r="B11">
        <v>0.62034328852858389</v>
      </c>
      <c r="C11">
        <v>0.6153102589544841</v>
      </c>
      <c r="D11">
        <v>-2.6773991094571308</v>
      </c>
      <c r="E11">
        <v>-1.3588057188230136</v>
      </c>
      <c r="F11">
        <v>-9.4366626204733697E-2</v>
      </c>
      <c r="G11">
        <v>-9.4366626204733697E-2</v>
      </c>
      <c r="H11">
        <v>-1.1919966367917308E-2</v>
      </c>
      <c r="I11">
        <v>-1.1698928013026149</v>
      </c>
      <c r="J11">
        <v>-0.85438872720593551</v>
      </c>
      <c r="K11">
        <v>6.5443560376623647E-2</v>
      </c>
      <c r="L11">
        <v>-0.30064577477000509</v>
      </c>
      <c r="M11">
        <v>-1.291299909074729</v>
      </c>
      <c r="N11">
        <v>-0.66454536224079996</v>
      </c>
      <c r="O11">
        <v>-0.31516618817766068</v>
      </c>
      <c r="P11">
        <v>1.126155675014626E-2</v>
      </c>
      <c r="Q11">
        <v>-1.1607887588928785</v>
      </c>
      <c r="R11">
        <v>-0.46275408914155985</v>
      </c>
      <c r="S11">
        <v>1.0497464331511013</v>
      </c>
      <c r="T11">
        <v>0.28584767279223922</v>
      </c>
      <c r="U11">
        <v>-0.32323905017888366</v>
      </c>
      <c r="V11">
        <v>-0.28476543961284251</v>
      </c>
      <c r="W11">
        <v>-0.19397735595703081</v>
      </c>
      <c r="X11">
        <v>-0.3755773383880322</v>
      </c>
      <c r="Y11">
        <v>-4.0078100757064007E-2</v>
      </c>
      <c r="Z11">
        <v>0.15888183362015981</v>
      </c>
      <c r="AA11">
        <v>0.15256973961803322</v>
      </c>
      <c r="AB11">
        <v>-0.32076702830947473</v>
      </c>
      <c r="AC11">
        <v>0.15473626038738547</v>
      </c>
      <c r="AD11">
        <v>0.13425267299759067</v>
      </c>
      <c r="AE11">
        <v>0.13773988563323644</v>
      </c>
      <c r="AF11">
        <v>-0.35482282727678222</v>
      </c>
      <c r="AG11">
        <v>-0.38602008997836867</v>
      </c>
      <c r="AH11">
        <v>-0.63807639006142247</v>
      </c>
      <c r="AI11">
        <v>6.8290567843714012E-2</v>
      </c>
      <c r="AJ11">
        <v>8.5602697925028209E-3</v>
      </c>
      <c r="AK11">
        <v>5.0542813595210283E-2</v>
      </c>
      <c r="AL11">
        <v>-0.28511614220164577</v>
      </c>
      <c r="AM11">
        <v>0.11370553702951589</v>
      </c>
      <c r="AN11">
        <v>2.3363630348277566E-2</v>
      </c>
      <c r="AO11">
        <v>-0.44615939844434388</v>
      </c>
      <c r="AP11">
        <v>-0.25156948053948136</v>
      </c>
      <c r="AQ11">
        <v>-0.14387346428131353</v>
      </c>
      <c r="AR11">
        <v>-0.27289535397680981</v>
      </c>
      <c r="AS11">
        <v>0.14573391352858459</v>
      </c>
      <c r="AT11">
        <v>-0.13189496429538405</v>
      </c>
      <c r="AU11">
        <v>-0.37721639258839196</v>
      </c>
      <c r="AV11">
        <v>-0.18330518419497449</v>
      </c>
      <c r="AW11">
        <v>-1.15429473591742</v>
      </c>
      <c r="AX11">
        <v>0.97912783043405927</v>
      </c>
      <c r="AY11">
        <v>0.302842770038735</v>
      </c>
      <c r="AZ11">
        <v>-0.36753720435026588</v>
      </c>
      <c r="BA11">
        <v>-0.19979924353483627</v>
      </c>
      <c r="BB11">
        <v>-0.35713502402617481</v>
      </c>
      <c r="BC11">
        <v>-1.7528783495181274E-2</v>
      </c>
      <c r="BD11">
        <v>-0.30070379738495651</v>
      </c>
      <c r="BE11">
        <v>2.0990460832542349E-3</v>
      </c>
      <c r="BF11">
        <v>-0.37613312551908273</v>
      </c>
      <c r="BG11">
        <v>-0.51872212418885932</v>
      </c>
      <c r="BH11">
        <v>-6.9078106746495323E-4</v>
      </c>
      <c r="BI11">
        <v>-0.32749989768054905</v>
      </c>
      <c r="BJ11">
        <v>3.7077431366818779E-3</v>
      </c>
      <c r="BK11">
        <v>-0.38147624446798056</v>
      </c>
      <c r="BL11">
        <v>2.7356441889967806E-2</v>
      </c>
      <c r="BM11">
        <v>-0.1625151946165844</v>
      </c>
      <c r="BN11">
        <v>-0.71107201264283315</v>
      </c>
      <c r="BO11">
        <v>-0.56303100942451212</v>
      </c>
      <c r="BP11">
        <v>-0.42462443414135376</v>
      </c>
      <c r="BQ11">
        <v>-7.6271894936249057E-2</v>
      </c>
      <c r="BR11">
        <v>0.2078509167347366</v>
      </c>
      <c r="BS11">
        <v>0.151812430408513</v>
      </c>
      <c r="BT11">
        <v>-0.3251342877420676</v>
      </c>
      <c r="BU11">
        <v>-6.4945969626167763E-2</v>
      </c>
      <c r="BV11">
        <v>-0.20695042535894709</v>
      </c>
      <c r="BW11">
        <v>-1.5914716453195334E-2</v>
      </c>
      <c r="BX11">
        <v>-3.3621896252296243E-4</v>
      </c>
      <c r="BY11">
        <v>-0.40151535461996124</v>
      </c>
      <c r="BZ11">
        <v>-0.22780644782235623</v>
      </c>
      <c r="CA11">
        <v>3.1201442825459755E-2</v>
      </c>
      <c r="CB11">
        <v>0.11312619325156512</v>
      </c>
      <c r="CC11">
        <v>-0.3134683337167033</v>
      </c>
      <c r="CD11">
        <v>-0.1036983650421424</v>
      </c>
    </row>
    <row r="12" spans="1:82" x14ac:dyDescent="0.2">
      <c r="A12" s="3">
        <v>-97</v>
      </c>
      <c r="B12">
        <v>4.0756322329806336</v>
      </c>
      <c r="C12">
        <v>3.1205162952855692</v>
      </c>
      <c r="D12">
        <v>-2.5548299415824229</v>
      </c>
      <c r="E12">
        <v>1.8299779203749107</v>
      </c>
      <c r="F12">
        <v>1.4864824432687678</v>
      </c>
      <c r="G12">
        <v>1.4864824432687678</v>
      </c>
      <c r="H12">
        <v>0.4007633248555294</v>
      </c>
      <c r="I12">
        <v>4.239822918606782</v>
      </c>
      <c r="J12">
        <v>0.38117662410146191</v>
      </c>
      <c r="K12">
        <v>1.1681409775766667</v>
      </c>
      <c r="L12">
        <v>0.36096325117288197</v>
      </c>
      <c r="M12">
        <v>0.70577357970561749</v>
      </c>
      <c r="N12">
        <v>1.2363342599770455</v>
      </c>
      <c r="O12">
        <v>0.70804631341363911</v>
      </c>
      <c r="P12">
        <v>1.2974375302029382E-2</v>
      </c>
      <c r="Q12">
        <v>-1.3619916267001739</v>
      </c>
      <c r="R12">
        <v>5.3907187943606182E-2</v>
      </c>
      <c r="S12">
        <v>4.446020775234576</v>
      </c>
      <c r="T12">
        <v>2.8011492699691884</v>
      </c>
      <c r="U12">
        <v>0.45701858677814894</v>
      </c>
      <c r="V12">
        <v>0.20406428071641497</v>
      </c>
      <c r="W12">
        <v>0.3723286894178876</v>
      </c>
      <c r="X12">
        <v>0.46228806013913559</v>
      </c>
      <c r="Y12">
        <v>0.18660555180815103</v>
      </c>
      <c r="Z12">
        <v>0.67088728344317539</v>
      </c>
      <c r="AA12">
        <v>0.67146381397837163</v>
      </c>
      <c r="AB12">
        <v>0.67754705173452989</v>
      </c>
      <c r="AC12">
        <v>2.0144218562804541</v>
      </c>
      <c r="AD12">
        <v>-0.58046537576262369</v>
      </c>
      <c r="AE12">
        <v>0.41821187796051956</v>
      </c>
      <c r="AF12">
        <v>0.61251904792392275</v>
      </c>
      <c r="AG12">
        <v>0.30006137336652317</v>
      </c>
      <c r="AH12">
        <v>-0.63755251697658244</v>
      </c>
      <c r="AI12">
        <v>0.39429721635641546</v>
      </c>
      <c r="AJ12">
        <v>0.26178715892673715</v>
      </c>
      <c r="AK12">
        <v>0.37424272360260924</v>
      </c>
      <c r="AL12">
        <v>-0.31429963259352783</v>
      </c>
      <c r="AM12">
        <v>-0.15763111704403504</v>
      </c>
      <c r="AN12">
        <v>0.10728895049734229</v>
      </c>
      <c r="AO12">
        <v>0.53236786360593191</v>
      </c>
      <c r="AP12">
        <v>-0.30317503152434228</v>
      </c>
      <c r="AQ12">
        <v>-0.24615484414641389</v>
      </c>
      <c r="AR12">
        <v>2.8842685148888138E-2</v>
      </c>
      <c r="AS12">
        <v>-0.14120318225978609</v>
      </c>
      <c r="AT12">
        <v>9.6740434259892844E-2</v>
      </c>
      <c r="AU12">
        <v>-0.46777878594152617</v>
      </c>
      <c r="AV12">
        <v>0.12796516221823101</v>
      </c>
      <c r="AW12">
        <v>-1.2471069650551696</v>
      </c>
      <c r="AX12">
        <v>1.7857998720149313</v>
      </c>
      <c r="AY12">
        <v>2.5483956255044253</v>
      </c>
      <c r="AZ12">
        <v>-0.44979461198000459</v>
      </c>
      <c r="BA12">
        <v>0.1228905903924371</v>
      </c>
      <c r="BB12">
        <v>-0.29300272833440721</v>
      </c>
      <c r="BC12">
        <v>0.2388438981832918</v>
      </c>
      <c r="BD12">
        <v>-0.55865881615078294</v>
      </c>
      <c r="BE12">
        <v>8.8382131045625811E-2</v>
      </c>
      <c r="BF12">
        <v>-0.39235233031597266</v>
      </c>
      <c r="BG12">
        <v>0.45931344179763045</v>
      </c>
      <c r="BH12">
        <v>0.11434779216333762</v>
      </c>
      <c r="BI12">
        <v>-0.35101041105604591</v>
      </c>
      <c r="BJ12">
        <v>3.0832192332473824E-2</v>
      </c>
      <c r="BK12">
        <v>-0.60690304381137039</v>
      </c>
      <c r="BL12">
        <v>0.41034619832776226</v>
      </c>
      <c r="BM12">
        <v>0.18283360274796565</v>
      </c>
      <c r="BN12">
        <v>-0.84155407148538086</v>
      </c>
      <c r="BO12">
        <v>0.22594563985608251</v>
      </c>
      <c r="BP12">
        <v>0.33370735719031908</v>
      </c>
      <c r="BQ12">
        <v>-0.22135036507832576</v>
      </c>
      <c r="BR12">
        <v>0.25786938618138883</v>
      </c>
      <c r="BS12">
        <v>1.0687934796834699</v>
      </c>
      <c r="BT12">
        <v>-7.755298385095738E-2</v>
      </c>
      <c r="BU12">
        <v>0.3226436339702799</v>
      </c>
      <c r="BV12">
        <v>0.25338513744655666</v>
      </c>
      <c r="BW12">
        <v>-2.6509860127242258E-2</v>
      </c>
      <c r="BX12">
        <v>9.2502305785053918E-2</v>
      </c>
      <c r="BY12">
        <v>-8.6115807602086078E-2</v>
      </c>
      <c r="BZ12">
        <v>-0.28937231634080945</v>
      </c>
      <c r="CA12">
        <v>0.16121590997754892</v>
      </c>
      <c r="CB12">
        <v>0.25807827199037892</v>
      </c>
      <c r="CC12">
        <v>0.1463196080984531</v>
      </c>
      <c r="CD12">
        <v>0.11548951729056738</v>
      </c>
    </row>
    <row r="13" spans="1:82" x14ac:dyDescent="0.2">
      <c r="A13" s="3">
        <v>-87</v>
      </c>
      <c r="B13">
        <v>25.632555994494155</v>
      </c>
      <c r="C13">
        <v>8.5268753095604861</v>
      </c>
      <c r="D13">
        <v>12.426750095411196</v>
      </c>
      <c r="E13">
        <v>16.351403422739256</v>
      </c>
      <c r="F13">
        <v>12.682394970422477</v>
      </c>
      <c r="G13">
        <v>12.682394970422477</v>
      </c>
      <c r="H13">
        <v>3.0873772632116481</v>
      </c>
      <c r="I13">
        <v>20.934875904828594</v>
      </c>
      <c r="J13">
        <v>4.373137419251182</v>
      </c>
      <c r="K13">
        <v>12.0500815869148</v>
      </c>
      <c r="L13">
        <v>2.8088011467593832</v>
      </c>
      <c r="M13">
        <v>13.04569867013509</v>
      </c>
      <c r="N13">
        <v>16.827030225731775</v>
      </c>
      <c r="O13">
        <v>5.5818612548126545</v>
      </c>
      <c r="P13">
        <v>0.39724275435524425</v>
      </c>
      <c r="Q13">
        <v>2.9491110834582046</v>
      </c>
      <c r="R13">
        <v>1.5059306813382483</v>
      </c>
      <c r="S13">
        <v>9.3499784798457686</v>
      </c>
      <c r="T13">
        <v>6.8042763019430144</v>
      </c>
      <c r="U13">
        <v>3.688078781654089</v>
      </c>
      <c r="V13">
        <v>1.5546542639019751</v>
      </c>
      <c r="W13">
        <v>1.7352360692517472</v>
      </c>
      <c r="X13">
        <v>2.7292170908259177</v>
      </c>
      <c r="Y13">
        <v>1.6792706018206685</v>
      </c>
      <c r="Z13">
        <v>2.2235489056028115</v>
      </c>
      <c r="AA13">
        <v>2.2190890421812512</v>
      </c>
      <c r="AB13">
        <v>2.6035411768946148</v>
      </c>
      <c r="AC13">
        <v>11.762675252454036</v>
      </c>
      <c r="AD13">
        <v>-4.4789500620173554E-2</v>
      </c>
      <c r="AE13">
        <v>2.0377124589064919</v>
      </c>
      <c r="AF13">
        <v>2.0152374245654543</v>
      </c>
      <c r="AG13">
        <v>2.2361326984975531</v>
      </c>
      <c r="AH13">
        <v>1.3820845943757791</v>
      </c>
      <c r="AI13">
        <v>1.734922913299201</v>
      </c>
      <c r="AJ13">
        <v>1.1406739991286643</v>
      </c>
      <c r="AK13">
        <v>2.3411168942506255</v>
      </c>
      <c r="AL13">
        <v>-0.47819663738382184</v>
      </c>
      <c r="AM13">
        <v>0.63342425466954022</v>
      </c>
      <c r="AN13">
        <v>1.1610470475821597</v>
      </c>
      <c r="AO13">
        <v>1.4511599924372449</v>
      </c>
      <c r="AP13">
        <v>0.25750846424322071</v>
      </c>
      <c r="AQ13">
        <v>0.74046161256987408</v>
      </c>
      <c r="AR13">
        <v>0.43807625496524538</v>
      </c>
      <c r="AS13">
        <v>0.76229254404703739</v>
      </c>
      <c r="AT13">
        <v>0.3449911724105188</v>
      </c>
      <c r="AU13">
        <v>1.2068193150662783</v>
      </c>
      <c r="AV13">
        <v>0.27078367869059206</v>
      </c>
      <c r="AW13">
        <v>1.5693283957996558</v>
      </c>
      <c r="AX13">
        <v>11.779195412822096</v>
      </c>
      <c r="AY13">
        <v>8.0055627238247951</v>
      </c>
      <c r="AZ13">
        <v>1.4094591250364741</v>
      </c>
      <c r="BA13">
        <v>1.417539611173311</v>
      </c>
      <c r="BB13">
        <v>0.79202358202002421</v>
      </c>
      <c r="BC13">
        <v>1.914907477367884</v>
      </c>
      <c r="BD13">
        <v>0.91734474006740507</v>
      </c>
      <c r="BE13">
        <v>0.64455229660560343</v>
      </c>
      <c r="BF13">
        <v>0.10136477152506494</v>
      </c>
      <c r="BG13">
        <v>1.4918771283379881</v>
      </c>
      <c r="BH13">
        <v>0.34511715242232355</v>
      </c>
      <c r="BI13">
        <v>0.19691367533015117</v>
      </c>
      <c r="BJ13">
        <v>0.39041450105864434</v>
      </c>
      <c r="BK13">
        <v>1.7197776878269859</v>
      </c>
      <c r="BL13">
        <v>2.4335689325442162</v>
      </c>
      <c r="BM13">
        <v>1.0393968340994295</v>
      </c>
      <c r="BN13">
        <v>1.1447371121110592</v>
      </c>
      <c r="BO13">
        <v>2.0045292076023125</v>
      </c>
      <c r="BP13">
        <v>2.086275210325744</v>
      </c>
      <c r="BQ13">
        <v>1.1643083945087902</v>
      </c>
      <c r="BR13">
        <v>1.2523070075959504</v>
      </c>
      <c r="BS13">
        <v>4.4894943675775609</v>
      </c>
      <c r="BT13">
        <v>0.80721641957074719</v>
      </c>
      <c r="BU13">
        <v>0.8711121657799028</v>
      </c>
      <c r="BV13">
        <v>1.050629553666971</v>
      </c>
      <c r="BW13">
        <v>0.10396765018331609</v>
      </c>
      <c r="BX13">
        <v>1.2332485875472634</v>
      </c>
      <c r="BY13">
        <v>0.32437730109554547</v>
      </c>
      <c r="BZ13">
        <v>0.27072301404229526</v>
      </c>
      <c r="CA13">
        <v>0.41596526661138378</v>
      </c>
      <c r="CB13">
        <v>0.55879790207435309</v>
      </c>
      <c r="CC13">
        <v>0.36186665776132182</v>
      </c>
      <c r="CD13">
        <v>0.41347284426634312</v>
      </c>
    </row>
    <row r="14" spans="1:82" x14ac:dyDescent="0.2">
      <c r="A14" s="3">
        <v>-77</v>
      </c>
      <c r="B14">
        <v>64.696433624663911</v>
      </c>
      <c r="C14">
        <v>12.216426131013145</v>
      </c>
      <c r="D14">
        <v>34.925377783837199</v>
      </c>
      <c r="E14">
        <v>41.400169669807731</v>
      </c>
      <c r="F14">
        <v>35.124087841479806</v>
      </c>
      <c r="G14">
        <v>35.124087841479806</v>
      </c>
      <c r="H14">
        <v>14.09296466777851</v>
      </c>
      <c r="I14">
        <v>25.098172745147245</v>
      </c>
      <c r="J14">
        <v>18.35340470153006</v>
      </c>
      <c r="K14">
        <v>35.171036508853497</v>
      </c>
      <c r="L14">
        <v>9.1158472036386424</v>
      </c>
      <c r="M14">
        <v>31.504945631151074</v>
      </c>
      <c r="N14">
        <v>20.17454112659798</v>
      </c>
      <c r="O14">
        <v>15.964807832395778</v>
      </c>
      <c r="P14">
        <v>1.6107134137834758</v>
      </c>
      <c r="Q14">
        <v>11.750105845463738</v>
      </c>
      <c r="R14">
        <v>7.5425120886270083</v>
      </c>
      <c r="S14">
        <v>12.721619544091116</v>
      </c>
      <c r="T14">
        <v>10.556649245224991</v>
      </c>
      <c r="U14">
        <v>11.171699821174919</v>
      </c>
      <c r="V14">
        <v>6.0286790922090505</v>
      </c>
      <c r="W14">
        <v>5.1488353184291302</v>
      </c>
      <c r="X14">
        <v>7.2623648705420516</v>
      </c>
      <c r="Y14">
        <v>5.33225715934456</v>
      </c>
      <c r="Z14">
        <v>5.1618316638005144</v>
      </c>
      <c r="AA14">
        <v>5.1643399511064789</v>
      </c>
      <c r="AB14">
        <v>7.5733273369925262</v>
      </c>
      <c r="AC14">
        <v>18.598702096319752</v>
      </c>
      <c r="AD14">
        <v>0.91445972393084929</v>
      </c>
      <c r="AE14">
        <v>3.6784595761980232</v>
      </c>
      <c r="AF14">
        <v>5.8359575519313962</v>
      </c>
      <c r="AG14">
        <v>5.4740465337579893</v>
      </c>
      <c r="AH14">
        <v>4.5991319433435169</v>
      </c>
      <c r="AI14">
        <v>3.9302877450918121</v>
      </c>
      <c r="AJ14">
        <v>3.989434254633907</v>
      </c>
      <c r="AK14">
        <v>4.9640641645951611</v>
      </c>
      <c r="AL14">
        <v>1.5716882185502428</v>
      </c>
      <c r="AM14">
        <v>2.7718346831086338</v>
      </c>
      <c r="AN14">
        <v>4.4974026370358171</v>
      </c>
      <c r="AO14">
        <v>2.5600384303501595</v>
      </c>
      <c r="AP14">
        <v>1.1621262686593117</v>
      </c>
      <c r="AQ14">
        <v>1.4924985464517058</v>
      </c>
      <c r="AR14">
        <v>0.99596446520322401</v>
      </c>
      <c r="AS14">
        <v>1.8017327568747763</v>
      </c>
      <c r="AT14">
        <v>1.8958537444407746</v>
      </c>
      <c r="AU14">
        <v>5.0573437678349444</v>
      </c>
      <c r="AV14">
        <v>1.1816267409881975</v>
      </c>
      <c r="AW14">
        <v>7.9512923599837659</v>
      </c>
      <c r="AX14">
        <v>21.04913518335912</v>
      </c>
      <c r="AY14">
        <v>14.216757361506939</v>
      </c>
      <c r="AZ14">
        <v>5.115663454130094</v>
      </c>
      <c r="BA14">
        <v>4.8252750165534639</v>
      </c>
      <c r="BB14">
        <v>1.7559705461774546</v>
      </c>
      <c r="BC14">
        <v>4.6382493353509213</v>
      </c>
      <c r="BD14">
        <v>3.18874708398595</v>
      </c>
      <c r="BE14">
        <v>3.3294136740944573</v>
      </c>
      <c r="BF14">
        <v>1.2707030556418684</v>
      </c>
      <c r="BG14">
        <v>3.8370595907235971</v>
      </c>
      <c r="BH14">
        <v>1.2531658023982812</v>
      </c>
      <c r="BI14">
        <v>1.0886637823922241</v>
      </c>
      <c r="BJ14">
        <v>1.0804014453640229</v>
      </c>
      <c r="BK14">
        <v>8.6588112565531432</v>
      </c>
      <c r="BL14">
        <v>5.0856750290115045</v>
      </c>
      <c r="BM14">
        <v>3.7181457420448139</v>
      </c>
      <c r="BN14">
        <v>4.6345535377403273</v>
      </c>
      <c r="BO14">
        <v>4.9419462278291713</v>
      </c>
      <c r="BP14">
        <v>5.2680340060939974</v>
      </c>
      <c r="BQ14">
        <v>3.3481642487761269</v>
      </c>
      <c r="BR14">
        <v>3.8436779088272122</v>
      </c>
      <c r="BS14">
        <v>9.1119717189243747</v>
      </c>
      <c r="BT14">
        <v>2.5209826122630661</v>
      </c>
      <c r="BU14" t="s">
        <v>120</v>
      </c>
      <c r="BV14">
        <v>2.4084271682805243</v>
      </c>
      <c r="BW14">
        <v>0.68662953686404549</v>
      </c>
      <c r="BX14">
        <v>2.5846039660565174</v>
      </c>
      <c r="BY14">
        <v>1.8169797426694396</v>
      </c>
      <c r="BZ14">
        <v>0.77088432807426999</v>
      </c>
      <c r="CA14">
        <v>1.1255768119514731</v>
      </c>
      <c r="CB14">
        <v>1.0933999313420528</v>
      </c>
      <c r="CC14">
        <v>1.1246637647802138</v>
      </c>
      <c r="CD14">
        <v>1.0019307941585369</v>
      </c>
    </row>
    <row r="15" spans="1:82" x14ac:dyDescent="0.2">
      <c r="A15" s="3">
        <v>-67</v>
      </c>
      <c r="B15">
        <v>99.590964587766734</v>
      </c>
      <c r="C15">
        <v>15.018624177619481</v>
      </c>
      <c r="D15">
        <v>40.752921488747674</v>
      </c>
      <c r="E15">
        <v>57.255536207512172</v>
      </c>
      <c r="F15">
        <v>45.297127567120377</v>
      </c>
      <c r="G15">
        <v>45.297127567120377</v>
      </c>
      <c r="H15">
        <v>26.903787869126049</v>
      </c>
      <c r="I15">
        <v>26.539036622687878</v>
      </c>
      <c r="J15">
        <v>28.105599986973058</v>
      </c>
      <c r="K15">
        <v>53.717447364952953</v>
      </c>
      <c r="L15">
        <v>14.818365865678857</v>
      </c>
      <c r="M15">
        <v>38.580416323533626</v>
      </c>
      <c r="N15">
        <v>21.784217492857977</v>
      </c>
      <c r="O15">
        <v>21.480026643667536</v>
      </c>
      <c r="P15">
        <v>11.902180230439592</v>
      </c>
      <c r="Q15">
        <v>19.949341304266518</v>
      </c>
      <c r="R15">
        <v>16.368013652402965</v>
      </c>
      <c r="S15">
        <v>15.072893398911132</v>
      </c>
      <c r="T15">
        <v>12.849227563658753</v>
      </c>
      <c r="U15">
        <v>14.982299804687369</v>
      </c>
      <c r="V15">
        <v>9.8383890408188499</v>
      </c>
      <c r="W15">
        <v>10.787840772030956</v>
      </c>
      <c r="X15">
        <v>11.792057891390206</v>
      </c>
      <c r="Y15">
        <v>9.9183317725338078</v>
      </c>
      <c r="Z15">
        <v>8.6664890104265329</v>
      </c>
      <c r="AA15">
        <v>8.6729021428236255</v>
      </c>
      <c r="AB15">
        <v>10.847101852075365</v>
      </c>
      <c r="AC15">
        <v>23.027241180192103</v>
      </c>
      <c r="AD15">
        <v>3.3792400075428422</v>
      </c>
      <c r="AE15">
        <v>4.3014124542919525</v>
      </c>
      <c r="AF15">
        <v>8.9856806940107088</v>
      </c>
      <c r="AG15">
        <v>8.0717859410527932</v>
      </c>
      <c r="AH15">
        <v>8.0779529970083548</v>
      </c>
      <c r="AI15">
        <v>6.8983776035593509</v>
      </c>
      <c r="AJ15">
        <v>6.3205749454782953</v>
      </c>
      <c r="AK15">
        <v>6.7539909704407526</v>
      </c>
      <c r="AL15">
        <v>4.230290256329428</v>
      </c>
      <c r="AM15">
        <v>5.0318377480578036</v>
      </c>
      <c r="AN15">
        <v>7.2752742482655064</v>
      </c>
      <c r="AO15">
        <v>3.7925324511172138</v>
      </c>
      <c r="AP15">
        <v>2.6073096545774477</v>
      </c>
      <c r="AQ15">
        <v>2.5434865524519603</v>
      </c>
      <c r="AR15">
        <v>1.614973744349689</v>
      </c>
      <c r="AS15">
        <v>2.850378819365996</v>
      </c>
      <c r="AT15">
        <v>2.9145534762102523</v>
      </c>
      <c r="AU15">
        <v>8.7206140205041667</v>
      </c>
      <c r="AV15">
        <v>2.3556120772859912</v>
      </c>
      <c r="AW15">
        <v>15.153671947877761</v>
      </c>
      <c r="AX15">
        <v>27.985243498389288</v>
      </c>
      <c r="AY15">
        <v>18.118277160682453</v>
      </c>
      <c r="AZ15">
        <v>9.6306241732924658</v>
      </c>
      <c r="BA15">
        <v>8.8469029232044036</v>
      </c>
      <c r="BB15">
        <v>3.3363697564423882</v>
      </c>
      <c r="BC15">
        <v>6.3107690953496558</v>
      </c>
      <c r="BD15">
        <v>6.1577904829338381</v>
      </c>
      <c r="BE15">
        <v>4.7712696132375108</v>
      </c>
      <c r="BF15">
        <v>2.5843480238273862</v>
      </c>
      <c r="BG15">
        <v>7.7044778795384614</v>
      </c>
      <c r="BH15">
        <v>1.8252087493440994</v>
      </c>
      <c r="BI15">
        <v>2.1163736741934214</v>
      </c>
      <c r="BJ15">
        <v>2.075195098990811</v>
      </c>
      <c r="BK15">
        <v>15.488150187435496</v>
      </c>
      <c r="BL15">
        <v>7.9831118227830578</v>
      </c>
      <c r="BM15">
        <v>5.8659669676823389</v>
      </c>
      <c r="BN15">
        <v>6.6481477538151523</v>
      </c>
      <c r="BO15">
        <v>7.4697486251147795</v>
      </c>
      <c r="BP15">
        <v>7.2062980310240716</v>
      </c>
      <c r="BQ15">
        <v>5.5580470526396235</v>
      </c>
      <c r="BR15">
        <v>6.4073057127236117</v>
      </c>
      <c r="BS15">
        <v>11.410047422949928</v>
      </c>
      <c r="BT15">
        <v>4.4308625714695777</v>
      </c>
      <c r="BU15">
        <v>4.2126487618061903</v>
      </c>
      <c r="BV15">
        <v>3.5994850082776977</v>
      </c>
      <c r="BW15">
        <v>2.5745191218247938</v>
      </c>
      <c r="BX15">
        <v>4.2948645154550338</v>
      </c>
      <c r="BY15">
        <v>3.1585272034602365</v>
      </c>
      <c r="BZ15">
        <v>1.3647965388511458</v>
      </c>
      <c r="CA15">
        <v>2.0974017470630151</v>
      </c>
      <c r="CB15">
        <v>1.5418239992056268</v>
      </c>
      <c r="CC15">
        <v>1.8769289877877255</v>
      </c>
      <c r="CD15">
        <v>1.7757044550198151</v>
      </c>
    </row>
    <row r="16" spans="1:82" x14ac:dyDescent="0.2">
      <c r="A16" s="3">
        <v>-57</v>
      </c>
      <c r="B16">
        <v>121.49036969636616</v>
      </c>
      <c r="C16">
        <v>16.14456046255011</v>
      </c>
      <c r="D16">
        <v>51.294479637815158</v>
      </c>
      <c r="E16">
        <v>62.636398850825707</v>
      </c>
      <c r="F16">
        <v>59.752391346713949</v>
      </c>
      <c r="G16">
        <v>59.752391346713949</v>
      </c>
      <c r="H16">
        <v>35.061918827525353</v>
      </c>
      <c r="I16">
        <v>28.145102618033295</v>
      </c>
      <c r="J16">
        <v>31.726521876820257</v>
      </c>
      <c r="K16">
        <v>64.862357807786836</v>
      </c>
      <c r="L16">
        <v>18.238008331834092</v>
      </c>
      <c r="M16">
        <v>40.044586984734785</v>
      </c>
      <c r="N16">
        <v>23.940684000650954</v>
      </c>
      <c r="O16">
        <v>22.934710251657453</v>
      </c>
      <c r="P16">
        <v>27.993235270182293</v>
      </c>
      <c r="Q16">
        <v>25.495115614773802</v>
      </c>
      <c r="R16">
        <v>21.0439441245898</v>
      </c>
      <c r="S16">
        <v>16.836316694293103</v>
      </c>
      <c r="T16">
        <v>13.534429048237042</v>
      </c>
      <c r="U16">
        <v>15.746703030770277</v>
      </c>
      <c r="V16">
        <v>14.362863774885209</v>
      </c>
      <c r="W16">
        <v>14.615224604021035</v>
      </c>
      <c r="X16">
        <v>13.730605945252524</v>
      </c>
      <c r="Y16">
        <v>14.57649364806058</v>
      </c>
      <c r="Z16">
        <v>11.721221011981626</v>
      </c>
      <c r="AA16">
        <v>11.709218368195646</v>
      </c>
      <c r="AB16">
        <v>12.199879880537063</v>
      </c>
      <c r="AC16">
        <v>25.029469707555805</v>
      </c>
      <c r="AD16">
        <v>9.4216366148831465</v>
      </c>
      <c r="AE16">
        <v>9.460208173383732</v>
      </c>
      <c r="AF16">
        <v>10.890160594070167</v>
      </c>
      <c r="AG16">
        <v>9.9234827275861779</v>
      </c>
      <c r="AH16">
        <v>11.157988096538329</v>
      </c>
      <c r="AI16">
        <v>8.3241895709121323</v>
      </c>
      <c r="AJ16">
        <v>8.5530594608239952</v>
      </c>
      <c r="AK16">
        <v>7.6831215306332163</v>
      </c>
      <c r="AL16">
        <v>6.4647297775536261</v>
      </c>
      <c r="AM16">
        <v>6.1671155293782425</v>
      </c>
      <c r="AN16">
        <v>8.5099693432188754</v>
      </c>
      <c r="AO16">
        <v>4.7328834533691291</v>
      </c>
      <c r="AP16">
        <v>3.3086390578955789</v>
      </c>
      <c r="AQ16">
        <v>3.1921776554040586</v>
      </c>
      <c r="AR16">
        <v>2.1665110253451076</v>
      </c>
      <c r="AS16">
        <v>3.6216515156260658</v>
      </c>
      <c r="AT16">
        <v>4.6026418139362759</v>
      </c>
      <c r="AU16">
        <v>12.148641686690477</v>
      </c>
      <c r="AV16">
        <v>3.2573730836834773</v>
      </c>
      <c r="AW16">
        <v>21.087151778371577</v>
      </c>
      <c r="AX16">
        <v>32.782414352684604</v>
      </c>
      <c r="AY16">
        <v>20.349727323877794</v>
      </c>
      <c r="AZ16">
        <v>12.373072373239618</v>
      </c>
      <c r="BA16">
        <v>12.307117540236792</v>
      </c>
      <c r="BB16">
        <v>4.1868216531318421</v>
      </c>
      <c r="BC16">
        <v>7.4533278482002094</v>
      </c>
      <c r="BD16">
        <v>7.7149016062418623</v>
      </c>
      <c r="BE16">
        <v>6.5322428920812667</v>
      </c>
      <c r="BF16">
        <v>3.9454005057351553</v>
      </c>
      <c r="BG16">
        <v>10.103960104155945</v>
      </c>
      <c r="BH16">
        <v>2.1703689307497136</v>
      </c>
      <c r="BI16">
        <v>2.5449407644439166</v>
      </c>
      <c r="BJ16">
        <v>2.9061298203049883</v>
      </c>
      <c r="BK16">
        <v>21.666999361424978</v>
      </c>
      <c r="BL16">
        <v>9.7963153772186811</v>
      </c>
      <c r="BM16">
        <v>7.297400424354942</v>
      </c>
      <c r="BN16">
        <v>7.8704169423956518</v>
      </c>
      <c r="BO16">
        <v>8.5752405200088102</v>
      </c>
      <c r="BP16">
        <v>8.8254229896946974</v>
      </c>
      <c r="BQ16">
        <v>7.5444002653423121</v>
      </c>
      <c r="BR16">
        <v>8.0637693014758316</v>
      </c>
      <c r="BS16">
        <v>12.722865415874269</v>
      </c>
      <c r="BT16">
        <v>5.8520842351411417</v>
      </c>
      <c r="BU16">
        <v>5.3427091899671009</v>
      </c>
      <c r="BV16">
        <v>4.9254342017815036</v>
      </c>
      <c r="BW16">
        <v>4.9127630685505128</v>
      </c>
      <c r="BX16">
        <v>5.7021140794108538</v>
      </c>
      <c r="BY16">
        <v>4.1135492157517692</v>
      </c>
      <c r="BZ16">
        <v>2.0020401268674521</v>
      </c>
      <c r="CA16">
        <v>2.7041858873869207</v>
      </c>
      <c r="CB16">
        <v>1.8520112511707283</v>
      </c>
      <c r="CC16">
        <v>3.1786409386417303</v>
      </c>
      <c r="CD16">
        <v>2.488214107981888</v>
      </c>
    </row>
    <row r="17" spans="1:82" x14ac:dyDescent="0.2">
      <c r="A17" s="3">
        <v>-47</v>
      </c>
      <c r="B17">
        <v>136.76023101806641</v>
      </c>
      <c r="C17">
        <v>16.853543261264218</v>
      </c>
      <c r="D17">
        <v>55.291642858626901</v>
      </c>
      <c r="E17">
        <v>64.892330413169049</v>
      </c>
      <c r="F17">
        <v>66.795100110642451</v>
      </c>
      <c r="G17">
        <v>66.795100110642451</v>
      </c>
      <c r="H17">
        <v>41.143917327231392</v>
      </c>
      <c r="I17">
        <v>28.558821779616334</v>
      </c>
      <c r="J17">
        <v>31.589194520990741</v>
      </c>
      <c r="K17">
        <v>71.215344767086208</v>
      </c>
      <c r="L17">
        <v>18.698087814006392</v>
      </c>
      <c r="M17">
        <v>43.246217443587931</v>
      </c>
      <c r="N17">
        <v>25.604203244473073</v>
      </c>
      <c r="O17">
        <v>23.876296915906487</v>
      </c>
      <c r="P17">
        <v>31.962579605427035</v>
      </c>
      <c r="Q17">
        <v>28.241188252225676</v>
      </c>
      <c r="R17">
        <v>26.084585494183372</v>
      </c>
      <c r="S17">
        <v>16.695449017463847</v>
      </c>
      <c r="T17">
        <v>13.588217714999582</v>
      </c>
      <c r="U17">
        <v>16.354242852393611</v>
      </c>
      <c r="V17">
        <v>15.741314989455189</v>
      </c>
      <c r="W17">
        <v>13.466334403829363</v>
      </c>
      <c r="X17">
        <v>14.263190249179274</v>
      </c>
      <c r="Y17">
        <v>14.437311050739684</v>
      </c>
      <c r="Z17">
        <v>13.290877514697119</v>
      </c>
      <c r="AA17">
        <v>12.772714848213997</v>
      </c>
      <c r="AB17">
        <v>13.126131646176585</v>
      </c>
      <c r="AC17">
        <v>25.71338852415683</v>
      </c>
      <c r="AD17">
        <v>13.366127014160156</v>
      </c>
      <c r="AE17">
        <v>13.339509862534527</v>
      </c>
      <c r="AF17">
        <v>12.431147534796523</v>
      </c>
      <c r="AG17">
        <v>10.760912874911686</v>
      </c>
      <c r="AH17">
        <v>13.265378505625614</v>
      </c>
      <c r="AI17">
        <v>8.7024890006856701</v>
      </c>
      <c r="AJ17">
        <v>9.186560569925506</v>
      </c>
      <c r="AK17">
        <v>8.0765095162898799</v>
      </c>
      <c r="AL17">
        <v>7.2622636023988019</v>
      </c>
      <c r="AM17">
        <v>7.2794542515531449</v>
      </c>
      <c r="AN17">
        <v>11.158534597843254</v>
      </c>
      <c r="AO17">
        <v>4.8266388101780491</v>
      </c>
      <c r="AP17">
        <v>3.5821121702802765</v>
      </c>
      <c r="AQ17">
        <v>3.5923911967176028</v>
      </c>
      <c r="AR17">
        <v>2.2182562300499393</v>
      </c>
      <c r="AS17">
        <v>3.973181724548335</v>
      </c>
      <c r="AT17">
        <v>5.0789061742471286</v>
      </c>
      <c r="AU17">
        <v>12.30832258183904</v>
      </c>
      <c r="AV17">
        <v>4.0757809375194691</v>
      </c>
      <c r="AW17">
        <v>24.352211810172765</v>
      </c>
      <c r="AX17">
        <v>36.070948012331542</v>
      </c>
      <c r="AY17">
        <v>21.824341016458177</v>
      </c>
      <c r="AZ17">
        <v>14.661031276621708</v>
      </c>
      <c r="BA17">
        <v>14.376550620329287</v>
      </c>
      <c r="BB17">
        <v>4.7257683936585746</v>
      </c>
      <c r="BC17">
        <v>7.7471423047654024</v>
      </c>
      <c r="BD17">
        <v>8.5152815555004278</v>
      </c>
      <c r="BE17">
        <v>7.1922143165101309</v>
      </c>
      <c r="BF17">
        <v>4.8507777274922947</v>
      </c>
      <c r="BG17">
        <v>13.064812964581424</v>
      </c>
      <c r="BH17">
        <v>2.1600265502929501</v>
      </c>
      <c r="BI17">
        <v>2.7929647121023455</v>
      </c>
      <c r="BJ17">
        <v>3.3796591454363689</v>
      </c>
      <c r="BK17">
        <v>25.21192196846857</v>
      </c>
      <c r="BL17">
        <v>10.02747539763755</v>
      </c>
      <c r="BM17">
        <v>9.1508960318058019</v>
      </c>
      <c r="BN17">
        <v>7.8804002315440043</v>
      </c>
      <c r="BO17">
        <v>7.5611049165116846</v>
      </c>
      <c r="BP17">
        <v>9.2679204737886334</v>
      </c>
      <c r="BQ17">
        <v>8.1620845388858889</v>
      </c>
      <c r="BR17">
        <v>8.3852524588293971</v>
      </c>
      <c r="BS17">
        <v>13.218041001989477</v>
      </c>
      <c r="BT17">
        <v>6.8054462087915271</v>
      </c>
      <c r="BU17">
        <v>6.1692342555269102</v>
      </c>
      <c r="BV17">
        <v>4.9565178350353776</v>
      </c>
      <c r="BW17">
        <v>6.289803332470834</v>
      </c>
      <c r="BX17">
        <v>6.0274038656866615</v>
      </c>
      <c r="BY17">
        <v>3.9089969066863373</v>
      </c>
      <c r="BZ17">
        <v>2.0108569530730382</v>
      </c>
      <c r="CA17">
        <v>3.1215533804386113</v>
      </c>
      <c r="CB17">
        <v>1.8789930275991442</v>
      </c>
      <c r="CC17">
        <v>3.8468105285725551</v>
      </c>
      <c r="CD17">
        <v>2.9812542732725609</v>
      </c>
    </row>
    <row r="18" spans="1:82" x14ac:dyDescent="0.2">
      <c r="A18" s="3">
        <v>-37</v>
      </c>
      <c r="B18">
        <v>149.19281562598977</v>
      </c>
      <c r="C18">
        <v>17.467590795980897</v>
      </c>
      <c r="D18">
        <v>55.750057735958492</v>
      </c>
      <c r="E18">
        <v>63.358783206424199</v>
      </c>
      <c r="F18">
        <v>68.579393953890417</v>
      </c>
      <c r="G18">
        <v>68.579393953890417</v>
      </c>
      <c r="H18">
        <v>46.055926761111493</v>
      </c>
      <c r="I18">
        <v>28.693197044166155</v>
      </c>
      <c r="J18">
        <v>26.069238714269588</v>
      </c>
      <c r="K18">
        <v>76.452823368278715</v>
      </c>
      <c r="L18">
        <v>18.813107258564713</v>
      </c>
      <c r="M18">
        <v>45.447290781381966</v>
      </c>
      <c r="N18">
        <v>26.106561609216634</v>
      </c>
      <c r="O18">
        <v>23.274710474787511</v>
      </c>
      <c r="P18">
        <v>33.876828580289207</v>
      </c>
      <c r="Q18">
        <v>29.840257026053695</v>
      </c>
      <c r="R18">
        <v>24.778419108004179</v>
      </c>
      <c r="S18">
        <v>16.024277351997998</v>
      </c>
      <c r="T18">
        <v>12.788777738004116</v>
      </c>
      <c r="U18">
        <v>16.535215635557428</v>
      </c>
      <c r="V18">
        <v>16.633070043615373</v>
      </c>
      <c r="W18">
        <v>11.889244904389244</v>
      </c>
      <c r="X18">
        <v>14.729860254236161</v>
      </c>
      <c r="Y18">
        <v>14.610032365128788</v>
      </c>
      <c r="Z18">
        <v>13.422149078266017</v>
      </c>
      <c r="AA18">
        <v>12.881404606071673</v>
      </c>
      <c r="AB18">
        <v>13.082276911348906</v>
      </c>
      <c r="AC18">
        <v>26.724849236977867</v>
      </c>
      <c r="AD18">
        <v>15.595975927404442</v>
      </c>
      <c r="AE18">
        <v>14.814104879224617</v>
      </c>
      <c r="AF18">
        <v>13.276564804283337</v>
      </c>
      <c r="AG18">
        <v>10.959124487799546</v>
      </c>
      <c r="AH18">
        <v>12.967666522876616</v>
      </c>
      <c r="AI18">
        <v>8.3582227552259187</v>
      </c>
      <c r="AJ18">
        <v>9.6343822479248047</v>
      </c>
      <c r="AK18">
        <v>8.2127891746727126</v>
      </c>
      <c r="AL18">
        <v>7.7857625806653701</v>
      </c>
      <c r="AM18">
        <v>7.2114178425556705</v>
      </c>
      <c r="AN18" t="s">
        <v>120</v>
      </c>
      <c r="AO18">
        <v>4.8442755003233051</v>
      </c>
      <c r="AP18">
        <v>3.5126013884673246</v>
      </c>
      <c r="AQ18">
        <v>3.8608570098876855</v>
      </c>
      <c r="AR18">
        <v>1.9987931509275718</v>
      </c>
      <c r="AS18">
        <v>3.6927492554123176</v>
      </c>
      <c r="AT18">
        <v>5.5569464193807896</v>
      </c>
      <c r="AU18">
        <v>12.643973582499729</v>
      </c>
      <c r="AV18">
        <v>3.5715938001065535</v>
      </c>
      <c r="AW18">
        <v>27.249581001900271</v>
      </c>
      <c r="AX18">
        <v>36.784551465833303</v>
      </c>
      <c r="AY18">
        <v>21.422076500213901</v>
      </c>
      <c r="AZ18">
        <v>16.94160224295949</v>
      </c>
      <c r="BA18">
        <v>15.944707183150541</v>
      </c>
      <c r="BB18">
        <v>5.0153354954075136</v>
      </c>
      <c r="BC18">
        <v>7.1380704931310524</v>
      </c>
      <c r="BD18">
        <v>8.6535496582855984</v>
      </c>
      <c r="BE18">
        <v>7.3096845472181133</v>
      </c>
      <c r="BF18">
        <v>4.8342082049395367</v>
      </c>
      <c r="BG18">
        <v>14.186121090038403</v>
      </c>
      <c r="BH18">
        <v>2.1034514968459663</v>
      </c>
      <c r="BI18">
        <v>2.8934353235605474</v>
      </c>
      <c r="BJ18">
        <v>3.422092360419172</v>
      </c>
      <c r="BK18">
        <v>26.786932540132813</v>
      </c>
      <c r="BL18">
        <v>9.9758438935150764</v>
      </c>
      <c r="BM18">
        <v>8.8868666983939359</v>
      </c>
      <c r="BN18">
        <v>6.6558647155761674</v>
      </c>
      <c r="BO18">
        <v>6.1959512555921403</v>
      </c>
      <c r="BP18">
        <v>8.6444514506571828</v>
      </c>
      <c r="BQ18">
        <v>8.8085663254196422</v>
      </c>
      <c r="BR18">
        <v>7.6704069429689632</v>
      </c>
      <c r="BS18">
        <v>12.924823884706221</v>
      </c>
      <c r="BT18">
        <v>6.8336078411823813</v>
      </c>
      <c r="BU18">
        <v>6.9462865881017493</v>
      </c>
      <c r="BV18">
        <v>4.9124448965261553</v>
      </c>
      <c r="BW18">
        <v>7.6858272681364923</v>
      </c>
      <c r="BX18">
        <v>6.1107869255036347</v>
      </c>
      <c r="BY18" t="s">
        <v>120</v>
      </c>
      <c r="BZ18">
        <v>1.8454701191670186</v>
      </c>
      <c r="CA18">
        <v>2.9099974245638309</v>
      </c>
      <c r="CB18">
        <v>2.0208288828531873</v>
      </c>
      <c r="CC18">
        <v>5.0490799014632595</v>
      </c>
      <c r="CD18">
        <v>3.0421765043928746</v>
      </c>
    </row>
    <row r="19" spans="1:82" x14ac:dyDescent="0.2">
      <c r="A19">
        <f>A18+10</f>
        <v>-27</v>
      </c>
      <c r="B19">
        <v>156.41732219242999</v>
      </c>
      <c r="C19">
        <v>0.14424483328439</v>
      </c>
      <c r="D19">
        <v>2.5969917934179998</v>
      </c>
      <c r="E19">
        <v>1.687316663417</v>
      </c>
      <c r="F19">
        <v>1.5723931148600001</v>
      </c>
      <c r="G19">
        <v>0.96219262928755001</v>
      </c>
      <c r="H19">
        <v>0.77441464946994698</v>
      </c>
      <c r="I19">
        <v>0.53453943559540995</v>
      </c>
      <c r="J19">
        <v>0.82716269409999998</v>
      </c>
      <c r="K19">
        <v>2.8844591612398864</v>
      </c>
      <c r="L19">
        <v>0.19961754813716001</v>
      </c>
      <c r="M19">
        <v>2.4936317432670001</v>
      </c>
      <c r="N19">
        <v>0.5186499479194</v>
      </c>
      <c r="O19">
        <v>0.76471518156330998</v>
      </c>
      <c r="P19">
        <v>1.3795668246668</v>
      </c>
      <c r="Q19">
        <v>0.79847671689999999</v>
      </c>
      <c r="R19">
        <v>0.74364191785588896</v>
      </c>
      <c r="S19">
        <v>0.53955964145000002</v>
      </c>
      <c r="T19">
        <v>0.68426946239200004</v>
      </c>
      <c r="U19">
        <v>1.1517962118395</v>
      </c>
      <c r="V19">
        <v>0.926381489982123</v>
      </c>
      <c r="W19">
        <v>0.49811581642469999</v>
      </c>
      <c r="X19">
        <v>1.1844813436578152</v>
      </c>
      <c r="Y19">
        <v>0.84824259352384002</v>
      </c>
      <c r="Z19">
        <v>0.81488281427300002</v>
      </c>
      <c r="AA19">
        <v>0.81345525942186003</v>
      </c>
      <c r="AB19">
        <v>0.82429738264109997</v>
      </c>
      <c r="AC19">
        <v>1.742875184913</v>
      </c>
      <c r="AD19">
        <v>0.588886786893</v>
      </c>
      <c r="AE19">
        <v>0.73462978814683</v>
      </c>
      <c r="AF19">
        <v>0.77255147814667402</v>
      </c>
      <c r="AG19">
        <v>0.65157296179723001</v>
      </c>
      <c r="AH19">
        <v>0.89862451424258005</v>
      </c>
      <c r="AI19">
        <v>0.52667318959150999</v>
      </c>
      <c r="AJ19">
        <v>0.99339862739897999</v>
      </c>
      <c r="AK19">
        <v>0.71224893387459998</v>
      </c>
      <c r="AL19">
        <v>0.67295569766759999</v>
      </c>
      <c r="AM19">
        <v>0.74969482472218496</v>
      </c>
      <c r="AO19">
        <v>1.8522195874342</v>
      </c>
      <c r="AP19">
        <v>0.46997471429830001</v>
      </c>
      <c r="AQ19">
        <v>0.73278741438880002</v>
      </c>
      <c r="AR19">
        <v>0.23639992818370001</v>
      </c>
      <c r="AS19">
        <v>0.98328145794787003</v>
      </c>
      <c r="AT19">
        <v>0.84973419355000002</v>
      </c>
      <c r="AU19">
        <v>1.5977757282469001</v>
      </c>
      <c r="AV19">
        <v>0.17917427892978</v>
      </c>
      <c r="AW19">
        <v>5.4614175311832138</v>
      </c>
      <c r="AX19">
        <v>1.2349245831194122</v>
      </c>
      <c r="AY19">
        <v>0.51178421569400001</v>
      </c>
      <c r="AZ19">
        <v>0.77961428869295801</v>
      </c>
      <c r="BA19">
        <v>0.81492585765600001</v>
      </c>
      <c r="BB19">
        <v>0.31348494433787</v>
      </c>
      <c r="BC19">
        <v>0.71427164954995004</v>
      </c>
      <c r="BD19">
        <v>0.84593953347326001</v>
      </c>
      <c r="BE19">
        <v>0.73177256924432998</v>
      </c>
      <c r="BF19">
        <v>0.52328666969571003</v>
      </c>
      <c r="BG19">
        <v>2.1375411647429998</v>
      </c>
      <c r="BH19">
        <v>0.1172548198779</v>
      </c>
      <c r="BI19">
        <v>0.62725383157472003</v>
      </c>
      <c r="BJ19">
        <v>0.63333236627190004</v>
      </c>
      <c r="BK19">
        <v>4.4267971256800003</v>
      </c>
      <c r="BL19">
        <v>0.33635428298350001</v>
      </c>
      <c r="BM19">
        <v>0.69186159731399999</v>
      </c>
      <c r="BN19">
        <v>0.36421666451751</v>
      </c>
      <c r="BO19">
        <v>0.57753761199950004</v>
      </c>
      <c r="BP19">
        <v>1.1632524617276001</v>
      </c>
      <c r="BQ19">
        <v>0.78216179966861998</v>
      </c>
      <c r="BR19">
        <v>0.68853774189276995</v>
      </c>
      <c r="BS19">
        <v>1.2744929621500001</v>
      </c>
      <c r="BT19">
        <v>0.45128355373974599</v>
      </c>
      <c r="BU19">
        <v>0.82363456678146496</v>
      </c>
      <c r="BV19">
        <v>0.45194538691774</v>
      </c>
      <c r="BW19">
        <v>1.5821971349499999</v>
      </c>
      <c r="BX19">
        <v>0.67689375452629996</v>
      </c>
      <c r="BZ19">
        <v>0.56625552635980003</v>
      </c>
      <c r="CA19">
        <v>0.56164593942436003</v>
      </c>
      <c r="CB19">
        <v>0.45839739659000001</v>
      </c>
      <c r="CC19">
        <v>1.3739118438994999</v>
      </c>
      <c r="CD19">
        <v>0.35276666146930002</v>
      </c>
    </row>
    <row r="20" spans="1:82" x14ac:dyDescent="0.2">
      <c r="A20">
        <f t="shared" ref="A20:A27" si="0">A19+10</f>
        <v>-17</v>
      </c>
      <c r="B20">
        <v>17.477385889777999</v>
      </c>
      <c r="C20">
        <v>0.74323476677849998</v>
      </c>
      <c r="D20">
        <v>1.4348991233329225</v>
      </c>
      <c r="E20">
        <v>0.59841958212739998</v>
      </c>
      <c r="F20">
        <v>0.57525775957170999</v>
      </c>
      <c r="G20">
        <v>0.52355982118920996</v>
      </c>
      <c r="H20">
        <v>0.64193896711800003</v>
      </c>
      <c r="I20">
        <v>0.34883556163513302</v>
      </c>
      <c r="J20">
        <v>0.4296635858383</v>
      </c>
      <c r="K20">
        <v>2.1451549668836001</v>
      </c>
      <c r="L20">
        <v>0.16663912471589001</v>
      </c>
      <c r="M20">
        <v>1.9974873775466999</v>
      </c>
      <c r="N20">
        <v>0.35236856573190001</v>
      </c>
      <c r="O20">
        <v>0.46587892185340002</v>
      </c>
      <c r="P20">
        <v>0.79965795789337002</v>
      </c>
      <c r="Q20">
        <v>0.55982626167299998</v>
      </c>
      <c r="R20">
        <v>0.36155688868740998</v>
      </c>
      <c r="S20">
        <v>0.25991484892392003</v>
      </c>
      <c r="T20">
        <v>0.41896227930000002</v>
      </c>
      <c r="U20">
        <v>0.65845249989809995</v>
      </c>
      <c r="V20">
        <v>0.5182249188318</v>
      </c>
      <c r="W20">
        <v>0.26918646849282002</v>
      </c>
      <c r="X20">
        <v>0.66982435874559998</v>
      </c>
      <c r="Y20">
        <v>0.45536188132615002</v>
      </c>
      <c r="Z20">
        <v>0.57561589673989799</v>
      </c>
      <c r="AA20">
        <v>0.55295881286967996</v>
      </c>
      <c r="AB20">
        <v>0.55181837972280001</v>
      </c>
      <c r="AC20">
        <v>1.2382223918314608</v>
      </c>
      <c r="AD20">
        <v>0.39661659861978998</v>
      </c>
      <c r="AE20">
        <v>0.38751423981492</v>
      </c>
      <c r="AF20">
        <v>0.49487352564944997</v>
      </c>
      <c r="AG20">
        <v>0.345456924835149</v>
      </c>
      <c r="AH20">
        <v>0.45564887886173999</v>
      </c>
      <c r="AI20">
        <v>0.29864893321444003</v>
      </c>
      <c r="AJ20">
        <v>0.69321151437169004</v>
      </c>
      <c r="AK20">
        <v>0.39391533128382</v>
      </c>
      <c r="AL20">
        <v>0.45838881245200003</v>
      </c>
      <c r="AM20">
        <v>0.464752229287</v>
      </c>
      <c r="AO20">
        <v>1.3832233767669</v>
      </c>
      <c r="AP20">
        <v>0.17557699762349999</v>
      </c>
      <c r="AQ20">
        <v>0.67114775449421704</v>
      </c>
      <c r="AR20">
        <v>0.115736965154</v>
      </c>
      <c r="AS20">
        <v>0.67855812819670003</v>
      </c>
      <c r="AT20">
        <v>0.53887316775424998</v>
      </c>
      <c r="AU20">
        <v>0.94552441562</v>
      </c>
      <c r="AV20">
        <v>0.35476318566187998</v>
      </c>
      <c r="AW20">
        <v>3.6988827356940002</v>
      </c>
      <c r="AX20">
        <v>0.86693245749226999</v>
      </c>
      <c r="AY20">
        <v>0.31897113295714902</v>
      </c>
      <c r="AZ20">
        <v>0.53115617973911</v>
      </c>
      <c r="BA20">
        <v>0.548876961454</v>
      </c>
      <c r="BB20">
        <v>0.21645236876221</v>
      </c>
      <c r="BC20">
        <v>0.329712694783311</v>
      </c>
      <c r="BD20">
        <v>0.41731336477999997</v>
      </c>
      <c r="BE20">
        <v>0.51484858997358995</v>
      </c>
      <c r="BF20">
        <v>0.248737694943863</v>
      </c>
      <c r="BG20">
        <v>1.39629174136</v>
      </c>
      <c r="BH20">
        <v>0.59314582445950004</v>
      </c>
      <c r="BI20">
        <v>0.34628272312168001</v>
      </c>
      <c r="BJ20">
        <v>0.41469863696249998</v>
      </c>
      <c r="BK20">
        <v>2.6811138548471001</v>
      </c>
      <c r="BL20">
        <v>0.18899936661450001</v>
      </c>
      <c r="BM20">
        <v>0.43653693636774998</v>
      </c>
      <c r="BN20">
        <v>-0.16991453161760001</v>
      </c>
      <c r="BO20">
        <v>0.5285577911414</v>
      </c>
      <c r="BP20">
        <v>0.527293222121616</v>
      </c>
      <c r="BQ20">
        <v>0.34388841317000002</v>
      </c>
      <c r="BR20">
        <v>0.34393662244579998</v>
      </c>
      <c r="BS20">
        <v>0.67988579991120002</v>
      </c>
      <c r="BT20">
        <v>0.323498452928</v>
      </c>
      <c r="BU20">
        <v>0.64752717356514999</v>
      </c>
      <c r="BV20">
        <v>0.31718896488999998</v>
      </c>
      <c r="BW20">
        <v>0.7886979175587</v>
      </c>
      <c r="BX20">
        <v>0.35198617294133</v>
      </c>
      <c r="BZ20">
        <v>0.14112816961310001</v>
      </c>
      <c r="CA20">
        <v>0.14467177248730001</v>
      </c>
      <c r="CB20">
        <v>0.27278267322543298</v>
      </c>
      <c r="CC20">
        <v>1.6271475372999999</v>
      </c>
      <c r="CD20">
        <v>0.22753712915159999</v>
      </c>
    </row>
    <row r="21" spans="1:82" x14ac:dyDescent="0.2">
      <c r="A21">
        <f t="shared" si="0"/>
        <v>-7</v>
      </c>
      <c r="B21">
        <v>68.892445260000002</v>
      </c>
      <c r="C21">
        <v>0.49167517519131299</v>
      </c>
      <c r="D21">
        <v>0.43248136277999999</v>
      </c>
      <c r="E21">
        <v>0.1684556751481</v>
      </c>
      <c r="F21">
        <v>0.52333141126413996</v>
      </c>
      <c r="G21">
        <v>0.47357683431109998</v>
      </c>
      <c r="H21">
        <v>0.41437484282339998</v>
      </c>
      <c r="I21">
        <v>0.18495346743661001</v>
      </c>
      <c r="J21">
        <v>-0.19368241898498201</v>
      </c>
      <c r="K21">
        <v>1.4179283687690001</v>
      </c>
      <c r="L21">
        <v>0.33615931753889999</v>
      </c>
      <c r="M21">
        <v>1.1987583797548</v>
      </c>
      <c r="N21">
        <v>0.17719291928969999</v>
      </c>
      <c r="O21">
        <v>0.133222958583217</v>
      </c>
      <c r="P21">
        <v>0.24429479462862699</v>
      </c>
      <c r="Q21">
        <v>0.22116695968549999</v>
      </c>
      <c r="R21">
        <v>0.111953664255727</v>
      </c>
      <c r="S21">
        <v>0.55351829316909995</v>
      </c>
      <c r="T21">
        <v>0.1355178824711</v>
      </c>
      <c r="U21">
        <v>0.25543113297999998</v>
      </c>
      <c r="V21">
        <v>0.25263987835133001</v>
      </c>
      <c r="W21">
        <v>-0.71858713329775803</v>
      </c>
      <c r="X21">
        <v>0.35214677782769999</v>
      </c>
      <c r="Y21">
        <v>0.2276967855333</v>
      </c>
      <c r="Z21">
        <v>0.23659213966223</v>
      </c>
      <c r="AA21">
        <v>0.22234981657639999</v>
      </c>
      <c r="AB21">
        <v>0.29231647272446398</v>
      </c>
      <c r="AC21">
        <v>0.68151595188554204</v>
      </c>
      <c r="AD21">
        <v>0.23273896628783999</v>
      </c>
      <c r="AE21">
        <v>0.77813148785878605</v>
      </c>
      <c r="AF21">
        <v>0.26939376934648002</v>
      </c>
      <c r="AG21">
        <v>0.26425417229543002</v>
      </c>
      <c r="AH21">
        <v>0.86977186941595797</v>
      </c>
      <c r="AI21">
        <v>0.56439371618648004</v>
      </c>
      <c r="AJ21">
        <v>0.38219769168840001</v>
      </c>
      <c r="AK21">
        <v>0.13369933954149901</v>
      </c>
      <c r="AL21">
        <v>0.157325982251422</v>
      </c>
      <c r="AM21">
        <v>0.19474147244144599</v>
      </c>
      <c r="AO21">
        <v>0.43551646471297001</v>
      </c>
      <c r="AP21">
        <v>0.99964968573562996</v>
      </c>
      <c r="AQ21">
        <v>0.34626426625325202</v>
      </c>
      <c r="AR21">
        <v>0.19689762960000001</v>
      </c>
      <c r="AS21">
        <v>0.56325551339341196</v>
      </c>
      <c r="AT21">
        <v>0.17926934278996001</v>
      </c>
      <c r="AU21">
        <v>0.38792232935799997</v>
      </c>
      <c r="AV21">
        <v>-0.46767968449787001</v>
      </c>
      <c r="AW21">
        <v>1.982618859422</v>
      </c>
      <c r="AX21">
        <v>0.52693857629997998</v>
      </c>
      <c r="AY21">
        <v>0.14752476228887601</v>
      </c>
      <c r="AZ21">
        <v>0.32499824871470001</v>
      </c>
      <c r="BA21">
        <v>0.29897461687962301</v>
      </c>
      <c r="BB21">
        <v>0.11526548152159</v>
      </c>
      <c r="BC21">
        <v>0.82832989514376998</v>
      </c>
      <c r="BD21">
        <v>-0.84235897765577294</v>
      </c>
      <c r="BE21">
        <v>0.29676947548613902</v>
      </c>
      <c r="BG21">
        <v>0.76784551443000004</v>
      </c>
      <c r="BH21">
        <v>0.36487437911816001</v>
      </c>
      <c r="BI21">
        <v>0.11276216734137801</v>
      </c>
      <c r="BJ21">
        <v>0.214258557884142</v>
      </c>
      <c r="BK21">
        <v>1.1492358692796727</v>
      </c>
      <c r="BL21">
        <v>0.53393413547584001</v>
      </c>
      <c r="BM21">
        <v>0.228451529677277</v>
      </c>
      <c r="BN21">
        <v>-0.43313366527579999</v>
      </c>
      <c r="BO21">
        <v>-0.37623541799913901</v>
      </c>
      <c r="BP21">
        <v>-0.35217381658897701</v>
      </c>
      <c r="BQ21">
        <v>-0.26422257445864999</v>
      </c>
      <c r="BR21">
        <v>-0.487961125565812</v>
      </c>
      <c r="BS21">
        <v>0.93992152152149999</v>
      </c>
      <c r="BT21">
        <v>0.12345637262853</v>
      </c>
      <c r="BU21">
        <v>0.44482139862713599</v>
      </c>
      <c r="BV21">
        <v>0.78932871737389998</v>
      </c>
      <c r="BW21">
        <v>0.38761755999309999</v>
      </c>
      <c r="BX21">
        <v>0.23316176886985099</v>
      </c>
      <c r="BZ21">
        <v>0.1176492328227</v>
      </c>
      <c r="CA21">
        <v>-0.28544377293733803</v>
      </c>
      <c r="CB21">
        <v>0.13896154778780001</v>
      </c>
      <c r="CC21">
        <v>0.88486845241864298</v>
      </c>
      <c r="CD21">
        <v>0.11367411456690001</v>
      </c>
    </row>
    <row r="22" spans="1:82" x14ac:dyDescent="0.2">
      <c r="A22">
        <f t="shared" si="0"/>
        <v>3</v>
      </c>
      <c r="B22">
        <v>34.522529394199999</v>
      </c>
      <c r="C22">
        <v>0.32753285478831001</v>
      </c>
      <c r="D22">
        <v>-0.53766944182230003</v>
      </c>
      <c r="E22">
        <v>-0.19552963899622999</v>
      </c>
      <c r="F22">
        <v>-0.55546364943477999</v>
      </c>
      <c r="G22">
        <v>-0.55543924812914003</v>
      </c>
      <c r="H22">
        <v>0.26578361518978499</v>
      </c>
      <c r="I22">
        <v>0.413578764531781</v>
      </c>
      <c r="J22">
        <v>-0.16135652684999999</v>
      </c>
      <c r="K22">
        <v>0.82541374681724999</v>
      </c>
      <c r="L22">
        <v>-0.38736689614191</v>
      </c>
      <c r="M22">
        <v>0.57168121334662603</v>
      </c>
      <c r="N22">
        <v>-0.83963768324941002</v>
      </c>
      <c r="O22">
        <v>-0.21256155366999999</v>
      </c>
      <c r="P22">
        <v>-0.24994496118586099</v>
      </c>
      <c r="Q22">
        <v>-0.1735623371726</v>
      </c>
      <c r="R22">
        <v>-0.92498687485990005</v>
      </c>
      <c r="S22">
        <v>-0.19557698643329999</v>
      </c>
      <c r="T22">
        <v>-0.13368775797445701</v>
      </c>
      <c r="U22">
        <v>-0.17541695863895199</v>
      </c>
      <c r="V22">
        <v>-0.12648316982237001</v>
      </c>
      <c r="W22">
        <v>-0.1244748717964</v>
      </c>
      <c r="X22">
        <v>0.32366821289839998</v>
      </c>
      <c r="Y22">
        <v>-0.26316483979100003</v>
      </c>
      <c r="Z22">
        <v>-0.12148319862860001</v>
      </c>
      <c r="AA22">
        <v>-0.22664643999612999</v>
      </c>
      <c r="AB22">
        <v>-0.87252581238228</v>
      </c>
      <c r="AC22">
        <v>0.29125391834431402</v>
      </c>
      <c r="AD22">
        <v>0.48928336341822898</v>
      </c>
      <c r="AE22">
        <v>-0.41387944489199002</v>
      </c>
      <c r="AF22">
        <v>-0.122628869621977</v>
      </c>
      <c r="AG22">
        <v>-0.12983565364328001</v>
      </c>
      <c r="AH22">
        <v>-0.14814265584836001</v>
      </c>
      <c r="AI22">
        <v>-0.81551419618142995</v>
      </c>
      <c r="AJ22">
        <v>-0.22224325495329</v>
      </c>
      <c r="AK22">
        <v>0.416594955564136</v>
      </c>
      <c r="AL22">
        <v>-0.119555596734542</v>
      </c>
      <c r="AM22">
        <v>0.49179571148000001</v>
      </c>
      <c r="AO22">
        <v>-1.2477584352360001</v>
      </c>
      <c r="AP22">
        <v>-0.27359713971892002</v>
      </c>
      <c r="AQ22">
        <v>-0.678815772351125</v>
      </c>
      <c r="AR22">
        <v>-0.35717976932175999</v>
      </c>
      <c r="AS22">
        <v>-0.21669545279870001</v>
      </c>
      <c r="AT22">
        <v>-0.18178339554719999</v>
      </c>
      <c r="AU22">
        <v>-0.27436958867189998</v>
      </c>
      <c r="AV22">
        <v>-0.14666663745200001</v>
      </c>
      <c r="AW22">
        <v>-1.5842693179</v>
      </c>
      <c r="AX22">
        <v>0.21764465934494601</v>
      </c>
      <c r="AY22">
        <v>-0.57994666828761499</v>
      </c>
      <c r="AZ22">
        <v>0.12914719865499999</v>
      </c>
      <c r="BA22">
        <v>0.117893244595242</v>
      </c>
      <c r="BB22">
        <v>-0.71855795836123904</v>
      </c>
      <c r="BC22">
        <v>-0.84991455827129703</v>
      </c>
      <c r="BD22">
        <v>-0.358241428795878</v>
      </c>
      <c r="BE22">
        <v>-0.149741127994619</v>
      </c>
      <c r="BF22">
        <v>-0.2445885477625</v>
      </c>
      <c r="BG22">
        <v>0.24291755395183001</v>
      </c>
      <c r="BH22">
        <v>-0.696318491857146</v>
      </c>
      <c r="BI22">
        <v>-0.35115573539673001</v>
      </c>
      <c r="BJ22">
        <v>0.21457624344198001</v>
      </c>
      <c r="BK22">
        <v>-0.35111555662400001</v>
      </c>
      <c r="BL22">
        <v>-0.63942535488880003</v>
      </c>
      <c r="BM22">
        <v>0.77452228271338996</v>
      </c>
      <c r="BN22">
        <v>-0.71746873225246999</v>
      </c>
      <c r="BO22">
        <v>-0.62619584610000001</v>
      </c>
      <c r="BP22">
        <v>-0.62614593916161998</v>
      </c>
      <c r="BQ22">
        <v>-0.58768975343713004</v>
      </c>
      <c r="BR22">
        <v>-0.396311477541887</v>
      </c>
      <c r="BS22">
        <v>-0.46793897655517802</v>
      </c>
      <c r="BT22">
        <v>-0.91191999352666597</v>
      </c>
      <c r="BU22">
        <v>0.32776884235951997</v>
      </c>
      <c r="BV22">
        <v>-0.11724994615562</v>
      </c>
      <c r="BW22">
        <v>0.81714448956275798</v>
      </c>
      <c r="BX22">
        <v>0.28681868863510002</v>
      </c>
      <c r="BZ22">
        <v>-1.112936812714</v>
      </c>
      <c r="CA22">
        <v>-0.63612565862329995</v>
      </c>
      <c r="CB22">
        <v>-0.82822832457929996</v>
      </c>
      <c r="CC22">
        <v>0.61593521656700001</v>
      </c>
      <c r="CD22">
        <v>0.27479357285200001</v>
      </c>
    </row>
    <row r="23" spans="1:82" x14ac:dyDescent="0.2">
      <c r="A23">
        <f t="shared" si="0"/>
        <v>13</v>
      </c>
      <c r="B23">
        <v>13.812129891430001</v>
      </c>
      <c r="C23">
        <v>0.153252625531</v>
      </c>
      <c r="D23">
        <v>-1.6717958222</v>
      </c>
      <c r="E23">
        <v>-0.48497821479696801</v>
      </c>
      <c r="F23">
        <v>-0.95185821659780001</v>
      </c>
      <c r="G23">
        <v>-0.86479226871456705</v>
      </c>
      <c r="H23">
        <v>0.13362917876300001</v>
      </c>
      <c r="I23">
        <v>-0.86369817969819995</v>
      </c>
      <c r="J23">
        <v>-0.52271775823989997</v>
      </c>
      <c r="K23">
        <v>0.24937682444390999</v>
      </c>
      <c r="L23">
        <v>-0.99772183683789994</v>
      </c>
      <c r="M23">
        <v>-0.34928998835795999</v>
      </c>
      <c r="N23">
        <v>-0.238945881317462</v>
      </c>
      <c r="O23">
        <v>-0.44794244750000001</v>
      </c>
      <c r="P23">
        <v>-0.67175993312444504</v>
      </c>
      <c r="Q23">
        <v>-0.25951567387982999</v>
      </c>
      <c r="R23">
        <v>-0.17873915346297001</v>
      </c>
      <c r="S23">
        <v>-0.29353136146761999</v>
      </c>
      <c r="T23">
        <v>-0.29186757612955899</v>
      </c>
      <c r="U23">
        <v>-0.55617333467436503</v>
      </c>
      <c r="V23">
        <v>-0.34749417366899998</v>
      </c>
      <c r="W23">
        <v>-0.23899251290000001</v>
      </c>
      <c r="X23">
        <v>-0.48131382716166798</v>
      </c>
      <c r="Y23">
        <v>-0.37226379369266999</v>
      </c>
      <c r="Z23">
        <v>-0.29589441612939998</v>
      </c>
      <c r="AA23">
        <v>-0.36525366964299999</v>
      </c>
      <c r="AB23">
        <v>-0.31925285746199999</v>
      </c>
      <c r="AC23">
        <v>-0.139259149875711</v>
      </c>
      <c r="AD23">
        <v>-0.25879256462571298</v>
      </c>
      <c r="AE23">
        <v>-0.74729172133997002</v>
      </c>
      <c r="AF23">
        <v>-0.25645283533136698</v>
      </c>
      <c r="AG23">
        <v>-0.26661893614243098</v>
      </c>
      <c r="AH23">
        <v>-0.23814593429149999</v>
      </c>
      <c r="AI23">
        <v>-0.25937144218337899</v>
      </c>
      <c r="AJ23">
        <v>-0.25383368842699999</v>
      </c>
      <c r="AK23">
        <v>-0.15375315514179999</v>
      </c>
      <c r="AL23">
        <v>-0.27698244428383001</v>
      </c>
      <c r="AM23">
        <v>-0.18733748377912099</v>
      </c>
      <c r="AO23">
        <v>-1.6314361327947304</v>
      </c>
      <c r="AP23">
        <v>-0.39125142592523998</v>
      </c>
      <c r="AQ23">
        <v>0.28334339118000001</v>
      </c>
      <c r="AR23">
        <v>-0.36563985782351299</v>
      </c>
      <c r="AS23">
        <v>-0.22681339996444</v>
      </c>
      <c r="AT23">
        <v>-0.34496198885489998</v>
      </c>
      <c r="AU23">
        <v>-0.51724893512341596</v>
      </c>
      <c r="AV23">
        <v>-0.22396827982987999</v>
      </c>
      <c r="AW23">
        <v>-2.3999118244400002</v>
      </c>
      <c r="AX23">
        <v>-0.88994845613473195</v>
      </c>
      <c r="AY23">
        <v>-0.16667483396158</v>
      </c>
      <c r="AZ23">
        <v>-0.92658515956411502</v>
      </c>
      <c r="BA23">
        <v>-0.135326985388</v>
      </c>
      <c r="BC23">
        <v>-0.222331434179562</v>
      </c>
      <c r="BD23">
        <v>-0.51553653783599995</v>
      </c>
      <c r="BE23">
        <v>0.24721539357283001</v>
      </c>
      <c r="BF23">
        <v>-0.32156131619427503</v>
      </c>
      <c r="BG23">
        <v>-0.22114112729400001</v>
      </c>
      <c r="BH23">
        <v>-0.67546259668295805</v>
      </c>
      <c r="BJ23">
        <v>-0.18592858618630001</v>
      </c>
      <c r="BK23">
        <v>-1.5446438495127</v>
      </c>
      <c r="BL23">
        <v>-0.12847969864358399</v>
      </c>
      <c r="BM23">
        <v>0.68538417522434003</v>
      </c>
      <c r="BN23">
        <v>-0.87877828438920003</v>
      </c>
      <c r="BO23">
        <v>-0.87693115695947998</v>
      </c>
      <c r="BP23">
        <v>-0.86387632843117002</v>
      </c>
      <c r="BQ23">
        <v>-0.86562811455972</v>
      </c>
      <c r="BR23">
        <v>-0.62485268435831998</v>
      </c>
      <c r="BS23">
        <v>-0.865357844616373</v>
      </c>
      <c r="BT23">
        <v>-0.23893612155539001</v>
      </c>
      <c r="BU23">
        <v>-0.19889967697888999</v>
      </c>
      <c r="BV23">
        <v>-0.13681159487186001</v>
      </c>
      <c r="BW23">
        <v>-0.37855591675669997</v>
      </c>
      <c r="BX23">
        <v>-0.37964711687264202</v>
      </c>
      <c r="BZ23">
        <v>-0.91896423663726001</v>
      </c>
      <c r="CA23">
        <v>-0.91652294144487001</v>
      </c>
      <c r="CB23">
        <v>-0.98641235919689996</v>
      </c>
      <c r="CC23">
        <v>0.31235332942790001</v>
      </c>
      <c r="CD23">
        <v>-0.49587834137861497</v>
      </c>
    </row>
    <row r="24" spans="1:82" x14ac:dyDescent="0.2">
      <c r="A24">
        <f t="shared" si="0"/>
        <v>23</v>
      </c>
      <c r="B24">
        <v>-35.299366939548001</v>
      </c>
      <c r="C24">
        <v>-0.15621632961236001</v>
      </c>
      <c r="K24">
        <v>-0.21482864137425201</v>
      </c>
      <c r="M24">
        <v>-0.62598996871935997</v>
      </c>
    </row>
    <row r="25" spans="1:82" x14ac:dyDescent="0.2">
      <c r="A25">
        <f t="shared" si="0"/>
        <v>33</v>
      </c>
      <c r="B25">
        <v>-58.513659168234</v>
      </c>
      <c r="C25">
        <v>-0.24956441733000001</v>
      </c>
      <c r="K25">
        <v>-0.54662739143544004</v>
      </c>
      <c r="M25">
        <v>-1.9839426573200001</v>
      </c>
    </row>
    <row r="26" spans="1:82" x14ac:dyDescent="0.2">
      <c r="A26">
        <f t="shared" si="0"/>
        <v>43</v>
      </c>
      <c r="B26">
        <v>-74.171664939192993</v>
      </c>
      <c r="C26">
        <v>-0.3766233279922</v>
      </c>
      <c r="K26">
        <v>-0.82249293252321598</v>
      </c>
      <c r="M26">
        <v>-1.3259155345428999</v>
      </c>
    </row>
    <row r="27" spans="1:82" x14ac:dyDescent="0.2">
      <c r="A27">
        <f t="shared" si="0"/>
        <v>53</v>
      </c>
      <c r="B27">
        <v>-84.679243564545999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3046-33AB-9947-B4A1-82859475659A}">
  <dimension ref="A1:CD68"/>
  <sheetViews>
    <sheetView workbookViewId="0"/>
  </sheetViews>
  <sheetFormatPr baseColWidth="10" defaultRowHeight="15" x14ac:dyDescent="0.2"/>
  <cols>
    <col min="1" max="1" width="17.6640625" customWidth="1"/>
  </cols>
  <sheetData>
    <row r="1" spans="1:82" x14ac:dyDescent="0.2">
      <c r="A1" s="2" t="s">
        <v>4</v>
      </c>
      <c r="B1" t="s">
        <v>28</v>
      </c>
      <c r="C1" t="s">
        <v>28</v>
      </c>
      <c r="D1" t="s">
        <v>28</v>
      </c>
      <c r="E1" t="s">
        <v>28</v>
      </c>
      <c r="F1" t="s">
        <v>28</v>
      </c>
      <c r="G1" t="s">
        <v>28</v>
      </c>
      <c r="H1" t="s">
        <v>28</v>
      </c>
      <c r="I1" t="s">
        <v>28</v>
      </c>
      <c r="J1" t="s">
        <v>28</v>
      </c>
      <c r="K1" t="s">
        <v>28</v>
      </c>
      <c r="L1" t="s">
        <v>28</v>
      </c>
      <c r="M1" t="s">
        <v>28</v>
      </c>
      <c r="N1" t="s">
        <v>28</v>
      </c>
      <c r="O1" t="s">
        <v>28</v>
      </c>
      <c r="P1" t="s">
        <v>28</v>
      </c>
      <c r="Q1" t="s">
        <v>28</v>
      </c>
      <c r="R1" t="s">
        <v>28</v>
      </c>
      <c r="S1" t="s">
        <v>28</v>
      </c>
      <c r="T1" t="s">
        <v>28</v>
      </c>
      <c r="U1" t="s">
        <v>28</v>
      </c>
      <c r="V1" t="s">
        <v>28</v>
      </c>
      <c r="W1" t="s">
        <v>28</v>
      </c>
      <c r="X1" t="s">
        <v>28</v>
      </c>
      <c r="Y1" t="s">
        <v>28</v>
      </c>
      <c r="Z1" t="s">
        <v>28</v>
      </c>
      <c r="AA1" t="s">
        <v>28</v>
      </c>
      <c r="AB1" t="s">
        <v>28</v>
      </c>
      <c r="AC1" t="s">
        <v>28</v>
      </c>
      <c r="AD1" t="s">
        <v>28</v>
      </c>
      <c r="AE1" t="s">
        <v>28</v>
      </c>
      <c r="AF1" t="s">
        <v>28</v>
      </c>
      <c r="AG1" t="s">
        <v>28</v>
      </c>
      <c r="AH1" t="s">
        <v>28</v>
      </c>
      <c r="AI1" t="s">
        <v>28</v>
      </c>
      <c r="AJ1" t="s">
        <v>28</v>
      </c>
      <c r="AK1" t="s">
        <v>28</v>
      </c>
      <c r="AL1" t="s">
        <v>28</v>
      </c>
      <c r="AM1" t="s">
        <v>28</v>
      </c>
      <c r="AN1" t="s">
        <v>28</v>
      </c>
      <c r="AO1" t="s">
        <v>28</v>
      </c>
      <c r="AP1" t="s">
        <v>28</v>
      </c>
      <c r="AQ1" t="s">
        <v>28</v>
      </c>
      <c r="AR1" t="s">
        <v>28</v>
      </c>
      <c r="AS1" t="s">
        <v>28</v>
      </c>
      <c r="AT1" t="s">
        <v>28</v>
      </c>
      <c r="AU1" t="s">
        <v>28</v>
      </c>
      <c r="AV1" t="s">
        <v>28</v>
      </c>
      <c r="AW1" t="s">
        <v>28</v>
      </c>
      <c r="AX1" t="s">
        <v>28</v>
      </c>
      <c r="AY1" t="s">
        <v>28</v>
      </c>
      <c r="AZ1" t="s">
        <v>28</v>
      </c>
      <c r="BA1" t="s">
        <v>28</v>
      </c>
      <c r="BB1" t="s">
        <v>28</v>
      </c>
      <c r="BC1" t="s">
        <v>28</v>
      </c>
      <c r="BD1" t="s">
        <v>28</v>
      </c>
      <c r="BE1" t="s">
        <v>28</v>
      </c>
      <c r="BF1" t="s">
        <v>28</v>
      </c>
      <c r="BG1" t="s">
        <v>28</v>
      </c>
      <c r="BH1" t="s">
        <v>28</v>
      </c>
      <c r="BI1" t="s">
        <v>28</v>
      </c>
      <c r="BJ1" t="s">
        <v>28</v>
      </c>
      <c r="BK1" t="s">
        <v>28</v>
      </c>
      <c r="BL1" t="s">
        <v>28</v>
      </c>
      <c r="BM1" t="s">
        <v>28</v>
      </c>
      <c r="BN1" t="s">
        <v>28</v>
      </c>
      <c r="BO1" t="s">
        <v>28</v>
      </c>
      <c r="BP1" t="s">
        <v>28</v>
      </c>
      <c r="BQ1" t="s">
        <v>28</v>
      </c>
      <c r="BR1" t="s">
        <v>28</v>
      </c>
      <c r="BS1" t="s">
        <v>28</v>
      </c>
      <c r="BT1" t="s">
        <v>28</v>
      </c>
      <c r="BU1" t="s">
        <v>28</v>
      </c>
      <c r="BV1" t="s">
        <v>28</v>
      </c>
      <c r="BW1" t="s">
        <v>28</v>
      </c>
      <c r="BX1" t="s">
        <v>28</v>
      </c>
      <c r="BY1" t="s">
        <v>28</v>
      </c>
      <c r="BZ1" t="s">
        <v>28</v>
      </c>
      <c r="CA1" t="s">
        <v>28</v>
      </c>
      <c r="CB1" t="s">
        <v>28</v>
      </c>
      <c r="CC1" t="s">
        <v>28</v>
      </c>
      <c r="CD1" t="s">
        <v>28</v>
      </c>
    </row>
    <row r="2" spans="1:82" x14ac:dyDescent="0.2">
      <c r="A2" s="2" t="s">
        <v>3</v>
      </c>
      <c r="B2" t="s">
        <v>74</v>
      </c>
      <c r="C2" t="s">
        <v>75</v>
      </c>
      <c r="D2" t="s">
        <v>76</v>
      </c>
      <c r="E2" t="s">
        <v>77</v>
      </c>
      <c r="F2" t="s">
        <v>78</v>
      </c>
      <c r="G2" t="s">
        <v>80</v>
      </c>
      <c r="H2" t="s">
        <v>81</v>
      </c>
      <c r="I2" t="s">
        <v>82</v>
      </c>
      <c r="J2" t="s">
        <v>83</v>
      </c>
      <c r="K2" t="s">
        <v>84</v>
      </c>
      <c r="L2" t="s">
        <v>85</v>
      </c>
      <c r="M2" t="s">
        <v>86</v>
      </c>
      <c r="N2" t="s">
        <v>87</v>
      </c>
      <c r="O2" t="s">
        <v>88</v>
      </c>
      <c r="P2" t="s">
        <v>89</v>
      </c>
      <c r="Q2" t="s">
        <v>90</v>
      </c>
      <c r="R2" t="s">
        <v>91</v>
      </c>
      <c r="S2" t="s">
        <v>92</v>
      </c>
      <c r="T2" t="s">
        <v>93</v>
      </c>
      <c r="U2" t="s">
        <v>94</v>
      </c>
      <c r="V2" t="s">
        <v>95</v>
      </c>
      <c r="W2" t="s">
        <v>97</v>
      </c>
      <c r="X2" t="s">
        <v>98</v>
      </c>
      <c r="Y2" t="s">
        <v>99</v>
      </c>
      <c r="Z2" t="s">
        <v>100</v>
      </c>
      <c r="AA2" t="s">
        <v>101</v>
      </c>
      <c r="AB2" t="s">
        <v>102</v>
      </c>
      <c r="AC2" t="s">
        <v>103</v>
      </c>
      <c r="AD2" t="s">
        <v>104</v>
      </c>
      <c r="AE2" t="s">
        <v>105</v>
      </c>
      <c r="AF2" t="s">
        <v>106</v>
      </c>
      <c r="AG2" t="s">
        <v>107</v>
      </c>
      <c r="AH2" t="s">
        <v>108</v>
      </c>
      <c r="AI2" t="s">
        <v>109</v>
      </c>
      <c r="AJ2" t="s">
        <v>110</v>
      </c>
      <c r="AK2" t="s">
        <v>111</v>
      </c>
      <c r="AL2" t="s">
        <v>112</v>
      </c>
      <c r="AM2" t="s">
        <v>113</v>
      </c>
      <c r="AN2" t="s">
        <v>114</v>
      </c>
      <c r="AO2" t="s">
        <v>115</v>
      </c>
      <c r="AP2" t="s">
        <v>116</v>
      </c>
      <c r="AQ2" t="s">
        <v>117</v>
      </c>
      <c r="AR2" t="s">
        <v>118</v>
      </c>
      <c r="AS2" t="s">
        <v>119</v>
      </c>
      <c r="AT2" t="s">
        <v>124</v>
      </c>
      <c r="AU2" t="s">
        <v>123</v>
      </c>
      <c r="AV2" t="s">
        <v>126</v>
      </c>
      <c r="AW2" t="s">
        <v>133</v>
      </c>
      <c r="AX2" t="s">
        <v>134</v>
      </c>
      <c r="AY2" t="s">
        <v>135</v>
      </c>
      <c r="AZ2" t="s">
        <v>136</v>
      </c>
      <c r="BA2" t="s">
        <v>137</v>
      </c>
      <c r="BB2" t="s">
        <v>138</v>
      </c>
      <c r="BC2" t="s">
        <v>139</v>
      </c>
      <c r="BD2" t="s">
        <v>140</v>
      </c>
      <c r="BE2" t="s">
        <v>127</v>
      </c>
      <c r="BF2" t="s">
        <v>128</v>
      </c>
      <c r="BG2" t="s">
        <v>129</v>
      </c>
      <c r="BH2" t="s">
        <v>130</v>
      </c>
      <c r="BI2" t="s">
        <v>131</v>
      </c>
      <c r="BJ2" t="s">
        <v>132</v>
      </c>
      <c r="BK2" t="s">
        <v>160</v>
      </c>
      <c r="BL2" t="s">
        <v>188</v>
      </c>
      <c r="BM2" t="s">
        <v>162</v>
      </c>
      <c r="BN2" t="s">
        <v>163</v>
      </c>
      <c r="BO2" t="s">
        <v>164</v>
      </c>
      <c r="BP2" t="s">
        <v>165</v>
      </c>
      <c r="BQ2" t="s">
        <v>166</v>
      </c>
      <c r="BR2" t="s">
        <v>167</v>
      </c>
      <c r="BS2" t="s">
        <v>168</v>
      </c>
      <c r="BT2" t="s">
        <v>190</v>
      </c>
      <c r="BU2" t="s">
        <v>169</v>
      </c>
      <c r="BV2" t="s">
        <v>191</v>
      </c>
      <c r="BW2" t="s">
        <v>157</v>
      </c>
      <c r="BX2" t="s">
        <v>192</v>
      </c>
      <c r="BY2" t="s">
        <v>158</v>
      </c>
      <c r="BZ2" t="s">
        <v>159</v>
      </c>
      <c r="CA2" t="s">
        <v>193</v>
      </c>
      <c r="CB2" t="s">
        <v>194</v>
      </c>
      <c r="CC2" t="s">
        <v>161</v>
      </c>
      <c r="CD2" t="s">
        <v>213</v>
      </c>
    </row>
    <row r="3" spans="1:82" x14ac:dyDescent="0.2">
      <c r="A3" s="2" t="s">
        <v>2</v>
      </c>
      <c r="B3">
        <v>6.391800536699999</v>
      </c>
      <c r="C3">
        <v>3.1770135480600001</v>
      </c>
      <c r="D3">
        <v>12.816808360899998</v>
      </c>
      <c r="E3">
        <v>6.4393644018000007</v>
      </c>
      <c r="F3">
        <v>4.1415547519999993</v>
      </c>
      <c r="G3">
        <v>6.7330414951999993</v>
      </c>
      <c r="H3">
        <v>6.1017497671000003</v>
      </c>
      <c r="I3">
        <v>5.2679979476000014</v>
      </c>
      <c r="J3">
        <v>1.9426925711999996</v>
      </c>
      <c r="K3">
        <v>7.2663764387999992</v>
      </c>
      <c r="L3">
        <v>9.8133792090527017</v>
      </c>
      <c r="M3">
        <v>5.9634416576470928</v>
      </c>
      <c r="N3">
        <v>8.621972916599999</v>
      </c>
      <c r="O3">
        <v>6.9784064186600006</v>
      </c>
      <c r="P3">
        <v>5.9439750680000003</v>
      </c>
      <c r="Q3">
        <v>9.3769842030999975</v>
      </c>
      <c r="R3">
        <v>5.7659015617000007</v>
      </c>
      <c r="S3">
        <v>4.9435101709999989</v>
      </c>
      <c r="T3">
        <v>6.3687977963999991</v>
      </c>
      <c r="U3">
        <v>4.2012945678399998</v>
      </c>
      <c r="V3">
        <v>1.94224344706537</v>
      </c>
      <c r="W3">
        <v>5.6914977681000014</v>
      </c>
      <c r="X3">
        <v>3.5272978020000001</v>
      </c>
      <c r="Y3">
        <v>3.3474243279999998</v>
      </c>
      <c r="Z3">
        <v>1.9251146577599998</v>
      </c>
      <c r="AA3">
        <v>1.9583813354699993</v>
      </c>
      <c r="AB3">
        <v>12.688791656000001</v>
      </c>
      <c r="AC3">
        <v>4.3809950771999997</v>
      </c>
      <c r="AD3">
        <v>6.8273253735999999</v>
      </c>
      <c r="AE3">
        <v>2.3971099300000001</v>
      </c>
      <c r="AF3">
        <v>3.900568452299999</v>
      </c>
      <c r="AG3">
        <v>4.0726768946000007</v>
      </c>
      <c r="AH3">
        <v>7.5345529800000008</v>
      </c>
      <c r="AI3">
        <v>4.4405213595999999</v>
      </c>
      <c r="AJ3">
        <v>2.5034119380000006</v>
      </c>
      <c r="AK3">
        <v>5.8217415102857135</v>
      </c>
      <c r="AL3">
        <v>5.4120773374000004</v>
      </c>
      <c r="AM3">
        <v>3.1308680299499994</v>
      </c>
      <c r="AN3">
        <v>2.1530791841999997</v>
      </c>
      <c r="AO3">
        <v>4.6828832297511145</v>
      </c>
      <c r="AP3">
        <v>4.5696121390500002</v>
      </c>
      <c r="AQ3">
        <v>5.4771448991999998</v>
      </c>
      <c r="AR3">
        <v>4.5332182904499998</v>
      </c>
      <c r="AS3">
        <v>6.2772916932000005</v>
      </c>
      <c r="AT3">
        <v>7.2507659897804499</v>
      </c>
      <c r="AU3">
        <v>5.2424940364182175</v>
      </c>
      <c r="AV3">
        <v>7.8035580797046311</v>
      </c>
      <c r="AW3">
        <v>4.3081732437999998</v>
      </c>
      <c r="AX3">
        <v>5.9116515077315306</v>
      </c>
      <c r="AY3">
        <v>6.3690267548859678</v>
      </c>
      <c r="AZ3">
        <v>1.9958043233230687</v>
      </c>
      <c r="BA3">
        <v>5.0152046884003711</v>
      </c>
      <c r="BB3">
        <v>2.8197356420516986</v>
      </c>
      <c r="BC3">
        <v>6.8148693932681876</v>
      </c>
      <c r="BD3">
        <v>5.2707788291051818</v>
      </c>
      <c r="BE3">
        <v>3.9566496721089051</v>
      </c>
      <c r="BF3">
        <v>5.5692706669773777</v>
      </c>
      <c r="BG3">
        <v>4.7930427101559818</v>
      </c>
      <c r="BH3">
        <v>4.9504883473366341</v>
      </c>
      <c r="BI3">
        <v>10.871165677992973</v>
      </c>
      <c r="BJ3">
        <v>7.4679808898985423</v>
      </c>
      <c r="BK3">
        <v>19.946134186819162</v>
      </c>
      <c r="BL3">
        <v>6.4223087544769069</v>
      </c>
      <c r="BM3">
        <v>3.6916910040154773</v>
      </c>
      <c r="BN3">
        <v>3.9347221929654719</v>
      </c>
      <c r="BO3">
        <v>3.9347221929654719</v>
      </c>
      <c r="BP3">
        <v>3.9347221929654719</v>
      </c>
      <c r="BQ3">
        <v>3.6236144062996232</v>
      </c>
      <c r="BR3">
        <v>4.5734651714511285</v>
      </c>
      <c r="BS3">
        <v>6.030428868010616</v>
      </c>
      <c r="BT3">
        <v>6.5530017198397887</v>
      </c>
      <c r="BU3">
        <v>3.777933176509281</v>
      </c>
      <c r="BV3">
        <v>21.360497201093356</v>
      </c>
      <c r="BW3">
        <v>5.1578729531264251</v>
      </c>
      <c r="BX3">
        <v>7.618925827711827</v>
      </c>
      <c r="BY3">
        <v>3.010194052165716</v>
      </c>
      <c r="BZ3">
        <v>4.5653243432231205</v>
      </c>
      <c r="CA3">
        <v>2.6636050095151971</v>
      </c>
      <c r="CB3">
        <v>4.3495176746170765</v>
      </c>
      <c r="CC3">
        <v>4.424043523818284</v>
      </c>
      <c r="CD3">
        <v>1.5789424310550071</v>
      </c>
    </row>
    <row r="4" spans="1:82" x14ac:dyDescent="0.2">
      <c r="A4" s="3" t="s">
        <v>1</v>
      </c>
      <c r="B4" t="s">
        <v>72</v>
      </c>
      <c r="C4" t="s">
        <v>72</v>
      </c>
      <c r="D4" t="s">
        <v>72</v>
      </c>
      <c r="E4" t="s">
        <v>72</v>
      </c>
      <c r="F4" t="s">
        <v>72</v>
      </c>
      <c r="G4" t="s">
        <v>72</v>
      </c>
      <c r="H4" t="s">
        <v>72</v>
      </c>
      <c r="I4" t="s">
        <v>72</v>
      </c>
      <c r="J4" t="s">
        <v>72</v>
      </c>
      <c r="K4" t="s">
        <v>72</v>
      </c>
      <c r="L4" t="s">
        <v>72</v>
      </c>
      <c r="M4" t="s">
        <v>72</v>
      </c>
      <c r="N4" t="s">
        <v>72</v>
      </c>
      <c r="O4" t="s">
        <v>72</v>
      </c>
      <c r="P4" t="s">
        <v>72</v>
      </c>
      <c r="Q4" t="s">
        <v>72</v>
      </c>
      <c r="R4" t="s">
        <v>72</v>
      </c>
      <c r="S4" t="s">
        <v>72</v>
      </c>
      <c r="T4" t="s">
        <v>72</v>
      </c>
      <c r="U4" t="s">
        <v>72</v>
      </c>
      <c r="V4" t="s">
        <v>72</v>
      </c>
      <c r="W4" t="s">
        <v>72</v>
      </c>
      <c r="X4" t="s">
        <v>72</v>
      </c>
      <c r="Y4" t="s">
        <v>72</v>
      </c>
      <c r="Z4" t="s">
        <v>72</v>
      </c>
      <c r="AA4" t="s">
        <v>72</v>
      </c>
      <c r="AB4" t="s">
        <v>72</v>
      </c>
      <c r="AC4" t="s">
        <v>72</v>
      </c>
      <c r="AD4" t="s">
        <v>72</v>
      </c>
      <c r="AE4" t="s">
        <v>72</v>
      </c>
      <c r="AF4" t="s">
        <v>72</v>
      </c>
      <c r="AG4" t="s">
        <v>72</v>
      </c>
      <c r="AH4" t="s">
        <v>72</v>
      </c>
      <c r="AI4" t="s">
        <v>72</v>
      </c>
      <c r="AJ4" t="s">
        <v>72</v>
      </c>
      <c r="AK4" t="s">
        <v>72</v>
      </c>
      <c r="AL4" t="s">
        <v>72</v>
      </c>
      <c r="AM4" t="s">
        <v>72</v>
      </c>
      <c r="AN4" t="s">
        <v>72</v>
      </c>
      <c r="AO4" t="s">
        <v>72</v>
      </c>
      <c r="AP4" t="s">
        <v>72</v>
      </c>
      <c r="AQ4" t="s">
        <v>72</v>
      </c>
      <c r="AR4" t="s">
        <v>72</v>
      </c>
      <c r="AS4" t="s">
        <v>72</v>
      </c>
      <c r="AT4" t="s">
        <v>72</v>
      </c>
      <c r="AU4" t="s">
        <v>72</v>
      </c>
      <c r="AV4" t="s">
        <v>72</v>
      </c>
      <c r="AW4" t="s">
        <v>155</v>
      </c>
      <c r="AX4" t="s">
        <v>155</v>
      </c>
      <c r="AY4" t="s">
        <v>155</v>
      </c>
      <c r="AZ4" t="s">
        <v>155</v>
      </c>
      <c r="BA4" t="s">
        <v>155</v>
      </c>
      <c r="BB4" t="s">
        <v>155</v>
      </c>
      <c r="BC4" t="s">
        <v>155</v>
      </c>
      <c r="BD4" t="s">
        <v>155</v>
      </c>
      <c r="BE4" t="s">
        <v>155</v>
      </c>
      <c r="BF4" t="s">
        <v>155</v>
      </c>
      <c r="BG4" t="s">
        <v>155</v>
      </c>
      <c r="BH4" t="s">
        <v>155</v>
      </c>
      <c r="BI4" t="s">
        <v>155</v>
      </c>
      <c r="BJ4" t="s">
        <v>155</v>
      </c>
      <c r="BK4" t="s">
        <v>187</v>
      </c>
      <c r="BL4" t="s">
        <v>187</v>
      </c>
      <c r="BM4" t="s">
        <v>187</v>
      </c>
      <c r="BN4" t="s">
        <v>187</v>
      </c>
      <c r="BO4" t="s">
        <v>187</v>
      </c>
      <c r="BP4" t="s">
        <v>187</v>
      </c>
      <c r="BQ4" t="s">
        <v>187</v>
      </c>
      <c r="BR4" t="s">
        <v>187</v>
      </c>
      <c r="BS4" t="s">
        <v>187</v>
      </c>
      <c r="BT4" t="s">
        <v>187</v>
      </c>
      <c r="BU4" t="s">
        <v>187</v>
      </c>
      <c r="BV4" t="s">
        <v>187</v>
      </c>
      <c r="BW4" t="s">
        <v>187</v>
      </c>
      <c r="BX4" t="s">
        <v>187</v>
      </c>
      <c r="BY4" t="s">
        <v>187</v>
      </c>
      <c r="BZ4" t="s">
        <v>187</v>
      </c>
      <c r="CA4" t="s">
        <v>187</v>
      </c>
      <c r="CB4" t="s">
        <v>187</v>
      </c>
      <c r="CC4" t="s">
        <v>187</v>
      </c>
      <c r="CD4" t="s">
        <v>187</v>
      </c>
    </row>
    <row r="5" spans="1:82" x14ac:dyDescent="0.2">
      <c r="A5" s="3" t="s">
        <v>0</v>
      </c>
      <c r="B5" t="s">
        <v>29</v>
      </c>
      <c r="C5" t="s">
        <v>30</v>
      </c>
      <c r="D5" t="s">
        <v>31</v>
      </c>
      <c r="E5" t="s">
        <v>32</v>
      </c>
      <c r="F5" t="s">
        <v>33</v>
      </c>
      <c r="G5" t="s">
        <v>34</v>
      </c>
      <c r="H5" t="s">
        <v>35</v>
      </c>
      <c r="I5" t="s">
        <v>36</v>
      </c>
      <c r="J5" t="s">
        <v>37</v>
      </c>
      <c r="K5" t="s">
        <v>38</v>
      </c>
      <c r="L5" t="s">
        <v>39</v>
      </c>
      <c r="M5" t="s">
        <v>40</v>
      </c>
      <c r="N5" t="s">
        <v>41</v>
      </c>
      <c r="O5" t="s">
        <v>42</v>
      </c>
      <c r="P5" t="s">
        <v>43</v>
      </c>
      <c r="Q5" t="s">
        <v>44</v>
      </c>
      <c r="R5" t="s">
        <v>45</v>
      </c>
      <c r="S5" t="s">
        <v>46</v>
      </c>
      <c r="T5" t="s">
        <v>47</v>
      </c>
      <c r="U5" t="s">
        <v>48</v>
      </c>
      <c r="V5" t="s">
        <v>96</v>
      </c>
      <c r="W5" t="s">
        <v>49</v>
      </c>
      <c r="X5" t="s">
        <v>50</v>
      </c>
      <c r="Y5" t="s">
        <v>51</v>
      </c>
      <c r="Z5" t="s">
        <v>52</v>
      </c>
      <c r="AA5" t="s">
        <v>53</v>
      </c>
      <c r="AB5" t="s">
        <v>54</v>
      </c>
      <c r="AC5" t="s">
        <v>55</v>
      </c>
      <c r="AD5" t="s">
        <v>56</v>
      </c>
      <c r="AE5" t="s">
        <v>57</v>
      </c>
      <c r="AF5" t="s">
        <v>58</v>
      </c>
      <c r="AG5" t="s">
        <v>59</v>
      </c>
      <c r="AH5" t="s">
        <v>60</v>
      </c>
      <c r="AI5" t="s">
        <v>61</v>
      </c>
      <c r="AJ5" t="s">
        <v>62</v>
      </c>
      <c r="AK5" t="s">
        <v>63</v>
      </c>
      <c r="AL5" t="s">
        <v>64</v>
      </c>
      <c r="AM5" t="s">
        <v>65</v>
      </c>
      <c r="AN5" t="s">
        <v>66</v>
      </c>
      <c r="AO5" t="s">
        <v>67</v>
      </c>
      <c r="AP5" t="s">
        <v>68</v>
      </c>
      <c r="AQ5" t="s">
        <v>69</v>
      </c>
      <c r="AR5" t="s">
        <v>70</v>
      </c>
      <c r="AS5" t="s">
        <v>71</v>
      </c>
      <c r="AT5" t="s">
        <v>121</v>
      </c>
      <c r="AU5" t="s">
        <v>122</v>
      </c>
      <c r="AV5" t="s">
        <v>125</v>
      </c>
      <c r="AW5" t="s">
        <v>147</v>
      </c>
      <c r="AX5" t="s">
        <v>148</v>
      </c>
      <c r="AY5" t="s">
        <v>149</v>
      </c>
      <c r="AZ5" t="s">
        <v>150</v>
      </c>
      <c r="BA5" t="s">
        <v>151</v>
      </c>
      <c r="BB5" t="s">
        <v>152</v>
      </c>
      <c r="BC5" t="s">
        <v>153</v>
      </c>
      <c r="BD5" t="s">
        <v>154</v>
      </c>
      <c r="BE5" t="s">
        <v>141</v>
      </c>
      <c r="BF5" t="s">
        <v>142</v>
      </c>
      <c r="BG5" t="s">
        <v>143</v>
      </c>
      <c r="BH5" t="s">
        <v>144</v>
      </c>
      <c r="BI5" t="s">
        <v>145</v>
      </c>
      <c r="BJ5" t="s">
        <v>146</v>
      </c>
      <c r="BK5" t="s">
        <v>177</v>
      </c>
      <c r="BL5" t="s">
        <v>179</v>
      </c>
      <c r="BM5" t="s">
        <v>180</v>
      </c>
      <c r="BN5" t="s">
        <v>181</v>
      </c>
      <c r="BO5" t="s">
        <v>181</v>
      </c>
      <c r="BP5" t="s">
        <v>181</v>
      </c>
      <c r="BQ5" t="s">
        <v>182</v>
      </c>
      <c r="BR5" t="s">
        <v>183</v>
      </c>
      <c r="BS5" t="s">
        <v>184</v>
      </c>
      <c r="BT5" t="s">
        <v>185</v>
      </c>
      <c r="BU5" t="s">
        <v>186</v>
      </c>
      <c r="BV5" t="s">
        <v>170</v>
      </c>
      <c r="BW5" t="s">
        <v>171</v>
      </c>
      <c r="BX5" t="s">
        <v>172</v>
      </c>
      <c r="BY5" t="s">
        <v>173</v>
      </c>
      <c r="BZ5" t="s">
        <v>174</v>
      </c>
      <c r="CA5" t="s">
        <v>175</v>
      </c>
      <c r="CB5" t="s">
        <v>176</v>
      </c>
      <c r="CC5" t="s">
        <v>178</v>
      </c>
      <c r="CD5" t="s">
        <v>189</v>
      </c>
    </row>
    <row r="6" spans="1:82" x14ac:dyDescent="0.2">
      <c r="A6" s="3" t="s">
        <v>249</v>
      </c>
      <c r="B6">
        <v>83.467232308913708</v>
      </c>
      <c r="C6">
        <v>80.759358348922405</v>
      </c>
      <c r="D6">
        <v>68.928995223489011</v>
      </c>
      <c r="E6">
        <v>66.815075435537722</v>
      </c>
      <c r="F6">
        <v>62.52941443381826</v>
      </c>
      <c r="G6">
        <v>62.52941443381826</v>
      </c>
      <c r="H6">
        <v>89.16513640366901</v>
      </c>
      <c r="I6">
        <v>74.387888406726972</v>
      </c>
      <c r="J6">
        <v>63.635862889578831</v>
      </c>
      <c r="K6">
        <v>83.113424726588946</v>
      </c>
      <c r="L6">
        <v>66.673909753113477</v>
      </c>
      <c r="M6">
        <v>79.039643119828511</v>
      </c>
      <c r="N6">
        <v>69.077380200390934</v>
      </c>
      <c r="O6">
        <v>64.502277086484</v>
      </c>
      <c r="P6">
        <v>67.192471000262685</v>
      </c>
      <c r="Q6">
        <v>69.99842602780727</v>
      </c>
      <c r="R6">
        <v>69.329094589849092</v>
      </c>
      <c r="S6">
        <v>64.902961104974551</v>
      </c>
      <c r="T6">
        <v>67.529389938212688</v>
      </c>
      <c r="U6">
        <v>67.193702024200689</v>
      </c>
      <c r="V6">
        <v>68.958127896240072</v>
      </c>
      <c r="W6">
        <v>63.739540526895922</v>
      </c>
      <c r="X6">
        <v>70.079050023627289</v>
      </c>
      <c r="Y6">
        <v>67.526456759839277</v>
      </c>
      <c r="Z6">
        <v>68.919710351441893</v>
      </c>
      <c r="AA6">
        <v>66.69755856342293</v>
      </c>
      <c r="AB6">
        <v>68.752288154846298</v>
      </c>
      <c r="AC6">
        <v>76.842893503024854</v>
      </c>
      <c r="AD6">
        <v>75.437003962535627</v>
      </c>
      <c r="AE6">
        <v>61.661204356034986</v>
      </c>
      <c r="AF6">
        <v>69.59893415872439</v>
      </c>
      <c r="AG6">
        <v>68.78431747203085</v>
      </c>
      <c r="AH6">
        <v>68.256326001780565</v>
      </c>
      <c r="AI6">
        <v>67.11527560112458</v>
      </c>
      <c r="AJ6">
        <v>72.623911909794586</v>
      </c>
      <c r="AK6">
        <v>72.416369657324907</v>
      </c>
      <c r="AL6">
        <v>69.174808171465699</v>
      </c>
      <c r="AM6">
        <v>71.482221495272867</v>
      </c>
      <c r="AN6">
        <v>-117.29757039530209</v>
      </c>
      <c r="AO6">
        <v>63.753933857467686</v>
      </c>
      <c r="AP6">
        <v>62.339415120267532</v>
      </c>
      <c r="AQ6">
        <v>71.5022282675681</v>
      </c>
      <c r="AR6">
        <v>61.569407343527658</v>
      </c>
      <c r="AS6">
        <v>70.907731274788773</v>
      </c>
      <c r="AT6">
        <v>68.576315255293409</v>
      </c>
      <c r="AU6">
        <v>69.376284994700654</v>
      </c>
      <c r="AV6">
        <v>59.388438368774999</v>
      </c>
      <c r="AW6">
        <v>70.852230256793121</v>
      </c>
      <c r="AX6">
        <v>76.378179687077775</v>
      </c>
      <c r="AY6">
        <v>69.300642551639839</v>
      </c>
      <c r="AZ6">
        <v>79.149655148545364</v>
      </c>
      <c r="BA6">
        <v>75.606516199614745</v>
      </c>
      <c r="BB6">
        <v>70.9433793518388</v>
      </c>
      <c r="BC6">
        <v>66.585212796932623</v>
      </c>
      <c r="BD6">
        <v>62.918459054080969</v>
      </c>
      <c r="BE6">
        <v>80.866732179683297</v>
      </c>
      <c r="BF6">
        <v>65.825537358862462</v>
      </c>
      <c r="BG6">
        <v>79.440505189958301</v>
      </c>
      <c r="BH6">
        <v>67.641879224382393</v>
      </c>
      <c r="BI6">
        <v>67.936147612163325</v>
      </c>
      <c r="BJ6">
        <v>71.52202912808599</v>
      </c>
      <c r="BK6">
        <v>69.943577375040945</v>
      </c>
      <c r="BL6">
        <v>66.996360103271101</v>
      </c>
      <c r="BM6">
        <v>76.276151074045515</v>
      </c>
      <c r="BN6">
        <v>174.56350994896241</v>
      </c>
      <c r="BO6">
        <v>174.56350994896241</v>
      </c>
      <c r="BP6">
        <v>174.56350994896241</v>
      </c>
      <c r="BQ6">
        <v>59.122125524610894</v>
      </c>
      <c r="BR6">
        <v>60.784318337011747</v>
      </c>
      <c r="BS6">
        <v>62.997097984867466</v>
      </c>
      <c r="BT6">
        <v>69.280782984754651</v>
      </c>
      <c r="BU6">
        <v>81.764581739266148</v>
      </c>
      <c r="BV6">
        <v>67.686856940583795</v>
      </c>
      <c r="BW6">
        <v>76.294854623650409</v>
      </c>
      <c r="BX6">
        <v>73.352259621496572</v>
      </c>
      <c r="BY6">
        <v>60.942561387600279</v>
      </c>
      <c r="BZ6">
        <v>57.646827647800471</v>
      </c>
      <c r="CA6">
        <v>55.57660043927649</v>
      </c>
      <c r="CB6">
        <v>70.073712342977672</v>
      </c>
      <c r="CC6">
        <v>114.83618421124586</v>
      </c>
      <c r="CD6">
        <v>75.039409469252888</v>
      </c>
    </row>
    <row r="7" spans="1:82" x14ac:dyDescent="0.2">
      <c r="A7" s="3">
        <v>-80</v>
      </c>
      <c r="B7">
        <v>-2.1945193783565</v>
      </c>
      <c r="C7">
        <v>0.22116774568559999</v>
      </c>
      <c r="D7">
        <v>-1.597191196933843</v>
      </c>
      <c r="E7">
        <v>0.24574327552854</v>
      </c>
      <c r="F7">
        <v>-2.1325883976850002</v>
      </c>
      <c r="G7">
        <v>-2.1325883976850002</v>
      </c>
      <c r="H7">
        <v>-0.1733666285321</v>
      </c>
      <c r="I7">
        <v>-0.52419424815676996</v>
      </c>
      <c r="J7">
        <v>-0.61697876373000005</v>
      </c>
      <c r="K7">
        <v>-0.27593457415430001</v>
      </c>
      <c r="L7">
        <v>-0.261691537679</v>
      </c>
      <c r="M7">
        <v>0.11237238522449999</v>
      </c>
      <c r="N7">
        <v>-0.42239724221524</v>
      </c>
      <c r="O7">
        <v>0.24657713383652999</v>
      </c>
      <c r="P7">
        <v>-0.38246763451132998</v>
      </c>
      <c r="Q7">
        <v>-0.47295357591279003</v>
      </c>
      <c r="R7">
        <v>-0.33499671378770002</v>
      </c>
      <c r="S7">
        <v>0.32576559339383099</v>
      </c>
      <c r="T7">
        <v>-0.26745526378425799</v>
      </c>
      <c r="U7">
        <v>-0.26625445562516498</v>
      </c>
      <c r="V7">
        <v>-0.14567497323695</v>
      </c>
      <c r="W7">
        <v>-0.1157214699291</v>
      </c>
      <c r="X7">
        <v>-0.45366796643419999</v>
      </c>
      <c r="Y7">
        <v>-0.14546433919000001</v>
      </c>
      <c r="Z7">
        <v>-0.88722177814477399</v>
      </c>
      <c r="AA7">
        <v>-0.58359917285899998</v>
      </c>
      <c r="AB7">
        <v>0.26841555478387003</v>
      </c>
      <c r="AC7">
        <v>-0.87921628783554595</v>
      </c>
      <c r="AD7">
        <v>-0.43583995190000002</v>
      </c>
      <c r="AE7">
        <v>-0.11732733343640001</v>
      </c>
      <c r="AF7">
        <v>0.18251612395639999</v>
      </c>
      <c r="AG7">
        <v>-0.24552771421700001</v>
      </c>
      <c r="AH7">
        <v>0.247146487351</v>
      </c>
      <c r="AI7">
        <v>-0.13818623188189999</v>
      </c>
      <c r="AJ7">
        <v>0.17376762282899999</v>
      </c>
      <c r="AK7">
        <v>0.8454138662324</v>
      </c>
      <c r="AL7">
        <v>0.67231229193649999</v>
      </c>
      <c r="AM7">
        <v>-0.699365934737325</v>
      </c>
      <c r="AN7">
        <v>0.88293115751120999</v>
      </c>
      <c r="AO7">
        <v>-0.538352497423636</v>
      </c>
      <c r="AP7">
        <v>-0.12172379846846999</v>
      </c>
      <c r="AQ7">
        <v>-0.96784539113279999</v>
      </c>
      <c r="AR7">
        <v>0.12931658492239001</v>
      </c>
      <c r="AS7">
        <v>0.12515852449709999</v>
      </c>
      <c r="AT7">
        <v>0.11419583831949601</v>
      </c>
      <c r="AU7">
        <v>-0.161259943852743</v>
      </c>
      <c r="AV7">
        <v>-0.14165212684789999</v>
      </c>
      <c r="AW7">
        <v>-0.65172958315229002</v>
      </c>
      <c r="AX7">
        <v>0.24944586586365999</v>
      </c>
      <c r="AY7">
        <v>-0.224492385814</v>
      </c>
      <c r="AZ7">
        <v>-0.148853723455</v>
      </c>
      <c r="BA7">
        <v>-0.47486375138584003</v>
      </c>
      <c r="BC7">
        <v>-0.18954648464000001</v>
      </c>
      <c r="BD7">
        <v>-0.27474157758938</v>
      </c>
      <c r="BF7">
        <v>-0.181823726213339</v>
      </c>
      <c r="BG7">
        <v>-0.39388444591639998</v>
      </c>
      <c r="BH7">
        <v>-0.14321921769000001</v>
      </c>
      <c r="BI7">
        <v>-0.33392942141199999</v>
      </c>
      <c r="BJ7">
        <v>-0.134942651291</v>
      </c>
      <c r="BK7">
        <v>0.88325921826641896</v>
      </c>
      <c r="BL7">
        <v>-0.59388937759468996</v>
      </c>
      <c r="BM7">
        <v>0.57923241386848001</v>
      </c>
      <c r="BN7">
        <v>-0.17355549867618</v>
      </c>
      <c r="BO7">
        <v>-0.19929595346410001</v>
      </c>
      <c r="BP7">
        <v>-0.13672346747378999</v>
      </c>
      <c r="BQ7">
        <v>-0.37166463224110002</v>
      </c>
      <c r="BR7">
        <v>-0.72839411799116005</v>
      </c>
      <c r="BS7">
        <v>-0.16188921725120001</v>
      </c>
      <c r="BT7">
        <v>-0.14633314146752999</v>
      </c>
      <c r="BV7">
        <v>0.36534285989940002</v>
      </c>
      <c r="BW7">
        <v>-0.145153346553</v>
      </c>
      <c r="BX7">
        <v>-0.11711166592128</v>
      </c>
      <c r="BY7">
        <v>-0.99986881836274999</v>
      </c>
      <c r="BZ7">
        <v>-0.18923715111559999</v>
      </c>
      <c r="CA7">
        <v>-0.335721472618975</v>
      </c>
      <c r="CB7">
        <v>-0.23158997243429999</v>
      </c>
      <c r="CC7">
        <v>0.53559167747952996</v>
      </c>
      <c r="CD7">
        <v>-0.23141596947269999</v>
      </c>
    </row>
    <row r="8" spans="1:82" x14ac:dyDescent="0.2">
      <c r="A8" s="3">
        <f>A7+10</f>
        <v>-70</v>
      </c>
      <c r="B8">
        <v>0.284646126389</v>
      </c>
      <c r="C8">
        <v>-0.235837994829422</v>
      </c>
      <c r="D8">
        <v>-1.7488293828279999</v>
      </c>
      <c r="E8">
        <v>0.61122592412627996</v>
      </c>
      <c r="F8">
        <v>-2.3347712599800001</v>
      </c>
      <c r="G8">
        <v>-2.3347712599800001</v>
      </c>
      <c r="H8">
        <v>0.11479758321816</v>
      </c>
      <c r="I8">
        <v>-0.66444729871134001</v>
      </c>
      <c r="J8">
        <v>0.34723454219596001</v>
      </c>
      <c r="K8">
        <v>-0.31935673352510002</v>
      </c>
      <c r="L8">
        <v>-0.23619645354993399</v>
      </c>
      <c r="M8">
        <v>-0.76858655452317004</v>
      </c>
      <c r="N8">
        <v>-0.47525444117679999</v>
      </c>
      <c r="O8">
        <v>-0.21954729147418001</v>
      </c>
      <c r="P8">
        <v>-0.37132121222511</v>
      </c>
      <c r="Q8">
        <v>-0.59713168517579995</v>
      </c>
      <c r="R8">
        <v>-0.35299754221697999</v>
      </c>
      <c r="S8">
        <v>0.48794194823662002</v>
      </c>
      <c r="T8">
        <v>-0.31357294568347999</v>
      </c>
      <c r="U8">
        <v>-0.26536875125868897</v>
      </c>
      <c r="V8">
        <v>-0.16445987892</v>
      </c>
      <c r="W8">
        <v>0.1243742199777</v>
      </c>
      <c r="X8">
        <v>-0.92894281638936305</v>
      </c>
      <c r="Y8">
        <v>-0.69832282224599995</v>
      </c>
      <c r="Z8">
        <v>0.78485249644550004</v>
      </c>
      <c r="AA8">
        <v>0.68197697471851904</v>
      </c>
      <c r="AB8">
        <v>-0.215383665267361</v>
      </c>
      <c r="AC8">
        <v>-0.44386499729130002</v>
      </c>
      <c r="AD8">
        <v>-0.42289512472511998</v>
      </c>
      <c r="AE8">
        <v>-0.48132319597887002</v>
      </c>
      <c r="AF8">
        <v>-0.257979869311871</v>
      </c>
      <c r="AG8">
        <v>-0.22924391447535</v>
      </c>
      <c r="AH8">
        <v>-0.26435993921770001</v>
      </c>
      <c r="AI8">
        <v>0.46222191762282</v>
      </c>
      <c r="AJ8">
        <v>-0.18224872693982999</v>
      </c>
      <c r="AK8">
        <v>-0.196251972125492</v>
      </c>
      <c r="AL8">
        <v>-0.16838498486491099</v>
      </c>
      <c r="AM8">
        <v>0.72853493478099995</v>
      </c>
      <c r="AN8">
        <v>0.699366549837246</v>
      </c>
      <c r="AO8">
        <v>-0.25861448394100001</v>
      </c>
      <c r="AP8">
        <v>-0.16267865379240001</v>
      </c>
      <c r="AQ8">
        <v>-0.146742912414</v>
      </c>
      <c r="AR8">
        <v>-0.18445221118161201</v>
      </c>
      <c r="AS8">
        <v>-0.13757437576699999</v>
      </c>
      <c r="AT8">
        <v>-0.78839925526843402</v>
      </c>
      <c r="AU8">
        <v>-0.251837671328</v>
      </c>
      <c r="AV8">
        <v>-0.16566351119665099</v>
      </c>
      <c r="AW8">
        <v>-0.82535731685132996</v>
      </c>
      <c r="AX8">
        <v>-0.35577724719815002</v>
      </c>
      <c r="AY8">
        <v>-0.12518532153541001</v>
      </c>
      <c r="AZ8">
        <v>-0.18715957266319999</v>
      </c>
      <c r="BA8">
        <v>0.57476564674249997</v>
      </c>
      <c r="BC8">
        <v>0.84731317121237004</v>
      </c>
      <c r="BD8">
        <v>0.82899387416597003</v>
      </c>
      <c r="BE8">
        <v>-0.29878888526550001</v>
      </c>
      <c r="BF8">
        <v>-0.25386834853794998</v>
      </c>
      <c r="BG8">
        <v>0.43494948526462002</v>
      </c>
      <c r="BH8">
        <v>-0.14574275647332</v>
      </c>
      <c r="BI8">
        <v>-0.228682567978441</v>
      </c>
      <c r="BJ8">
        <v>0.11352873487700001</v>
      </c>
      <c r="BK8">
        <v>0.61358221763175602</v>
      </c>
      <c r="BL8">
        <v>-0.61334332233986999</v>
      </c>
      <c r="BM8">
        <v>-0.67643146449280001</v>
      </c>
      <c r="BN8">
        <v>-0.22939267972729999</v>
      </c>
      <c r="BO8">
        <v>-0.279291621263</v>
      </c>
      <c r="BP8">
        <v>-0.15421377128425501</v>
      </c>
      <c r="BQ8">
        <v>-0.47275464875199003</v>
      </c>
      <c r="BR8">
        <v>0.16352152386880001</v>
      </c>
      <c r="BS8">
        <v>0.14519729956878999</v>
      </c>
      <c r="BT8">
        <v>-0.169696967461375</v>
      </c>
      <c r="BU8">
        <v>0.22281638315810001</v>
      </c>
      <c r="BV8">
        <v>-0.22715212339999999</v>
      </c>
      <c r="BW8">
        <v>-0.17311475255218201</v>
      </c>
      <c r="BX8">
        <v>0.118534577564</v>
      </c>
      <c r="BY8">
        <v>0.42277578735347998</v>
      </c>
      <c r="BZ8">
        <v>-0.14792876721153</v>
      </c>
      <c r="CA8">
        <v>-0.81389641263673995</v>
      </c>
      <c r="CB8">
        <v>0.38358848184315503</v>
      </c>
      <c r="CC8">
        <v>-0.17398978336457499</v>
      </c>
      <c r="CD8">
        <v>-0.23796661234387001</v>
      </c>
    </row>
    <row r="9" spans="1:82" x14ac:dyDescent="0.2">
      <c r="A9" s="3">
        <f t="shared" ref="A9:A27" si="0">A8+10</f>
        <v>-60</v>
      </c>
      <c r="B9">
        <v>-0.3448662355464</v>
      </c>
      <c r="C9">
        <v>-0.34539526629799999</v>
      </c>
      <c r="D9">
        <v>-2.4829254755250001</v>
      </c>
      <c r="E9">
        <v>-0.65823379693829998</v>
      </c>
      <c r="F9">
        <v>0.57981394388429996</v>
      </c>
      <c r="G9">
        <v>0.57981394388429996</v>
      </c>
      <c r="H9">
        <v>-0.24928758358243</v>
      </c>
      <c r="I9">
        <v>-0.79833357658675796</v>
      </c>
      <c r="J9">
        <v>0.15398654119800001</v>
      </c>
      <c r="K9">
        <v>-0.31795971788583</v>
      </c>
      <c r="L9">
        <v>-0.26774729361930999</v>
      </c>
      <c r="M9">
        <v>0.2453126969221</v>
      </c>
      <c r="N9">
        <v>-0.57872194887239004</v>
      </c>
      <c r="O9">
        <v>-0.18897336472750001</v>
      </c>
      <c r="P9">
        <v>0.97147918584000004</v>
      </c>
      <c r="Q9">
        <v>-0.76865564941943898</v>
      </c>
      <c r="R9">
        <v>-0.32832139584219999</v>
      </c>
      <c r="S9">
        <v>-0.215746862918162</v>
      </c>
      <c r="T9">
        <v>-0.31312324958909998</v>
      </c>
      <c r="U9">
        <v>-0.31167163314000002</v>
      </c>
      <c r="V9">
        <v>-0.153671472478736</v>
      </c>
      <c r="W9">
        <v>0.15175615937691</v>
      </c>
      <c r="X9">
        <v>0.52272721286168999</v>
      </c>
      <c r="Y9">
        <v>0.16278895898832799</v>
      </c>
      <c r="Z9">
        <v>0.77137723149222703</v>
      </c>
      <c r="AA9">
        <v>0.88132186696649994</v>
      </c>
      <c r="AB9">
        <v>0.22257172655568</v>
      </c>
      <c r="AC9">
        <v>-0.55513614175500003</v>
      </c>
      <c r="AD9">
        <v>-0.42444421369425001</v>
      </c>
      <c r="AE9">
        <v>0.47321792139699997</v>
      </c>
      <c r="AF9">
        <v>0.23987619295693</v>
      </c>
      <c r="AG9">
        <v>-0.32542328123719999</v>
      </c>
      <c r="AH9">
        <v>0.28741892411897002</v>
      </c>
      <c r="AI9">
        <v>0.15141274495736001</v>
      </c>
      <c r="AJ9">
        <v>0.21782636658000001</v>
      </c>
      <c r="AK9">
        <v>0.69762329716476001</v>
      </c>
      <c r="AL9">
        <v>-0.18988638846228001</v>
      </c>
      <c r="AM9">
        <v>0.78461682572577995</v>
      </c>
      <c r="AN9">
        <v>0.58627925193383901</v>
      </c>
      <c r="AO9">
        <v>-0.28654481535158699</v>
      </c>
      <c r="AP9">
        <v>-0.26353689387309998</v>
      </c>
      <c r="AQ9">
        <v>0.146349769293</v>
      </c>
      <c r="AR9">
        <v>-0.19819188397490001</v>
      </c>
      <c r="AS9">
        <v>-0.98126235182159405</v>
      </c>
      <c r="AT9">
        <v>-0.88227865634896996</v>
      </c>
      <c r="AU9">
        <v>-0.28983697914766099</v>
      </c>
      <c r="AV9">
        <v>-0.24381617484363999</v>
      </c>
      <c r="AW9">
        <v>-0.87799324973267101</v>
      </c>
      <c r="AX9">
        <v>0.28514417555777999</v>
      </c>
      <c r="AY9">
        <v>-0.27547425773717998</v>
      </c>
      <c r="AZ9">
        <v>-0.22174915281169999</v>
      </c>
      <c r="BA9">
        <v>0.179895423</v>
      </c>
      <c r="BD9">
        <v>0.13271596539817301</v>
      </c>
      <c r="BF9">
        <v>-0.27235664382550001</v>
      </c>
      <c r="BG9">
        <v>-0.31892643989693997</v>
      </c>
      <c r="BH9">
        <v>0.15158745386531</v>
      </c>
      <c r="BI9">
        <v>-0.27892747769545101</v>
      </c>
      <c r="BJ9">
        <v>-0.29468313768946502</v>
      </c>
      <c r="BK9">
        <v>-0.66813438114860002</v>
      </c>
      <c r="BL9">
        <v>-0.73774981865</v>
      </c>
      <c r="BM9">
        <v>0.16372447186540001</v>
      </c>
      <c r="BN9">
        <v>0.34583837554169999</v>
      </c>
      <c r="BO9">
        <v>-0.19956681767133</v>
      </c>
      <c r="BP9">
        <v>-0.18898989322000001</v>
      </c>
      <c r="BQ9">
        <v>-0.174797993644281</v>
      </c>
      <c r="BR9">
        <v>0.84948276333299999</v>
      </c>
      <c r="BS9">
        <v>-0.98121374655283</v>
      </c>
      <c r="BT9">
        <v>-0.22788876678600001</v>
      </c>
      <c r="BU9">
        <v>-0.64988866798856004</v>
      </c>
      <c r="BV9">
        <v>0.23715414549329999</v>
      </c>
      <c r="BW9">
        <v>-0.18563817788119999</v>
      </c>
      <c r="BX9">
        <v>0.38836884291266099</v>
      </c>
      <c r="BY9">
        <v>-0.47828745767833702</v>
      </c>
      <c r="BZ9">
        <v>0.1632235114783</v>
      </c>
      <c r="CA9">
        <v>-0.129161731927733</v>
      </c>
      <c r="CB9">
        <v>-0.22671552226193001</v>
      </c>
      <c r="CC9">
        <v>-0.72387659427679996</v>
      </c>
      <c r="CD9">
        <v>-0.72663337165499997</v>
      </c>
    </row>
    <row r="10" spans="1:82" x14ac:dyDescent="0.2">
      <c r="A10" s="3">
        <f t="shared" si="0"/>
        <v>-50</v>
      </c>
      <c r="B10">
        <v>0.44584569321645701</v>
      </c>
      <c r="C10">
        <v>0.43533194264399999</v>
      </c>
      <c r="D10">
        <v>-2.2416266582169477</v>
      </c>
      <c r="E10">
        <v>-1.1273646919564999</v>
      </c>
      <c r="F10">
        <v>-2.5789874485720001</v>
      </c>
      <c r="G10">
        <v>-2.5789874485720001</v>
      </c>
      <c r="H10">
        <v>0.16865377794841999</v>
      </c>
      <c r="I10">
        <v>-0.97115237278414002</v>
      </c>
      <c r="J10">
        <v>-0.16745197799274</v>
      </c>
      <c r="K10">
        <v>0.36385215140999999</v>
      </c>
      <c r="L10">
        <v>-0.33542327485479001</v>
      </c>
      <c r="M10">
        <v>-0.13849482375924099</v>
      </c>
      <c r="N10">
        <v>0.27619534795099998</v>
      </c>
      <c r="O10">
        <v>0.25477197159510001</v>
      </c>
      <c r="P10">
        <v>-0.44521253825899998</v>
      </c>
      <c r="Q10">
        <v>-0.84241885843200004</v>
      </c>
      <c r="R10">
        <v>-0.3893269576449</v>
      </c>
      <c r="S10">
        <v>-0.4181969215536</v>
      </c>
      <c r="T10">
        <v>0.27837652212366998</v>
      </c>
      <c r="U10">
        <v>0.44771683868829998</v>
      </c>
      <c r="V10">
        <v>-0.1984566223758</v>
      </c>
      <c r="W10">
        <v>-0.15651539792999999</v>
      </c>
      <c r="X10">
        <v>0.54833728492400002</v>
      </c>
      <c r="Y10">
        <v>0.81713519745631003</v>
      </c>
      <c r="Z10">
        <v>-0.1417465721493</v>
      </c>
      <c r="AA10">
        <v>-0.13647989744367001</v>
      </c>
      <c r="AB10">
        <v>-0.24131424764296999</v>
      </c>
      <c r="AC10">
        <v>-0.66119811798399997</v>
      </c>
      <c r="AD10">
        <v>-0.48429231132558997</v>
      </c>
      <c r="AE10">
        <v>0.14884965149367399</v>
      </c>
      <c r="AF10">
        <v>-0.32255792694159602</v>
      </c>
      <c r="AG10">
        <v>-0.14389858755421001</v>
      </c>
      <c r="AH10">
        <v>-0.49315468188314998</v>
      </c>
      <c r="AI10">
        <v>-0.21279989393580001</v>
      </c>
      <c r="AJ10">
        <v>-0.28161838318527199</v>
      </c>
      <c r="AK10">
        <v>-0.75461753798582998</v>
      </c>
      <c r="AL10">
        <v>-0.24222465566922499</v>
      </c>
      <c r="AM10">
        <v>-0.83952986643423999</v>
      </c>
      <c r="AN10">
        <v>0.47529646939143</v>
      </c>
      <c r="AO10">
        <v>-0.36167838349428</v>
      </c>
      <c r="AP10">
        <v>-0.19986598399700001</v>
      </c>
      <c r="AQ10">
        <v>0.12741817975459999</v>
      </c>
      <c r="AR10">
        <v>0.119662315739199</v>
      </c>
      <c r="AS10">
        <v>0.16242316733000001</v>
      </c>
      <c r="AT10">
        <v>0.92137678177885396</v>
      </c>
      <c r="AU10">
        <v>-0.34854679985499998</v>
      </c>
      <c r="AV10">
        <v>-0.21673582233399999</v>
      </c>
      <c r="AW10">
        <v>-0.94247119641999999</v>
      </c>
      <c r="AX10">
        <v>-0.4412866685354</v>
      </c>
      <c r="AY10">
        <v>-0.24535283617154</v>
      </c>
      <c r="AZ10">
        <v>-0.267847372435359</v>
      </c>
      <c r="BA10">
        <v>-0.17463123311289699</v>
      </c>
      <c r="BD10">
        <v>-0.25521933685319997</v>
      </c>
      <c r="BE10">
        <v>0.365886324534</v>
      </c>
      <c r="BF10">
        <v>-0.36462794384975</v>
      </c>
      <c r="BG10">
        <v>0.34356528368176098</v>
      </c>
      <c r="BH10">
        <v>0.39554392338099997</v>
      </c>
      <c r="BI10">
        <v>-0.32672311852571001</v>
      </c>
      <c r="BK10">
        <v>-0.28594244141199998</v>
      </c>
      <c r="BL10">
        <v>-0.98165713178370995</v>
      </c>
      <c r="BM10">
        <v>-0.12359449787295</v>
      </c>
      <c r="BN10">
        <v>-0.2982435164326</v>
      </c>
      <c r="BO10">
        <v>-0.226376697224</v>
      </c>
      <c r="BP10">
        <v>-0.2257626643598</v>
      </c>
      <c r="BQ10">
        <v>-0.12977495362194999</v>
      </c>
      <c r="BR10">
        <v>-0.29513827692110001</v>
      </c>
      <c r="BS10">
        <v>0.134381394853477</v>
      </c>
      <c r="BT10">
        <v>-0.11591883595154</v>
      </c>
      <c r="BV10">
        <v>-0.25735439117300002</v>
      </c>
      <c r="BW10">
        <v>-0.27919253612247003</v>
      </c>
      <c r="BX10">
        <v>-0.11642912535175801</v>
      </c>
      <c r="BY10">
        <v>0.12724354317256001</v>
      </c>
      <c r="BZ10">
        <v>-0.21883654876974001</v>
      </c>
      <c r="CA10">
        <v>-0.12292833216566</v>
      </c>
      <c r="CB10">
        <v>-0.18813934716555999</v>
      </c>
      <c r="CC10">
        <v>-0.19766968378786001</v>
      </c>
      <c r="CD10">
        <v>-0.63359655279387395</v>
      </c>
    </row>
    <row r="11" spans="1:82" x14ac:dyDescent="0.2">
      <c r="A11" s="3">
        <f t="shared" si="0"/>
        <v>-40</v>
      </c>
      <c r="B11">
        <v>0.53766565323490001</v>
      </c>
      <c r="C11">
        <v>0.54521619222725004</v>
      </c>
      <c r="D11">
        <v>-2.6299857455229443</v>
      </c>
      <c r="E11">
        <v>-1.3611581635150001</v>
      </c>
      <c r="F11">
        <v>-0.98481297333960005</v>
      </c>
      <c r="G11">
        <v>-0.98481297333960005</v>
      </c>
      <c r="H11">
        <v>-0.98744633178812102</v>
      </c>
      <c r="I11">
        <v>-1.9433377543429999</v>
      </c>
      <c r="J11">
        <v>-0.88212314986460005</v>
      </c>
      <c r="K11">
        <v>0.56878126626333003</v>
      </c>
      <c r="L11">
        <v>-0.31564815378470001</v>
      </c>
      <c r="M11">
        <v>-1.1669812248942</v>
      </c>
      <c r="N11">
        <v>-0.65188986711955998</v>
      </c>
      <c r="O11">
        <v>-0.32269917433500001</v>
      </c>
      <c r="P11">
        <v>0.11241335898146</v>
      </c>
      <c r="Q11">
        <v>-1.129147443256</v>
      </c>
      <c r="R11">
        <v>-0.45289579799322899</v>
      </c>
      <c r="S11">
        <v>1.773115157129</v>
      </c>
      <c r="T11">
        <v>0.28444384218160002</v>
      </c>
      <c r="U11">
        <v>-0.32265494815488999</v>
      </c>
      <c r="V11">
        <v>-0.27964781175128001</v>
      </c>
      <c r="W11">
        <v>-0.27392535174299998</v>
      </c>
      <c r="X11">
        <v>-0.36571965999832001</v>
      </c>
      <c r="Y11">
        <v>-0.39881875681851098</v>
      </c>
      <c r="Z11">
        <v>0.15681546367900001</v>
      </c>
      <c r="AA11">
        <v>0.15322885220999999</v>
      </c>
      <c r="AB11">
        <v>-0.31559861968372999</v>
      </c>
      <c r="AC11">
        <v>0.141712144171</v>
      </c>
      <c r="AD11">
        <v>0.1244447858991</v>
      </c>
      <c r="AE11">
        <v>0.144973373629735</v>
      </c>
      <c r="AF11">
        <v>-0.34648866199667</v>
      </c>
      <c r="AG11">
        <v>-0.37968845682471702</v>
      </c>
      <c r="AH11">
        <v>-0.63671446724400005</v>
      </c>
      <c r="AI11">
        <v>0.68217747194594003</v>
      </c>
      <c r="AJ11">
        <v>0.81328991812312001</v>
      </c>
      <c r="AK11">
        <v>0.48175938599759</v>
      </c>
      <c r="AL11">
        <v>-0.27943658536496002</v>
      </c>
      <c r="AM11">
        <v>0.19133925562599999</v>
      </c>
      <c r="AN11">
        <v>-0.32341358654367702</v>
      </c>
      <c r="AO11">
        <v>-0.461182982937</v>
      </c>
      <c r="AP11">
        <v>-0.26326724676899999</v>
      </c>
      <c r="AQ11">
        <v>-0.13864152773332999</v>
      </c>
      <c r="AR11">
        <v>-0.287486199232798</v>
      </c>
      <c r="AS11">
        <v>0.14599113951689999</v>
      </c>
      <c r="AT11">
        <v>-0.12998179675900001</v>
      </c>
      <c r="AU11">
        <v>-0.36921726116499998</v>
      </c>
      <c r="AV11">
        <v>-0.19734342375239999</v>
      </c>
      <c r="AW11">
        <v>-1.11418179374</v>
      </c>
      <c r="AX11">
        <v>0.92261264996199999</v>
      </c>
      <c r="AY11">
        <v>0.2964683647711</v>
      </c>
      <c r="AZ11">
        <v>-0.33595441627560002</v>
      </c>
      <c r="BA11">
        <v>-0.18492486232117</v>
      </c>
      <c r="BB11">
        <v>-0.34444991378251</v>
      </c>
      <c r="BC11">
        <v>-0.1759699854149</v>
      </c>
      <c r="BD11">
        <v>-0.31262911617396999</v>
      </c>
      <c r="BE11">
        <v>0.18582278759727</v>
      </c>
      <c r="BF11">
        <v>-0.38374894311500002</v>
      </c>
      <c r="BG11">
        <v>-0.464693842343814</v>
      </c>
      <c r="BH11">
        <v>-0.68666187132666001</v>
      </c>
      <c r="BI11">
        <v>-0.32465943826976001</v>
      </c>
      <c r="BJ11">
        <v>0.355744412166</v>
      </c>
      <c r="BK11">
        <v>-0.37126277986200001</v>
      </c>
      <c r="BL11">
        <v>0.27357372525582502</v>
      </c>
      <c r="BM11">
        <v>-0.1495523591124</v>
      </c>
      <c r="BN11">
        <v>-0.35462259127669998</v>
      </c>
      <c r="BO11">
        <v>-0.28776158176909999</v>
      </c>
      <c r="BP11">
        <v>-0.211754619711116</v>
      </c>
      <c r="BQ11">
        <v>-0.82333714243772405</v>
      </c>
      <c r="BR11">
        <v>0.2266972776757</v>
      </c>
      <c r="BS11">
        <v>0.15771252385359999</v>
      </c>
      <c r="BT11">
        <v>-0.31834845833100001</v>
      </c>
      <c r="BU11">
        <v>-0.57793688868399995</v>
      </c>
      <c r="BV11">
        <v>-0.25634375716449997</v>
      </c>
      <c r="BW11">
        <v>-0.14642734332592999</v>
      </c>
      <c r="BX11">
        <v>-0.31737725485213403</v>
      </c>
      <c r="BY11">
        <v>-0.42569795845871</v>
      </c>
      <c r="BZ11">
        <v>-0.24962753987976</v>
      </c>
      <c r="CA11">
        <v>0.34936667843380997</v>
      </c>
      <c r="CB11">
        <v>0.1996724343472</v>
      </c>
      <c r="CC11">
        <v>-0.21662321296891701</v>
      </c>
      <c r="CD11">
        <v>-0.96451512665968997</v>
      </c>
    </row>
    <row r="12" spans="1:82" x14ac:dyDescent="0.2">
      <c r="A12" s="3">
        <f t="shared" si="0"/>
        <v>-30</v>
      </c>
      <c r="B12">
        <v>3.4841453215569871</v>
      </c>
      <c r="C12">
        <v>2.7328623527155447</v>
      </c>
      <c r="D12">
        <v>-2.5513861443270001</v>
      </c>
      <c r="E12">
        <v>1.8334733257689999</v>
      </c>
      <c r="F12">
        <v>1.5583227478854</v>
      </c>
      <c r="G12">
        <v>1.5583227478854</v>
      </c>
      <c r="H12">
        <v>0.32621993461490001</v>
      </c>
      <c r="I12">
        <v>3.9397561286272289</v>
      </c>
      <c r="J12">
        <v>0.39487148834480001</v>
      </c>
      <c r="K12">
        <v>1.1734985278300001</v>
      </c>
      <c r="L12">
        <v>0.3621881438913</v>
      </c>
      <c r="M12">
        <v>0.62784538973785098</v>
      </c>
      <c r="N12">
        <v>1.2141173459750001</v>
      </c>
      <c r="O12">
        <v>0.72676185241567004</v>
      </c>
      <c r="P12">
        <v>0.12948682465799999</v>
      </c>
      <c r="Q12">
        <v>-1.321152672474857</v>
      </c>
      <c r="R12">
        <v>0.52643158117239996</v>
      </c>
      <c r="S12">
        <v>4.5442634825760004</v>
      </c>
      <c r="T12">
        <v>2.7859446199668354</v>
      </c>
      <c r="U12">
        <v>0.45617772357948999</v>
      </c>
      <c r="V12">
        <v>0.22637125721500001</v>
      </c>
      <c r="W12">
        <v>0.38527968688976999</v>
      </c>
      <c r="X12">
        <v>0.44865222675749999</v>
      </c>
      <c r="Y12">
        <v>0.18559823792188099</v>
      </c>
      <c r="Z12">
        <v>0.65786753987436697</v>
      </c>
      <c r="AA12">
        <v>0.67356395479099995</v>
      </c>
      <c r="AB12">
        <v>0.66552446779962604</v>
      </c>
      <c r="AC12">
        <v>1.8288433947525</v>
      </c>
      <c r="AD12">
        <v>-0.53416894769809997</v>
      </c>
      <c r="AE12">
        <v>0.44257577674276999</v>
      </c>
      <c r="AF12">
        <v>0.59653597852699602</v>
      </c>
      <c r="AG12">
        <v>0.29464143663850001</v>
      </c>
      <c r="AH12">
        <v>-0.62946367143000004</v>
      </c>
      <c r="AI12">
        <v>0.39382918649853899</v>
      </c>
      <c r="AJ12">
        <v>0.24744912583941001</v>
      </c>
      <c r="AK12">
        <v>0.354456524514</v>
      </c>
      <c r="AL12">
        <v>-0.37473438978820001</v>
      </c>
      <c r="AM12">
        <v>-0.15668936174430001</v>
      </c>
      <c r="AN12">
        <v>-0.119213262764553</v>
      </c>
      <c r="AO12">
        <v>0.55817671489999998</v>
      </c>
      <c r="AP12">
        <v>-0.31847697995980001</v>
      </c>
      <c r="AQ12">
        <v>-0.23523641969529999</v>
      </c>
      <c r="AR12">
        <v>0.35532223187799999</v>
      </c>
      <c r="AS12">
        <v>-0.13573497794634601</v>
      </c>
      <c r="AT12">
        <v>0.95193476231154905</v>
      </c>
      <c r="AU12">
        <v>-0.45659326358160002</v>
      </c>
      <c r="AV12">
        <v>0.13886159622713001</v>
      </c>
      <c r="AW12">
        <v>-1.1994714978376</v>
      </c>
      <c r="AX12">
        <v>1.6283657841662</v>
      </c>
      <c r="AY12">
        <v>2.4893532339972468</v>
      </c>
      <c r="AZ12">
        <v>-0.39972712554644002</v>
      </c>
      <c r="BA12">
        <v>0.1128754945849</v>
      </c>
      <c r="BB12">
        <v>-0.281556559411</v>
      </c>
      <c r="BC12">
        <v>0.23986961826641001</v>
      </c>
      <c r="BD12">
        <v>-0.58319849164831705</v>
      </c>
      <c r="BE12">
        <v>0.77327675695637998</v>
      </c>
      <c r="BF12">
        <v>-0.39716112244834001</v>
      </c>
      <c r="BG12">
        <v>0.47115916559900001</v>
      </c>
      <c r="BH12">
        <v>0.1135969143756</v>
      </c>
      <c r="BI12">
        <v>-0.34765518863647699</v>
      </c>
      <c r="BJ12">
        <v>0.29458854224637998</v>
      </c>
      <c r="BK12">
        <v>-0.58928297724357004</v>
      </c>
      <c r="BL12">
        <v>0.41361597278899997</v>
      </c>
      <c r="BM12">
        <v>0.16687525175988299</v>
      </c>
      <c r="BN12">
        <v>-0.39948417552320997</v>
      </c>
      <c r="BO12">
        <v>0.17138986183353</v>
      </c>
      <c r="BP12">
        <v>0.15823747674290001</v>
      </c>
      <c r="BQ12">
        <v>-0.24916442311157</v>
      </c>
      <c r="BR12">
        <v>0.27552479236272998</v>
      </c>
      <c r="BS12">
        <v>1.1147978783828965</v>
      </c>
      <c r="BT12">
        <v>-0.75771354811917901</v>
      </c>
      <c r="BU12">
        <v>0.28212283286899997</v>
      </c>
      <c r="BV12">
        <v>0.25163532983615999</v>
      </c>
      <c r="BW12">
        <v>-0.241917383796</v>
      </c>
      <c r="BX12">
        <v>0.86816984456669999</v>
      </c>
      <c r="BY12">
        <v>-0.91851749169463004</v>
      </c>
      <c r="BZ12">
        <v>-0.32252488747810998</v>
      </c>
      <c r="CA12">
        <v>0.18273625779974001</v>
      </c>
      <c r="CB12">
        <v>0.25151531275970002</v>
      </c>
      <c r="CC12">
        <v>0.97993481828578</v>
      </c>
      <c r="CD12">
        <v>0.16652871452000001</v>
      </c>
    </row>
    <row r="13" spans="1:82" x14ac:dyDescent="0.2">
      <c r="A13" s="3">
        <f t="shared" si="0"/>
        <v>-20</v>
      </c>
      <c r="B13">
        <v>21.553392299799999</v>
      </c>
      <c r="C13">
        <v>7.3624739586255616</v>
      </c>
      <c r="D13">
        <v>12.157196374295854</v>
      </c>
      <c r="E13">
        <v>16.386233542789999</v>
      </c>
      <c r="F13">
        <v>13.36939526344956</v>
      </c>
      <c r="G13">
        <v>13.36939526344956</v>
      </c>
      <c r="H13">
        <v>2.4659195435700001</v>
      </c>
      <c r="I13">
        <v>19.296272573848999</v>
      </c>
      <c r="J13">
        <v>4.5494834398600004</v>
      </c>
      <c r="K13">
        <v>1.16728213554</v>
      </c>
      <c r="L13">
        <v>2.8193686197180998</v>
      </c>
      <c r="M13">
        <v>11.45981294595</v>
      </c>
      <c r="N13">
        <v>16.43465839125</v>
      </c>
      <c r="O13">
        <v>5.7468521412725</v>
      </c>
      <c r="P13">
        <v>0.3963658739423</v>
      </c>
      <c r="Q13">
        <v>2.8585723812910002</v>
      </c>
      <c r="R13">
        <v>1.466666262296535</v>
      </c>
      <c r="S13">
        <v>9.5891587336782997</v>
      </c>
      <c r="T13">
        <v>6.7631239142119997</v>
      </c>
      <c r="U13">
        <v>3.6798856632426271</v>
      </c>
      <c r="V13">
        <v>1.52433536727</v>
      </c>
      <c r="W13">
        <v>1.827987385531</v>
      </c>
      <c r="X13">
        <v>2.6359279637115955</v>
      </c>
      <c r="Y13">
        <v>1.669177458976</v>
      </c>
      <c r="Z13">
        <v>2.1755441421100001</v>
      </c>
      <c r="AA13">
        <v>2.2268325767969999</v>
      </c>
      <c r="AB13">
        <v>2.5521379459495441</v>
      </c>
      <c r="AC13">
        <v>1.567143441781</v>
      </c>
      <c r="AD13">
        <v>-0.48299338989500001</v>
      </c>
      <c r="AE13">
        <v>2.1793276248629998</v>
      </c>
      <c r="AF13">
        <v>1.9567828298783705</v>
      </c>
      <c r="AG13">
        <v>2.191192661648</v>
      </c>
      <c r="AH13">
        <v>1.3624166446099999</v>
      </c>
      <c r="AI13">
        <v>1.7326271732697001</v>
      </c>
      <c r="AJ13">
        <v>1.7141488496881001</v>
      </c>
      <c r="AK13">
        <v>2.2397928379229999</v>
      </c>
      <c r="AL13">
        <v>-0.46653438348585002</v>
      </c>
      <c r="AM13">
        <v>0.62389286743519001</v>
      </c>
      <c r="AN13">
        <v>-1.3816665441139</v>
      </c>
      <c r="AO13">
        <v>1.5742858913990001</v>
      </c>
      <c r="AP13">
        <v>0.27283987437899998</v>
      </c>
      <c r="AQ13">
        <v>0.74283227333379998</v>
      </c>
      <c r="AR13">
        <v>0.46724176898167102</v>
      </c>
      <c r="AS13">
        <v>0.72952487541580002</v>
      </c>
      <c r="AT13">
        <v>0.33885166682614998</v>
      </c>
      <c r="AU13">
        <v>1.17473318171</v>
      </c>
      <c r="AV13">
        <v>0.29674572935480997</v>
      </c>
      <c r="AW13">
        <v>1.5278721885790001</v>
      </c>
      <c r="AX13">
        <v>1.6338469788800001</v>
      </c>
      <c r="AY13">
        <v>7.7993162999679999</v>
      </c>
      <c r="AZ13">
        <v>1.2367464511820001</v>
      </c>
      <c r="BA13">
        <v>1.2899324342557208</v>
      </c>
      <c r="BB13">
        <v>0.75768791354372</v>
      </c>
      <c r="BC13">
        <v>1.9248858297</v>
      </c>
      <c r="BD13">
        <v>0.96249975875159999</v>
      </c>
      <c r="BE13">
        <v>0.55594197917249999</v>
      </c>
      <c r="BF13">
        <v>0.12751877751830001</v>
      </c>
      <c r="BG13">
        <v>1.352358283726</v>
      </c>
      <c r="BH13">
        <v>0.34258955337859798</v>
      </c>
      <c r="BI13">
        <v>0.19481737856549999</v>
      </c>
      <c r="BJ13">
        <v>0.37112443764294401</v>
      </c>
      <c r="BK13">
        <v>1.6634946397236257</v>
      </c>
      <c r="BL13">
        <v>2.43367752218</v>
      </c>
      <c r="BM13">
        <v>0.93925155459427301</v>
      </c>
      <c r="BN13">
        <v>0.51187465161779999</v>
      </c>
      <c r="BO13">
        <v>0.89633478983799997</v>
      </c>
      <c r="BP13">
        <v>0.93288789529934002</v>
      </c>
      <c r="BQ13">
        <v>1.2823393773409999</v>
      </c>
      <c r="BR13">
        <v>1.3486616227570001</v>
      </c>
      <c r="BS13">
        <v>4.7628338245000004</v>
      </c>
      <c r="BT13">
        <v>0.78659512332734505</v>
      </c>
      <c r="BU13">
        <v>0.74472628279192998</v>
      </c>
      <c r="BV13">
        <v>1.4239992997569999</v>
      </c>
      <c r="BW13">
        <v>0.93932179463792098</v>
      </c>
      <c r="BX13">
        <v>1.1493379875770999</v>
      </c>
      <c r="BY13">
        <v>0.34865248531280002</v>
      </c>
      <c r="BZ13">
        <v>0.33333734747229998</v>
      </c>
      <c r="CA13">
        <v>0.47883839686955998</v>
      </c>
      <c r="CB13">
        <v>0.53972925329493004</v>
      </c>
      <c r="CC13">
        <v>0.233486281218934</v>
      </c>
      <c r="CD13">
        <v>0.378497642912</v>
      </c>
    </row>
    <row r="14" spans="1:82" x14ac:dyDescent="0.2">
      <c r="A14" s="3">
        <f t="shared" si="0"/>
        <v>-10</v>
      </c>
      <c r="B14">
        <v>53.298945946341</v>
      </c>
      <c r="C14">
        <v>1.3643836756937999</v>
      </c>
      <c r="D14">
        <v>34.718145687879002</v>
      </c>
      <c r="E14">
        <v>41.499836412324676</v>
      </c>
      <c r="F14">
        <v>37.289748519939998</v>
      </c>
      <c r="G14">
        <v>37.289748519939998</v>
      </c>
      <c r="H14">
        <v>1.9429414285441999</v>
      </c>
      <c r="I14">
        <v>22.998387178000002</v>
      </c>
      <c r="J14">
        <v>19.191961148610002</v>
      </c>
      <c r="K14">
        <v>29.846332753174998</v>
      </c>
      <c r="L14">
        <v>9.1546164391554683</v>
      </c>
      <c r="M14">
        <v>27.244952121910998</v>
      </c>
      <c r="N14">
        <v>19.64455148629677</v>
      </c>
      <c r="O14">
        <v>16.535316649999999</v>
      </c>
      <c r="P14">
        <v>1.666972757848</v>
      </c>
      <c r="Q14">
        <v>11.39699396632</v>
      </c>
      <c r="R14">
        <v>7.3216465890000002</v>
      </c>
      <c r="S14">
        <v>13.77783447335</v>
      </c>
      <c r="T14">
        <v>1.4845658211696999</v>
      </c>
      <c r="U14">
        <v>11.143666693958846</v>
      </c>
      <c r="V14">
        <v>5.8791742194971004</v>
      </c>
      <c r="W14">
        <v>5.376495658722436</v>
      </c>
      <c r="X14">
        <v>6.9831259844791003</v>
      </c>
      <c r="Y14">
        <v>5.2964754853473996</v>
      </c>
      <c r="Z14">
        <v>5.3627867476360001</v>
      </c>
      <c r="AA14">
        <v>5.1847448973118002</v>
      </c>
      <c r="AB14">
        <v>7.4481629856999998</v>
      </c>
      <c r="AC14">
        <v>16.49699519132</v>
      </c>
      <c r="AD14">
        <v>0.82415575777392003</v>
      </c>
      <c r="AE14">
        <v>3.9525665841473998</v>
      </c>
      <c r="AF14">
        <v>5.6454114147138332</v>
      </c>
      <c r="AG14">
        <v>5.3569615682110001</v>
      </c>
      <c r="AH14">
        <v>4.525297541177606</v>
      </c>
      <c r="AI14">
        <v>3.9244125634939002</v>
      </c>
      <c r="AJ14">
        <v>3.717887842712948</v>
      </c>
      <c r="AK14">
        <v>4.637827924999554</v>
      </c>
      <c r="AL14">
        <v>1.5285164921700001</v>
      </c>
      <c r="AM14">
        <v>2.6193599865431612</v>
      </c>
      <c r="AN14">
        <v>-3.2274729224223</v>
      </c>
      <c r="AO14">
        <v>2.6727111196252933</v>
      </c>
      <c r="AP14">
        <v>1.2369981515870001</v>
      </c>
      <c r="AQ14">
        <v>1.41529942845</v>
      </c>
      <c r="AR14">
        <v>1.7153694191960001</v>
      </c>
      <c r="AS14">
        <v>1.71471156298</v>
      </c>
      <c r="AT14">
        <v>1.8578211239392</v>
      </c>
      <c r="AU14">
        <v>4.9594224898897004</v>
      </c>
      <c r="AV14">
        <v>1.3112452332842073</v>
      </c>
      <c r="AW14">
        <v>7.5724553519780002</v>
      </c>
      <c r="AX14">
        <v>18.76386328461</v>
      </c>
      <c r="AY14">
        <v>13.84357611189</v>
      </c>
      <c r="AZ14">
        <v>4.418481321912</v>
      </c>
      <c r="BA14">
        <v>4.3416232372144004</v>
      </c>
      <c r="BB14">
        <v>1.6742361139890001</v>
      </c>
      <c r="BC14">
        <v>4.6633719613693998</v>
      </c>
      <c r="BD14">
        <v>3.3672341496522145</v>
      </c>
      <c r="BE14">
        <v>2.8213279685587001</v>
      </c>
      <c r="BF14">
        <v>1.293849923559</v>
      </c>
      <c r="BG14">
        <v>3.3335335733429998</v>
      </c>
      <c r="BH14">
        <v>1.242856578367</v>
      </c>
      <c r="BI14">
        <v>1.75587518699</v>
      </c>
      <c r="BJ14">
        <v>1.2471548399779999</v>
      </c>
      <c r="BK14">
        <v>8.339987884539557</v>
      </c>
      <c r="BL14">
        <v>5.8591544728422997</v>
      </c>
      <c r="BM14">
        <v>3.3183819464985</v>
      </c>
      <c r="BN14">
        <v>1.933538338670999</v>
      </c>
      <c r="BO14">
        <v>2.6178274165180002</v>
      </c>
      <c r="BP14">
        <v>2.1978267458253775</v>
      </c>
      <c r="BQ14">
        <v>3.729755779341148</v>
      </c>
      <c r="BR14">
        <v>4.1811972755121092</v>
      </c>
      <c r="BS14">
        <v>9.6116399381582998</v>
      </c>
      <c r="BT14">
        <v>2.4484579217839419</v>
      </c>
      <c r="BV14">
        <v>2.3871334134867999</v>
      </c>
      <c r="BW14">
        <v>0.61267238433983695</v>
      </c>
      <c r="BX14">
        <v>2.3876317965473119</v>
      </c>
      <c r="BY14">
        <v>1.9721227631622</v>
      </c>
      <c r="BZ14">
        <v>0.87747464258330998</v>
      </c>
      <c r="CA14">
        <v>1.3216515333166554</v>
      </c>
      <c r="CB14">
        <v>1.514286435731</v>
      </c>
      <c r="CC14">
        <v>0.69371993818833999</v>
      </c>
      <c r="CD14">
        <v>0.972185339629</v>
      </c>
    </row>
    <row r="15" spans="1:82" x14ac:dyDescent="0.2">
      <c r="A15" s="3">
        <f t="shared" si="0"/>
        <v>0</v>
      </c>
      <c r="B15">
        <v>79.942684656783001</v>
      </c>
      <c r="C15">
        <v>12.459829361342999</v>
      </c>
      <c r="D15">
        <v>39.612447572336002</v>
      </c>
      <c r="E15">
        <v>57.414276655160002</v>
      </c>
      <c r="F15">
        <v>48.535678359969943</v>
      </c>
      <c r="G15">
        <v>48.535678359969943</v>
      </c>
      <c r="H15">
        <v>2.2159343417309998</v>
      </c>
      <c r="I15">
        <v>23.932924822113002</v>
      </c>
      <c r="J15">
        <v>29.591414551825</v>
      </c>
      <c r="K15">
        <v>43.331375764999997</v>
      </c>
      <c r="L15">
        <v>14.8983986416</v>
      </c>
      <c r="M15">
        <v>32.736888281227998</v>
      </c>
      <c r="N15">
        <v>21.12995628517</v>
      </c>
      <c r="O15">
        <v>22.311798127624414</v>
      </c>
      <c r="P15">
        <v>11.868867598445</v>
      </c>
      <c r="Q15">
        <v>19.947988866940001</v>
      </c>
      <c r="R15">
        <v>15.81813492174</v>
      </c>
      <c r="S15">
        <v>15.55994298195</v>
      </c>
      <c r="T15">
        <v>12.74849732172661</v>
      </c>
      <c r="U15">
        <v>14.939197182369</v>
      </c>
      <c r="V15">
        <v>9.55919159862</v>
      </c>
      <c r="W15">
        <v>11.339669626596745</v>
      </c>
      <c r="X15">
        <v>11.273952464492183</v>
      </c>
      <c r="Y15">
        <v>9.8415446549460004</v>
      </c>
      <c r="Z15">
        <v>8.4259176113999992</v>
      </c>
      <c r="AA15">
        <v>8.7122295948689992</v>
      </c>
      <c r="AB15">
        <v>1.5764199157800001</v>
      </c>
      <c r="AC15">
        <v>2.7765574263000001</v>
      </c>
      <c r="AD15">
        <v>3.1367952400000001</v>
      </c>
      <c r="AE15">
        <v>4.6738453884910003</v>
      </c>
      <c r="AF15">
        <v>8.6514118692929998</v>
      </c>
      <c r="AG15">
        <v>7.8623976799947997</v>
      </c>
      <c r="AH15">
        <v>7.9292718646480003</v>
      </c>
      <c r="AI15">
        <v>6.8865291142562493</v>
      </c>
      <c r="AJ15">
        <v>5.8311169174285746</v>
      </c>
      <c r="AK15">
        <v>6.2488274132994999</v>
      </c>
      <c r="AL15">
        <v>4.9729285365745</v>
      </c>
      <c r="AM15">
        <v>4.7163213742897945</v>
      </c>
      <c r="AN15">
        <v>-4.155613564637922</v>
      </c>
      <c r="AO15">
        <v>3.9856312991279026</v>
      </c>
      <c r="AP15">
        <v>2.8223589713941002</v>
      </c>
      <c r="AQ15">
        <v>2.3833327365474002</v>
      </c>
      <c r="AR15">
        <v>1.7574189128579001</v>
      </c>
      <c r="AS15">
        <v>2.6932941932327998</v>
      </c>
      <c r="AT15">
        <v>2.8475586968930009</v>
      </c>
      <c r="AU15">
        <v>8.4219144832509993</v>
      </c>
      <c r="AV15">
        <v>2.6575278244399998</v>
      </c>
      <c r="AW15">
        <v>14.329767988811</v>
      </c>
      <c r="AX15">
        <v>24.549442698951999</v>
      </c>
      <c r="AY15">
        <v>17.516786642570999</v>
      </c>
      <c r="AZ15">
        <v>8.1523185834900005</v>
      </c>
      <c r="BA15">
        <v>7.8398334647472536</v>
      </c>
      <c r="BB15">
        <v>3.1591838746000001</v>
      </c>
      <c r="BC15">
        <v>6.3581521522219999</v>
      </c>
      <c r="BD15">
        <v>6.5572483585771</v>
      </c>
      <c r="BE15">
        <v>3.9531978657520002</v>
      </c>
      <c r="BF15">
        <v>2.6345894895300002</v>
      </c>
      <c r="BG15">
        <v>6.4979448435910001</v>
      </c>
      <c r="BH15">
        <v>1.878886572683</v>
      </c>
      <c r="BI15">
        <v>2.8721434428160002</v>
      </c>
      <c r="BJ15">
        <v>1.9439894718784687</v>
      </c>
      <c r="BK15">
        <v>14.836339613683</v>
      </c>
      <c r="BL15">
        <v>7.9835455433996012</v>
      </c>
      <c r="BM15">
        <v>5.15259723445</v>
      </c>
      <c r="BN15">
        <v>2.5516552665321952</v>
      </c>
      <c r="BO15">
        <v>2.866997564548369</v>
      </c>
      <c r="BP15">
        <v>2.7658814159945382</v>
      </c>
      <c r="BQ15">
        <v>6.2986428384471003</v>
      </c>
      <c r="BR15">
        <v>7.6253857859109999</v>
      </c>
      <c r="BS15">
        <v>12.135538642475</v>
      </c>
      <c r="BT15">
        <v>4.2849947633211354</v>
      </c>
      <c r="BU15">
        <v>3.4519526797196334</v>
      </c>
      <c r="BV15">
        <v>3.5629589916740998</v>
      </c>
      <c r="BW15">
        <v>2.26874351346</v>
      </c>
      <c r="BX15">
        <v>3.9229319453869653</v>
      </c>
      <c r="BY15">
        <v>3.4724717473869342</v>
      </c>
      <c r="BZ15">
        <v>1.5862341751344533</v>
      </c>
      <c r="CA15">
        <v>2.5285868787417001</v>
      </c>
      <c r="CB15">
        <v>1.4741934527624505</v>
      </c>
      <c r="CC15">
        <v>1.9575675453300001</v>
      </c>
      <c r="CD15">
        <v>1.5854628831411048</v>
      </c>
    </row>
    <row r="16" spans="1:82" x14ac:dyDescent="0.2">
      <c r="A16" s="3">
        <f t="shared" si="0"/>
        <v>10</v>
      </c>
      <c r="B16">
        <v>94.259438629151006</v>
      </c>
      <c r="C16">
        <v>13.524793231</v>
      </c>
      <c r="D16">
        <v>49.61539439569551</v>
      </c>
      <c r="E16">
        <v>62.842795146409998</v>
      </c>
      <c r="F16">
        <v>64.837697954437999</v>
      </c>
      <c r="G16">
        <v>64.837697954437999</v>
      </c>
      <c r="H16">
        <v>25.245695338720001</v>
      </c>
      <c r="I16">
        <v>24.915723887293847</v>
      </c>
      <c r="J16">
        <v>33.716465993349999</v>
      </c>
      <c r="K16">
        <v>5.5673887252140002</v>
      </c>
      <c r="L16">
        <v>18.342946153585828</v>
      </c>
      <c r="M16">
        <v>33.613166546000002</v>
      </c>
      <c r="N16">
        <v>23.988459535800001</v>
      </c>
      <c r="O16">
        <v>23.985759219596002</v>
      </c>
      <c r="P16">
        <v>27.899295914700001</v>
      </c>
      <c r="Q16">
        <v>24.229952225110001</v>
      </c>
      <c r="R16">
        <v>2.2178176389559998</v>
      </c>
      <c r="S16">
        <v>17.47938634234</v>
      </c>
      <c r="T16">
        <v>13.498841753419001</v>
      </c>
      <c r="U16">
        <v>15.693372539623001</v>
      </c>
      <c r="V16">
        <v>13.885841772473693</v>
      </c>
      <c r="W16">
        <v>15.519524592372999</v>
      </c>
      <c r="X16">
        <v>13.26912685397</v>
      </c>
      <c r="Y16">
        <v>14.4439672531</v>
      </c>
      <c r="Z16">
        <v>11.339322568121</v>
      </c>
      <c r="AA16">
        <v>11.771678779448999</v>
      </c>
      <c r="AB16">
        <v>11.836182229629999</v>
      </c>
      <c r="AC16">
        <v>21.343776477790001</v>
      </c>
      <c r="AD16">
        <v>8.2687462295949992</v>
      </c>
      <c r="AE16">
        <v>1.43784933599</v>
      </c>
      <c r="AF16">
        <v>1.415272733466</v>
      </c>
      <c r="AG16">
        <v>9.6222689961746823</v>
      </c>
      <c r="AH16">
        <v>1.917366568194</v>
      </c>
      <c r="AI16">
        <v>8.3738888236493008</v>
      </c>
      <c r="AJ16">
        <v>7.7849558483221699</v>
      </c>
      <c r="AK16">
        <v>7.1639537272734</v>
      </c>
      <c r="AL16">
        <v>6.2271363221460998</v>
      </c>
      <c r="AM16">
        <v>5.7175169725300004</v>
      </c>
      <c r="AN16">
        <v>-3.81567631895</v>
      </c>
      <c r="AO16">
        <v>5.1869493562119997</v>
      </c>
      <c r="AP16">
        <v>3.6325819266199999</v>
      </c>
      <c r="AQ16">
        <v>2.9584964883944052</v>
      </c>
      <c r="AR16">
        <v>2.3946586782860999</v>
      </c>
      <c r="AS16">
        <v>3.3892928216180986</v>
      </c>
      <c r="AT16">
        <v>4.4787826316995876</v>
      </c>
      <c r="AU16">
        <v>11.662443624312999</v>
      </c>
      <c r="AV16">
        <v>3.7593872554461063</v>
      </c>
      <c r="AW16">
        <v>19.752236627892543</v>
      </c>
      <c r="AX16">
        <v>28.157812795112001</v>
      </c>
      <c r="AY16">
        <v>19.562342158593999</v>
      </c>
      <c r="AZ16">
        <v>1.1991126891324</v>
      </c>
      <c r="BA16">
        <v>1.6926223251832</v>
      </c>
      <c r="BB16">
        <v>3.915917488546</v>
      </c>
      <c r="BC16">
        <v>7.5796358688750001</v>
      </c>
      <c r="BD16">
        <v>8.3994324884586007</v>
      </c>
      <c r="BE16">
        <v>5.2545692341740997</v>
      </c>
      <c r="BF16">
        <v>4.2844193967099997</v>
      </c>
      <c r="BG16">
        <v>8.2938921543199999</v>
      </c>
      <c r="BH16">
        <v>2.1462483352809998</v>
      </c>
      <c r="BI16">
        <v>2.5381893777915998</v>
      </c>
      <c r="BJ16">
        <v>2.6925217211628381</v>
      </c>
      <c r="BK16">
        <v>2.6324496129999999</v>
      </c>
      <c r="BL16">
        <v>9.7969498868285996</v>
      </c>
      <c r="BM16">
        <v>6.2764739353119996</v>
      </c>
      <c r="BN16">
        <v>2.7268287132235001</v>
      </c>
      <c r="BO16">
        <v>2.9721329222100001</v>
      </c>
      <c r="BP16">
        <v>3.5686911131521999</v>
      </c>
      <c r="BQ16">
        <v>8.7543218732699</v>
      </c>
      <c r="BR16">
        <v>9.5724273251700005</v>
      </c>
      <c r="BS16">
        <v>13.68383931873</v>
      </c>
      <c r="BT16">
        <v>5.6269297538521004</v>
      </c>
      <c r="BU16">
        <v>4.2435198388534996</v>
      </c>
      <c r="BV16">
        <v>4.8667888489499997</v>
      </c>
      <c r="BW16">
        <v>4.2239726884150004</v>
      </c>
      <c r="BX16">
        <v>5.1336953169911999</v>
      </c>
      <c r="BY16">
        <v>4.6267993817292998</v>
      </c>
      <c r="BZ16">
        <v>2.3954489173410001</v>
      </c>
      <c r="CA16">
        <v>3.3819678113581002</v>
      </c>
      <c r="CB16">
        <v>1.7572518361114986</v>
      </c>
      <c r="CC16">
        <v>1.7282442593841001</v>
      </c>
      <c r="CD16">
        <v>2.1865244432200002</v>
      </c>
    </row>
    <row r="17" spans="1:82" x14ac:dyDescent="0.2">
      <c r="A17" s="3">
        <f t="shared" si="0"/>
        <v>20</v>
      </c>
      <c r="B17">
        <v>11.2763693133</v>
      </c>
      <c r="C17">
        <v>13.369469791629999</v>
      </c>
      <c r="D17">
        <v>53.111842756999998</v>
      </c>
      <c r="E17">
        <v>65.148662718699001</v>
      </c>
      <c r="F17">
        <v>73.816433821980993</v>
      </c>
      <c r="G17">
        <v>73.816433821980993</v>
      </c>
      <c r="H17">
        <v>27.958653953833519</v>
      </c>
      <c r="I17">
        <v>24.679476686198001</v>
      </c>
      <c r="J17">
        <v>34.245853793152001</v>
      </c>
      <c r="K17">
        <v>53.334271735770002</v>
      </c>
      <c r="L17">
        <v>18.828723196896476</v>
      </c>
      <c r="M17">
        <v>34.427244347444002</v>
      </c>
      <c r="N17">
        <v>24.52411396766</v>
      </c>
      <c r="O17">
        <v>25.216371577274401</v>
      </c>
      <c r="P17">
        <v>31.832222595489998</v>
      </c>
      <c r="Q17">
        <v>26.54755265928555</v>
      </c>
      <c r="R17">
        <v>24.852994799611</v>
      </c>
      <c r="S17">
        <v>17.47515274737</v>
      </c>
      <c r="T17">
        <v>13.436869975297567</v>
      </c>
      <c r="U17">
        <v>16.287118439368001</v>
      </c>
      <c r="V17">
        <v>15.111725811251</v>
      </c>
      <c r="W17">
        <v>14.4715157331</v>
      </c>
      <c r="X17">
        <v>13.38623519674</v>
      </c>
      <c r="Y17">
        <v>14.277387733438999</v>
      </c>
      <c r="Z17">
        <v>12.769316635699999</v>
      </c>
      <c r="AA17">
        <v>12.855438621733001</v>
      </c>
      <c r="AB17">
        <v>12.654343226123485</v>
      </c>
      <c r="AC17">
        <v>21.26868924</v>
      </c>
      <c r="AD17">
        <v>11.331924973616374</v>
      </c>
      <c r="AE17">
        <v>15.489399725743001</v>
      </c>
      <c r="AF17">
        <v>11.779767933433813</v>
      </c>
      <c r="AG17">
        <v>1.3673256351451999</v>
      </c>
      <c r="AH17">
        <v>12.922192885499999</v>
      </c>
      <c r="AI17">
        <v>8.6811968693547996</v>
      </c>
      <c r="AJ17">
        <v>8.2479381172983999</v>
      </c>
      <c r="AK17">
        <v>7.2419351566100003</v>
      </c>
      <c r="AL17">
        <v>6.941822737241</v>
      </c>
      <c r="AM17">
        <v>6.6456796129983013</v>
      </c>
      <c r="AN17">
        <v>-3.8198135963561999</v>
      </c>
      <c r="AO17">
        <v>5.1847229283967664</v>
      </c>
      <c r="AP17">
        <v>3.9764194789543001</v>
      </c>
      <c r="AQ17">
        <v>3.2783519137599999</v>
      </c>
      <c r="AR17">
        <v>2.5847371249809998</v>
      </c>
      <c r="AS17">
        <v>3.6681969473540001</v>
      </c>
      <c r="AT17">
        <v>4.914942233913</v>
      </c>
      <c r="AU17">
        <v>11.715971774881845</v>
      </c>
      <c r="AV17">
        <v>4.8633993119989922</v>
      </c>
      <c r="AW17">
        <v>22.574485287737001</v>
      </c>
      <c r="AX17">
        <v>3.7757267965999999</v>
      </c>
      <c r="AY17">
        <v>2.858957182783</v>
      </c>
      <c r="AZ17">
        <v>11.649577132288085</v>
      </c>
      <c r="BA17">
        <v>12.15141543357751</v>
      </c>
      <c r="BB17">
        <v>4.3599635849820002</v>
      </c>
      <c r="BC17">
        <v>7.8161216732577001</v>
      </c>
      <c r="BD17">
        <v>9.3258393659265995</v>
      </c>
      <c r="BE17">
        <v>5.5536753949279465</v>
      </c>
      <c r="BF17">
        <v>4.9759833961200002</v>
      </c>
      <c r="BG17">
        <v>1.3343389138390001</v>
      </c>
      <c r="BH17">
        <v>2.1392454166319999</v>
      </c>
      <c r="BI17">
        <v>2.7384275366100002</v>
      </c>
      <c r="BJ17">
        <v>3.8333565998200001</v>
      </c>
      <c r="BK17">
        <v>23.725982921166</v>
      </c>
      <c r="BL17">
        <v>1.2825231717700001</v>
      </c>
      <c r="BM17">
        <v>7.6425289449695599</v>
      </c>
      <c r="BN17">
        <v>2.3962888277599999</v>
      </c>
      <c r="BO17">
        <v>2.29919682332133</v>
      </c>
      <c r="BP17">
        <v>2.8182891885736998</v>
      </c>
      <c r="BQ17">
        <v>9.8565263731161004</v>
      </c>
      <c r="BR17">
        <v>9.6631969189912006</v>
      </c>
      <c r="BS17">
        <v>14.448613291442999</v>
      </c>
      <c r="BT17">
        <v>6.4948719678330002</v>
      </c>
      <c r="BU17">
        <v>4.6945293145180003</v>
      </c>
      <c r="BV17">
        <v>4.8851267354879999</v>
      </c>
      <c r="BW17">
        <v>5.2512926554735966</v>
      </c>
      <c r="BX17">
        <v>5.3976539132620998</v>
      </c>
      <c r="BY17">
        <v>4.4873317249247506</v>
      </c>
      <c r="BZ17">
        <v>2.5144464318000002</v>
      </c>
      <c r="CA17">
        <v>4.1238625126937052</v>
      </c>
      <c r="CB17">
        <v>1.7636533854783134</v>
      </c>
      <c r="CC17">
        <v>1.9644632475699999</v>
      </c>
      <c r="CD17">
        <v>2.5457931361361377</v>
      </c>
    </row>
    <row r="18" spans="1:82" x14ac:dyDescent="0.2">
      <c r="A18" s="3">
        <f t="shared" si="0"/>
        <v>30</v>
      </c>
      <c r="B18">
        <v>13.243312581963</v>
      </c>
      <c r="C18">
        <v>12.732644392558871</v>
      </c>
      <c r="D18">
        <v>52.987551422489297</v>
      </c>
      <c r="E18">
        <v>63.677385746584001</v>
      </c>
      <c r="F18">
        <v>78.443727128999996</v>
      </c>
      <c r="G18">
        <v>78.443727128999996</v>
      </c>
      <c r="H18">
        <v>28.819162254889999</v>
      </c>
      <c r="I18">
        <v>23.917521845289116</v>
      </c>
      <c r="J18">
        <v>28.676589495993525</v>
      </c>
      <c r="K18">
        <v>53.258747278825318</v>
      </c>
      <c r="L18">
        <v>18.983861451614001</v>
      </c>
      <c r="M18">
        <v>34.289624856339998</v>
      </c>
      <c r="N18">
        <v>24.718718977262</v>
      </c>
      <c r="O18">
        <v>24.959636299341</v>
      </c>
      <c r="P18">
        <v>33.715162623680001</v>
      </c>
      <c r="Q18">
        <v>27.633239276600001</v>
      </c>
      <c r="R18">
        <v>23.311249945286999</v>
      </c>
      <c r="S18">
        <v>16.987476117300002</v>
      </c>
      <c r="T18">
        <v>12.683791152797999</v>
      </c>
      <c r="U18">
        <v>16.449114666284999</v>
      </c>
      <c r="V18">
        <v>15.797524983354</v>
      </c>
      <c r="W18">
        <v>13.381758196630001</v>
      </c>
      <c r="X18">
        <v>13.598247191124745</v>
      </c>
      <c r="Y18">
        <v>14.45689615941</v>
      </c>
      <c r="Z18">
        <v>12.761379171</v>
      </c>
      <c r="AA18">
        <v>12.987566178343</v>
      </c>
      <c r="AB18">
        <v>12.497268387889999</v>
      </c>
      <c r="AC18">
        <v>21.192728869178001</v>
      </c>
      <c r="AD18">
        <v>12.725576185</v>
      </c>
      <c r="AE18">
        <v>17.312982519910001</v>
      </c>
      <c r="AF18">
        <v>12.452543892</v>
      </c>
      <c r="AG18">
        <v>1.4549372653264001</v>
      </c>
      <c r="AH18">
        <v>12.541812335144344</v>
      </c>
      <c r="AI18">
        <v>8.3322631163215366</v>
      </c>
      <c r="AJ18">
        <v>8.3631963187147953</v>
      </c>
      <c r="AK18">
        <v>7.1645486651630002</v>
      </c>
      <c r="AL18">
        <v>7.3535322553141844</v>
      </c>
      <c r="AM18">
        <v>6.4322124167882002</v>
      </c>
      <c r="AO18">
        <v>5.3114234574344001</v>
      </c>
      <c r="AP18">
        <v>4.1881885896691999</v>
      </c>
      <c r="AQ18">
        <v>3.4422559169800002</v>
      </c>
      <c r="AR18">
        <v>2.3426271797227001</v>
      </c>
      <c r="AS18">
        <v>3.3399975552919998</v>
      </c>
      <c r="AT18">
        <v>5.3298775426200002</v>
      </c>
      <c r="AU18">
        <v>11.889334759620001</v>
      </c>
      <c r="AV18">
        <v>4.4966312583777768</v>
      </c>
      <c r="AW18">
        <v>24.6835599835</v>
      </c>
      <c r="AX18">
        <v>29.346392648830001</v>
      </c>
      <c r="AY18">
        <v>2.16837442887</v>
      </c>
      <c r="AZ18">
        <v>12.753686289252695</v>
      </c>
      <c r="BA18">
        <v>12.935742848552716</v>
      </c>
      <c r="BB18">
        <v>4.532293529936581</v>
      </c>
      <c r="BC18">
        <v>7.2189988264327472</v>
      </c>
      <c r="BD18">
        <v>9.7264983435514001</v>
      </c>
      <c r="BE18">
        <v>5.3169982945178083</v>
      </c>
      <c r="BF18">
        <v>4.9926872496375001</v>
      </c>
      <c r="BG18">
        <v>1.6165274467710999</v>
      </c>
      <c r="BH18">
        <v>2.6758288871210998</v>
      </c>
      <c r="BI18">
        <v>2.8223422621499998</v>
      </c>
      <c r="BJ18">
        <v>3.4943412943130001</v>
      </c>
      <c r="BK18">
        <v>24.812912841578001</v>
      </c>
      <c r="BL18">
        <v>9.976825369569875</v>
      </c>
      <c r="BM18">
        <v>7.1547571932779999</v>
      </c>
      <c r="BN18">
        <v>1.7352113455260001</v>
      </c>
      <c r="BO18">
        <v>1.5858956243969</v>
      </c>
      <c r="BP18">
        <v>2.2124857357657941</v>
      </c>
      <c r="BQ18">
        <v>11.191386211322273</v>
      </c>
      <c r="BR18">
        <v>9.2191437797969993</v>
      </c>
      <c r="BS18">
        <v>14.492743693873001</v>
      </c>
      <c r="BT18">
        <v>6.4368248834950004</v>
      </c>
      <c r="BU18">
        <v>4.9652811621883997</v>
      </c>
      <c r="BV18">
        <v>4.8229137669473996</v>
      </c>
      <c r="BW18">
        <v>6.1427443734200002</v>
      </c>
      <c r="BX18">
        <v>5.2153943522858999</v>
      </c>
      <c r="BZ18">
        <v>2.4698938569319</v>
      </c>
      <c r="CA18">
        <v>4.2973512571569996</v>
      </c>
      <c r="CB18">
        <v>1.8658283521534131</v>
      </c>
      <c r="CC18">
        <v>2.2278724911199999</v>
      </c>
      <c r="CD18">
        <v>2.499156449628368</v>
      </c>
    </row>
    <row r="19" spans="1:82" x14ac:dyDescent="0.2">
      <c r="A19" s="3">
        <f t="shared" si="0"/>
        <v>40</v>
      </c>
      <c r="B19">
        <v>13.27727137946</v>
      </c>
      <c r="C19">
        <v>11.67717235768</v>
      </c>
      <c r="D19">
        <v>48.894248692527</v>
      </c>
      <c r="E19">
        <v>59.112331889749001</v>
      </c>
      <c r="F19">
        <v>77.654612998499999</v>
      </c>
      <c r="G19">
        <v>77.654612998499999</v>
      </c>
      <c r="H19">
        <v>28.62176929551449</v>
      </c>
      <c r="I19">
        <v>22.921522522949999</v>
      </c>
      <c r="J19">
        <v>29.986328559667999</v>
      </c>
      <c r="K19">
        <v>52.146734464815999</v>
      </c>
      <c r="L19">
        <v>17.296384164323999</v>
      </c>
      <c r="M19">
        <v>33.856987979199999</v>
      </c>
      <c r="N19">
        <v>24.811341835722001</v>
      </c>
      <c r="O19">
        <v>24.651252651899998</v>
      </c>
      <c r="P19">
        <v>34.116345484527997</v>
      </c>
      <c r="Q19">
        <v>26.57397674337</v>
      </c>
      <c r="R19">
        <v>21.937629293381001</v>
      </c>
      <c r="S19">
        <v>15.137166769494</v>
      </c>
      <c r="T19">
        <v>11.773796581319999</v>
      </c>
      <c r="U19">
        <v>15.18557732449</v>
      </c>
      <c r="V19">
        <v>15.48231932715</v>
      </c>
      <c r="W19">
        <v>1.8346485286800001</v>
      </c>
      <c r="X19">
        <v>12.848245948974</v>
      </c>
      <c r="Y19">
        <v>13.9858467225</v>
      </c>
      <c r="Z19">
        <v>12.769843662695255</v>
      </c>
      <c r="AA19">
        <v>13.3455482718</v>
      </c>
      <c r="AB19">
        <v>12.1841111322</v>
      </c>
      <c r="AC19">
        <v>19.792678656383</v>
      </c>
      <c r="AD19">
        <v>13.259661663666</v>
      </c>
      <c r="AE19">
        <v>18.265565677685998</v>
      </c>
      <c r="AF19">
        <v>12.11994572731</v>
      </c>
      <c r="AG19">
        <v>9.6746651766611222</v>
      </c>
      <c r="AH19">
        <v>11.41181614744</v>
      </c>
      <c r="AI19">
        <v>7.3932772954325001</v>
      </c>
      <c r="AJ19">
        <v>8.1711117354329996</v>
      </c>
      <c r="AK19">
        <v>7.2525597263153001</v>
      </c>
      <c r="AL19">
        <v>7.7495198391300004</v>
      </c>
      <c r="AM19">
        <v>6.5441354463127999</v>
      </c>
      <c r="AO19">
        <v>5.3511241265712615</v>
      </c>
      <c r="AP19">
        <v>3.5674283784649998</v>
      </c>
      <c r="AQ19">
        <v>3.3125284262918999</v>
      </c>
      <c r="AR19">
        <v>1.8965721623769238</v>
      </c>
      <c r="AS19">
        <v>3.4876265722499999</v>
      </c>
      <c r="AT19">
        <v>5.1935245139620001</v>
      </c>
      <c r="AU19">
        <v>11.8867312237</v>
      </c>
      <c r="AV19">
        <v>3.6636483652299998</v>
      </c>
      <c r="AW19">
        <v>24.735232383821188</v>
      </c>
      <c r="AX19">
        <v>28.238248153289355</v>
      </c>
      <c r="AY19">
        <v>19.142686499158511</v>
      </c>
      <c r="AZ19">
        <v>12.537523213762</v>
      </c>
      <c r="BA19">
        <v>12.861644842292</v>
      </c>
      <c r="BB19">
        <v>5.3142249547342733</v>
      </c>
      <c r="BC19">
        <v>6.2616895613486996</v>
      </c>
      <c r="BD19">
        <v>8.6826891111000002</v>
      </c>
      <c r="BE19">
        <v>4.7924139165174857</v>
      </c>
      <c r="BF19">
        <v>5.3311572855160003</v>
      </c>
      <c r="BG19">
        <v>1.5359615415800001</v>
      </c>
      <c r="BH19">
        <v>1.9397418757782106</v>
      </c>
      <c r="BI19">
        <v>2.7464239147398999</v>
      </c>
      <c r="BJ19">
        <v>2.9218317359000001</v>
      </c>
      <c r="BK19">
        <v>23.772171853946546</v>
      </c>
      <c r="BL19">
        <v>9.7233259948730009</v>
      </c>
      <c r="BM19">
        <v>6.3943536484547003</v>
      </c>
      <c r="BN19">
        <v>0.85451155484490005</v>
      </c>
      <c r="BO19">
        <v>0.76341535892720003</v>
      </c>
      <c r="BP19">
        <v>1.4777934784757001</v>
      </c>
      <c r="BQ19">
        <v>1.9435469189511001</v>
      </c>
      <c r="BR19">
        <v>9.2786411647934006</v>
      </c>
      <c r="BS19">
        <v>14.4853739954</v>
      </c>
      <c r="BT19">
        <v>6.1657385747789002</v>
      </c>
      <c r="BU19">
        <v>4.915187412662636</v>
      </c>
      <c r="BV19">
        <v>4.4723145977967702</v>
      </c>
      <c r="BW19">
        <v>5.6132762664954425</v>
      </c>
      <c r="BX19">
        <v>4.9638216267173911</v>
      </c>
      <c r="BZ19">
        <v>2.2444227938719998</v>
      </c>
      <c r="CA19">
        <v>3.8695543379641784</v>
      </c>
      <c r="CB19">
        <v>1.9299116563925434</v>
      </c>
      <c r="CC19">
        <v>2.3268158829369998</v>
      </c>
      <c r="CD19">
        <v>2.4447318318939</v>
      </c>
    </row>
    <row r="20" spans="1:82" x14ac:dyDescent="0.2">
      <c r="A20" s="3">
        <f t="shared" si="0"/>
        <v>50</v>
      </c>
      <c r="B20">
        <v>92.167794549348997</v>
      </c>
      <c r="C20">
        <v>1.975996471</v>
      </c>
      <c r="D20">
        <v>41.287195953000001</v>
      </c>
      <c r="E20">
        <v>52.781453615715002</v>
      </c>
      <c r="F20">
        <v>75.932952157911998</v>
      </c>
      <c r="G20">
        <v>75.932952157911998</v>
      </c>
      <c r="H20">
        <v>28.321788792292999</v>
      </c>
      <c r="I20">
        <v>21.116441287970002</v>
      </c>
      <c r="J20">
        <v>27.938488845999998</v>
      </c>
      <c r="K20">
        <v>5.3649694341399998</v>
      </c>
      <c r="L20">
        <v>14.785692263170001</v>
      </c>
      <c r="M20">
        <v>34.858747946423001</v>
      </c>
      <c r="N20">
        <v>25.682528849181999</v>
      </c>
      <c r="O20">
        <v>22.144157951410001</v>
      </c>
      <c r="P20">
        <v>31.289245963789998</v>
      </c>
      <c r="Q20">
        <v>25.265171994553</v>
      </c>
      <c r="R20">
        <v>16.159119513432</v>
      </c>
      <c r="S20">
        <v>12.41596273271</v>
      </c>
      <c r="T20">
        <v>1.1699238169740001</v>
      </c>
      <c r="U20">
        <v>14.394328412</v>
      </c>
      <c r="V20">
        <v>12.978633414300001</v>
      </c>
      <c r="W20">
        <v>7.7543458137729999</v>
      </c>
      <c r="X20">
        <v>1.74259599712</v>
      </c>
      <c r="Y20">
        <v>11.791839147386</v>
      </c>
      <c r="Z20">
        <v>13.828478366320001</v>
      </c>
      <c r="AA20">
        <v>14.435261817328</v>
      </c>
      <c r="AB20">
        <v>12.467481367286</v>
      </c>
      <c r="AC20">
        <v>19.328813128720988</v>
      </c>
      <c r="AD20">
        <v>12.4412764211</v>
      </c>
      <c r="AE20">
        <v>17.897676134321287</v>
      </c>
      <c r="AF20">
        <v>11.72338452812191</v>
      </c>
      <c r="AG20">
        <v>7.8687841781785002</v>
      </c>
      <c r="AH20">
        <v>8.6652685193965997</v>
      </c>
      <c r="AI20">
        <v>6.6426414711315003</v>
      </c>
      <c r="AJ20">
        <v>8.2475575826173273</v>
      </c>
      <c r="AK20">
        <v>5.8915931755259949</v>
      </c>
      <c r="AL20">
        <v>6.4299757948155998</v>
      </c>
      <c r="AM20">
        <v>5.85478838671653</v>
      </c>
      <c r="AO20">
        <v>5.1863521625134004</v>
      </c>
      <c r="AP20">
        <v>2.7867492264429998</v>
      </c>
      <c r="AQ20">
        <v>4.6318211982731023</v>
      </c>
      <c r="AR20">
        <v>1.7315762927780001</v>
      </c>
      <c r="AS20">
        <v>3.5573135794700002</v>
      </c>
      <c r="AT20">
        <v>4.786941924285661</v>
      </c>
      <c r="AU20">
        <v>1.5943224419849999</v>
      </c>
      <c r="AV20">
        <v>1.5514421178665001</v>
      </c>
      <c r="AW20">
        <v>24.732397476275999</v>
      </c>
      <c r="AX20">
        <v>27.338754186323001</v>
      </c>
      <c r="AY20">
        <v>18.112264755257954</v>
      </c>
      <c r="AZ20">
        <v>11.472253437177001</v>
      </c>
      <c r="BA20">
        <v>11.993623855179999</v>
      </c>
      <c r="BB20">
        <v>5.4226599661957042</v>
      </c>
      <c r="BC20">
        <v>4.6348599312200003</v>
      </c>
      <c r="BD20">
        <v>7.5967957651874007</v>
      </c>
      <c r="BE20">
        <v>4.4641315139334576</v>
      </c>
      <c r="BF20">
        <v>4.1586612679229997</v>
      </c>
      <c r="BG20">
        <v>9.7849288268268992</v>
      </c>
      <c r="BH20">
        <v>1.6289877939999999</v>
      </c>
      <c r="BI20">
        <v>2.3615243592300001</v>
      </c>
      <c r="BJ20">
        <v>2.773547781276902</v>
      </c>
      <c r="BK20">
        <v>21.617414975711721</v>
      </c>
      <c r="BL20">
        <v>8.6794181637439998</v>
      </c>
      <c r="BM20">
        <v>5.4961833779353357</v>
      </c>
      <c r="BN20">
        <v>-0.45925546859532002</v>
      </c>
      <c r="BO20">
        <v>0.74461456445931995</v>
      </c>
      <c r="BP20">
        <v>0.72374993341298899</v>
      </c>
      <c r="BQ20">
        <v>8.9275182944115965</v>
      </c>
      <c r="BR20">
        <v>8.7735858125319997</v>
      </c>
      <c r="BS20">
        <v>13.633486266739</v>
      </c>
      <c r="BT20">
        <v>6.6467737993720002</v>
      </c>
      <c r="BU20">
        <v>5.8758958559999996</v>
      </c>
      <c r="BV20">
        <v>4.6637964749165004</v>
      </c>
      <c r="BW20">
        <v>5.1916632466546</v>
      </c>
      <c r="BX20">
        <v>4.1635488335900002</v>
      </c>
      <c r="BZ20">
        <v>1.2678459823637001</v>
      </c>
      <c r="CA20">
        <v>2.7796749917449</v>
      </c>
      <c r="CB20">
        <v>1.7526495576200001</v>
      </c>
      <c r="CC20">
        <v>2.7611847793750002</v>
      </c>
      <c r="CD20">
        <v>2.2662554912520001</v>
      </c>
    </row>
    <row r="21" spans="1:82" x14ac:dyDescent="0.2">
      <c r="A21" s="3">
        <f t="shared" si="0"/>
        <v>60</v>
      </c>
      <c r="B21">
        <v>84.253717479265006</v>
      </c>
      <c r="C21">
        <v>1.795174741411</v>
      </c>
      <c r="D21">
        <v>26.354227757875002</v>
      </c>
      <c r="E21">
        <v>36.669252835000002</v>
      </c>
      <c r="F21">
        <v>34.283671653200003</v>
      </c>
      <c r="G21">
        <v>34.283671653200003</v>
      </c>
      <c r="H21">
        <v>25.81722349681549</v>
      </c>
      <c r="I21">
        <v>18.97231585522</v>
      </c>
      <c r="J21">
        <v>-45.647414147870002</v>
      </c>
      <c r="K21">
        <v>47.665923112382998</v>
      </c>
      <c r="L21">
        <v>11.636512447626</v>
      </c>
      <c r="M21">
        <v>33.354338564126003</v>
      </c>
      <c r="N21">
        <v>26.147964321890999</v>
      </c>
      <c r="O21">
        <v>23.371822598856575</v>
      </c>
      <c r="P21">
        <v>22.848892454371999</v>
      </c>
      <c r="Q21">
        <v>22.471642252199999</v>
      </c>
      <c r="R21">
        <v>1.3669819325899999</v>
      </c>
      <c r="S21">
        <v>8.2813959691185008</v>
      </c>
      <c r="T21">
        <v>8.2122563764130003</v>
      </c>
      <c r="U21">
        <v>1.6762816248100001</v>
      </c>
      <c r="V21">
        <v>13.583699442135849</v>
      </c>
      <c r="W21">
        <v>-9.8941535537929006</v>
      </c>
      <c r="X21">
        <v>11.298588228331999</v>
      </c>
      <c r="Y21">
        <v>13.734629747350001</v>
      </c>
      <c r="Z21">
        <v>12.337217232817</v>
      </c>
      <c r="AA21">
        <v>14.541872962999999</v>
      </c>
      <c r="AB21">
        <v>14.194313384558001</v>
      </c>
      <c r="AC21">
        <v>16.954898146645998</v>
      </c>
      <c r="AD21">
        <v>1.56947725727</v>
      </c>
      <c r="AE21">
        <v>25.227974649138002</v>
      </c>
      <c r="AF21">
        <v>13.3283497425</v>
      </c>
      <c r="AG21">
        <v>1.4448666834599999</v>
      </c>
      <c r="AH21">
        <v>3.6573923348339998</v>
      </c>
      <c r="AI21">
        <v>3.1918189161695998</v>
      </c>
      <c r="AJ21">
        <v>8.1493258285371546</v>
      </c>
      <c r="AK21">
        <v>3.6118763386217001</v>
      </c>
      <c r="AL21">
        <v>5.2944793895539997</v>
      </c>
      <c r="AM21">
        <v>4.6325651891849002</v>
      </c>
      <c r="AO21">
        <v>7.9729295683499997</v>
      </c>
      <c r="AP21">
        <v>0.83671192746675005</v>
      </c>
      <c r="AQ21">
        <v>4.4672762144223572</v>
      </c>
      <c r="AR21">
        <v>2.1621917822159999</v>
      </c>
      <c r="AS21">
        <v>5.6599556377316</v>
      </c>
      <c r="AT21">
        <v>3.6888317444375014</v>
      </c>
      <c r="AU21">
        <v>8.9824772123754002</v>
      </c>
      <c r="AV21">
        <v>31.78183196294</v>
      </c>
      <c r="AW21">
        <v>24.576397694000001</v>
      </c>
      <c r="AX21">
        <v>26.762867281291999</v>
      </c>
      <c r="AY21">
        <v>17.383815916466503</v>
      </c>
      <c r="AZ21">
        <v>1.6851337611420001</v>
      </c>
      <c r="BA21">
        <v>1.719123243778</v>
      </c>
      <c r="BB21">
        <v>5.5264999887139998</v>
      </c>
      <c r="BC21">
        <v>2.8423158394198524</v>
      </c>
      <c r="BD21">
        <v>-6.7876974373997339</v>
      </c>
      <c r="BE21">
        <v>3.8638658134345998</v>
      </c>
      <c r="BG21">
        <v>8.6717671617000001</v>
      </c>
      <c r="BH21">
        <v>2.2843397936328</v>
      </c>
      <c r="BI21">
        <v>1.7379786688464247</v>
      </c>
      <c r="BJ21">
        <v>2.7424975134376002</v>
      </c>
      <c r="BK21">
        <v>18.584885946410001</v>
      </c>
      <c r="BL21">
        <v>5.9171442323158532</v>
      </c>
      <c r="BM21">
        <v>4.6486339863681998</v>
      </c>
      <c r="BN21">
        <v>-1.1257722248469999</v>
      </c>
      <c r="BO21">
        <v>-0.58155863647635797</v>
      </c>
      <c r="BP21">
        <v>-0.52557892186309996</v>
      </c>
      <c r="BQ21">
        <v>8.5258946287375004</v>
      </c>
      <c r="BR21">
        <v>-1.7293433756815999</v>
      </c>
      <c r="BS21">
        <v>8.1563531394159998</v>
      </c>
      <c r="BT21">
        <v>5.3214134688676378</v>
      </c>
      <c r="BU21">
        <v>5.9388339198178004</v>
      </c>
      <c r="BV21">
        <v>2.813382576774961</v>
      </c>
      <c r="BW21">
        <v>4.5797143351700003</v>
      </c>
      <c r="BX21">
        <v>4.7573199381535209</v>
      </c>
      <c r="BZ21">
        <v>-2.9692835785777278</v>
      </c>
      <c r="CA21">
        <v>6.943562947447</v>
      </c>
      <c r="CB21">
        <v>1.7669475555731999</v>
      </c>
      <c r="CC21">
        <v>2.4514377515170001</v>
      </c>
      <c r="CD21">
        <v>1.8343252657241</v>
      </c>
    </row>
    <row r="22" spans="1:82" x14ac:dyDescent="0.2">
      <c r="A22" s="3">
        <f t="shared" si="0"/>
        <v>70</v>
      </c>
      <c r="B22">
        <v>72.568731319861996</v>
      </c>
      <c r="C22">
        <v>12.825228385246374</v>
      </c>
      <c r="D22">
        <v>256.18884429667003</v>
      </c>
      <c r="E22">
        <v>9.8326239336689998</v>
      </c>
      <c r="F22">
        <v>122.96582183384335</v>
      </c>
      <c r="G22">
        <v>122.96582183384335</v>
      </c>
      <c r="H22">
        <v>25.199762931425848</v>
      </c>
      <c r="I22">
        <v>13.919755343222</v>
      </c>
      <c r="J22">
        <v>21.725971764857</v>
      </c>
      <c r="K22">
        <v>48.914479555147999</v>
      </c>
      <c r="L22">
        <v>26.917317392683</v>
      </c>
      <c r="M22">
        <v>33.521964534711032</v>
      </c>
      <c r="N22">
        <v>126.53526654236001</v>
      </c>
      <c r="O22">
        <v>3.2725628464300001</v>
      </c>
      <c r="P22">
        <v>59.889294177190997</v>
      </c>
      <c r="Q22">
        <v>19874.144723920999</v>
      </c>
      <c r="R22">
        <v>115.91917911909999</v>
      </c>
      <c r="S22">
        <v>27.286825758784001</v>
      </c>
      <c r="T22">
        <v>24.115227142310001</v>
      </c>
      <c r="U22">
        <v>23.356327673742001</v>
      </c>
      <c r="V22">
        <v>47.453783273235672</v>
      </c>
      <c r="W22">
        <v>1.2374767968863001</v>
      </c>
      <c r="X22">
        <v>133.13969897998098</v>
      </c>
      <c r="Y22">
        <v>37.855872619190997</v>
      </c>
      <c r="Z22">
        <v>5.9837592161439996</v>
      </c>
      <c r="AA22">
        <v>3.5439362282859999</v>
      </c>
      <c r="AB22">
        <v>29.719832575896</v>
      </c>
      <c r="AC22">
        <v>17.834784166644479</v>
      </c>
      <c r="AD22">
        <v>7.1856283666641998</v>
      </c>
      <c r="AE22">
        <v>26.731474288469734</v>
      </c>
      <c r="AF22">
        <v>141.97973783671506</v>
      </c>
      <c r="AG22">
        <v>45.655894558909999</v>
      </c>
      <c r="AH22">
        <v>29.496319224113911</v>
      </c>
      <c r="AI22">
        <v>1.761949245649</v>
      </c>
      <c r="AJ22">
        <v>-22.798533845489001</v>
      </c>
      <c r="AK22">
        <v>5.7823878141984002</v>
      </c>
      <c r="AL22">
        <v>44.151961849999999</v>
      </c>
      <c r="AM22">
        <v>9.3287678889999999</v>
      </c>
      <c r="AO22">
        <v>13.723998838624277</v>
      </c>
      <c r="AP22">
        <v>6.9933464315620002</v>
      </c>
      <c r="AQ22">
        <v>-67.552996833549997</v>
      </c>
      <c r="AR22">
        <v>6.2753727935232284</v>
      </c>
      <c r="AS22">
        <v>-24.172438515660001</v>
      </c>
      <c r="AT22">
        <v>2.2533294639519998</v>
      </c>
      <c r="AU22">
        <v>95.562783113530003</v>
      </c>
      <c r="AV22">
        <v>5.7441371962509997</v>
      </c>
      <c r="AW22">
        <v>-259.6518356862</v>
      </c>
      <c r="AX22">
        <v>28.385421748630002</v>
      </c>
      <c r="AY22">
        <v>9.8828625748516004</v>
      </c>
      <c r="AZ22">
        <v>8.8862469462816094</v>
      </c>
      <c r="BA22">
        <v>11.765943336449913</v>
      </c>
      <c r="BB22">
        <v>-39.964312866158153</v>
      </c>
      <c r="BC22">
        <v>5.826792811292</v>
      </c>
      <c r="BD22">
        <v>11.896719221510001</v>
      </c>
      <c r="BE22">
        <v>-0.36879943179364799</v>
      </c>
      <c r="BF22">
        <v>15.49994486978</v>
      </c>
      <c r="BG22">
        <v>5.3975726316949997</v>
      </c>
      <c r="BH22">
        <v>14.299489675</v>
      </c>
      <c r="BI22">
        <v>2.8893519448</v>
      </c>
      <c r="BJ22">
        <v>1.9248563946237718</v>
      </c>
      <c r="BK22">
        <v>1.6627431341800001</v>
      </c>
      <c r="BL22">
        <v>15.69415879168</v>
      </c>
      <c r="BM22">
        <v>4.8717772852600003</v>
      </c>
      <c r="BN22">
        <v>-2.4187677191358001</v>
      </c>
      <c r="BO22">
        <v>-1.2539794826999999</v>
      </c>
      <c r="BP22">
        <v>-1.238176864543</v>
      </c>
      <c r="BQ22">
        <v>12.513383222170001</v>
      </c>
      <c r="BR22">
        <v>11.953567752217451</v>
      </c>
      <c r="BS22">
        <v>17.378678881230002</v>
      </c>
      <c r="BT22">
        <v>5.7241849899700004</v>
      </c>
      <c r="BU22">
        <v>6.9439219214629357</v>
      </c>
      <c r="BV22">
        <v>13.887695411430986</v>
      </c>
      <c r="BW22">
        <v>2.4991871682265998</v>
      </c>
      <c r="BX22">
        <v>2.3249321213530001</v>
      </c>
      <c r="BZ22">
        <v>6.1747344693560002</v>
      </c>
      <c r="CA22">
        <v>4.7455852898513999</v>
      </c>
      <c r="CB22">
        <v>-14.46633215468</v>
      </c>
      <c r="CC22">
        <v>1.749891734794</v>
      </c>
      <c r="CD22">
        <v>1.3241198171184001</v>
      </c>
    </row>
    <row r="23" spans="1:82" x14ac:dyDescent="0.2">
      <c r="A23" s="3">
        <f t="shared" si="0"/>
        <v>80</v>
      </c>
      <c r="B23">
        <v>114.23947846896</v>
      </c>
      <c r="C23">
        <v>9.2293139656900003</v>
      </c>
      <c r="D23">
        <v>49.495661287745001</v>
      </c>
      <c r="E23">
        <v>54.554866365574</v>
      </c>
      <c r="F23">
        <v>89.946548332942996</v>
      </c>
      <c r="G23">
        <v>89.946548332942996</v>
      </c>
      <c r="H23">
        <v>2.4932122374599999</v>
      </c>
      <c r="I23">
        <v>22.626294235846</v>
      </c>
      <c r="J23">
        <v>27.371731214974002</v>
      </c>
      <c r="K23">
        <v>62.271843733163188</v>
      </c>
      <c r="L23">
        <v>15.777645353694194</v>
      </c>
      <c r="M23">
        <v>192.78813957859515</v>
      </c>
      <c r="N23">
        <v>3.4181437498</v>
      </c>
      <c r="O23">
        <v>22.786248649211306</v>
      </c>
      <c r="P23">
        <v>35.28399962224875</v>
      </c>
      <c r="Q23">
        <v>25.883638994999998</v>
      </c>
      <c r="R23">
        <v>14.46726118834</v>
      </c>
      <c r="S23">
        <v>13.826241512899999</v>
      </c>
      <c r="T23">
        <v>1.4342667767799999</v>
      </c>
      <c r="U23">
        <v>16.227563819998057</v>
      </c>
      <c r="V23">
        <v>15.157865135389001</v>
      </c>
      <c r="W23">
        <v>6.4536913828416091</v>
      </c>
      <c r="X23">
        <v>15.77555341273343</v>
      </c>
      <c r="Y23">
        <v>13.5452969179</v>
      </c>
      <c r="Z23">
        <v>12.115189979874</v>
      </c>
      <c r="AA23">
        <v>12.181792592500001</v>
      </c>
      <c r="AB23">
        <v>11.747417418468094</v>
      </c>
      <c r="AC23">
        <v>18.482918988161</v>
      </c>
      <c r="AD23">
        <v>45.254251928684887</v>
      </c>
      <c r="AE23">
        <v>21.946781759939004</v>
      </c>
      <c r="AF23">
        <v>11.44931158758</v>
      </c>
      <c r="AG23">
        <v>1.161334166539</v>
      </c>
      <c r="AH23">
        <v>6.2498947537939999</v>
      </c>
      <c r="AI23">
        <v>7.6632167391734001</v>
      </c>
      <c r="AJ23">
        <v>9.261861862243185</v>
      </c>
      <c r="AK23">
        <v>6.7973874743456255</v>
      </c>
      <c r="AL23">
        <v>7.7732683875686002</v>
      </c>
      <c r="AM23">
        <v>6.74196538169</v>
      </c>
      <c r="AO23">
        <v>6.8988894398519998</v>
      </c>
      <c r="AP23">
        <v>4.3379669991128313</v>
      </c>
      <c r="AQ23">
        <v>-3.638855822839</v>
      </c>
      <c r="AR23">
        <v>3.433135699133</v>
      </c>
      <c r="AS23">
        <v>2.7342514531190001</v>
      </c>
      <c r="AT23">
        <v>5.3281825244989998</v>
      </c>
      <c r="AU23">
        <v>1.5773895335770001</v>
      </c>
      <c r="AV23">
        <v>4.5159162442899996</v>
      </c>
      <c r="AW23">
        <v>31.147291763155195</v>
      </c>
      <c r="AX23">
        <v>2.4397875722100002</v>
      </c>
      <c r="AY23">
        <v>17.728285419142999</v>
      </c>
      <c r="AZ23">
        <v>68.641131296715997</v>
      </c>
      <c r="BA23">
        <v>17.234811854770001</v>
      </c>
      <c r="BC23">
        <v>3.8639724421557999</v>
      </c>
      <c r="BD23">
        <v>6.9588877814099996</v>
      </c>
      <c r="BE23">
        <v>7.6337633819731305</v>
      </c>
      <c r="BF23">
        <v>6.1577875767170003</v>
      </c>
      <c r="BG23">
        <v>81.561361968916998</v>
      </c>
      <c r="BH23">
        <v>2.6467492622691009</v>
      </c>
      <c r="BJ23">
        <v>3.1892742793693998</v>
      </c>
      <c r="BK23">
        <v>24.698819325395998</v>
      </c>
      <c r="BL23">
        <v>7.71188434926</v>
      </c>
      <c r="BM23">
        <v>-6.957186559488</v>
      </c>
      <c r="BN23">
        <v>-2.7654284953219022</v>
      </c>
      <c r="BO23">
        <v>-1.6461556612949999</v>
      </c>
      <c r="BP23">
        <v>-1.561971428678</v>
      </c>
      <c r="BQ23">
        <v>1.3359399844530999</v>
      </c>
      <c r="BR23">
        <v>9.3878727353149998</v>
      </c>
      <c r="BS23">
        <v>13.236655576175805</v>
      </c>
      <c r="BT23">
        <v>7.6954767466979996</v>
      </c>
      <c r="BU23">
        <v>-15.521365228882809</v>
      </c>
      <c r="BV23">
        <v>3.2795293415554001</v>
      </c>
      <c r="BW23">
        <v>15.996593837734</v>
      </c>
      <c r="BX23">
        <v>1.5558432578839001</v>
      </c>
      <c r="BZ23">
        <v>2.8243348225945</v>
      </c>
      <c r="CA23">
        <v>4.3789666447300002</v>
      </c>
      <c r="CB23">
        <v>1.2816678311343119</v>
      </c>
      <c r="CC23">
        <v>1.1362167345628444</v>
      </c>
      <c r="CD23">
        <v>2.42744995859</v>
      </c>
    </row>
    <row r="24" spans="1:82" x14ac:dyDescent="0.2">
      <c r="A24" s="3">
        <f t="shared" si="0"/>
        <v>90</v>
      </c>
      <c r="B24">
        <v>155.78475136599999</v>
      </c>
      <c r="C24">
        <v>5.2977788159100001</v>
      </c>
      <c r="K24">
        <v>24.252855958369999</v>
      </c>
      <c r="M24">
        <v>3.2739789882810002</v>
      </c>
    </row>
    <row r="25" spans="1:82" x14ac:dyDescent="0.2">
      <c r="A25" s="3">
        <f t="shared" si="0"/>
        <v>100</v>
      </c>
      <c r="B25">
        <v>11.57658196755</v>
      </c>
      <c r="C25">
        <v>4.7495124424119002</v>
      </c>
      <c r="K25">
        <v>25.165422594445999</v>
      </c>
      <c r="M25">
        <v>27.77768552134</v>
      </c>
    </row>
    <row r="26" spans="1:82" x14ac:dyDescent="0.2">
      <c r="A26" s="3">
        <f t="shared" si="0"/>
        <v>110</v>
      </c>
      <c r="B26">
        <v>8.2316732460999997</v>
      </c>
      <c r="C26">
        <v>4.6881855657867497</v>
      </c>
      <c r="K26">
        <v>23.783222149695476</v>
      </c>
      <c r="M26">
        <v>22.694183592150001</v>
      </c>
    </row>
    <row r="27" spans="1:82" x14ac:dyDescent="0.2">
      <c r="A27" s="3">
        <f t="shared" si="0"/>
        <v>120</v>
      </c>
      <c r="B27">
        <v>66.523683866932004</v>
      </c>
    </row>
    <row r="61" spans="1:1" x14ac:dyDescent="0.2">
      <c r="A61" s="2"/>
    </row>
    <row r="62" spans="1:1" x14ac:dyDescent="0.2">
      <c r="A62" s="2"/>
    </row>
    <row r="64" spans="1:1" x14ac:dyDescent="0.2">
      <c r="A64" s="3"/>
    </row>
    <row r="65" spans="1:1" x14ac:dyDescent="0.2">
      <c r="A65" s="3"/>
    </row>
    <row r="66" spans="1:1" x14ac:dyDescent="0.2">
      <c r="A66" s="3"/>
    </row>
    <row r="67" spans="1:1" x14ac:dyDescent="0.2">
      <c r="A67" s="3"/>
    </row>
    <row r="68" spans="1:1" x14ac:dyDescent="0.2">
      <c r="A68"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R29"/>
  <sheetViews>
    <sheetView workbookViewId="0"/>
  </sheetViews>
  <sheetFormatPr baseColWidth="10" defaultColWidth="8.83203125" defaultRowHeight="15" x14ac:dyDescent="0.2"/>
  <cols>
    <col min="1" max="1" width="21.6640625" style="3" bestFit="1" customWidth="1"/>
    <col min="2" max="2" width="18.1640625" customWidth="1"/>
    <col min="3" max="3" width="12.33203125" bestFit="1" customWidth="1"/>
  </cols>
  <sheetData>
    <row r="1" spans="1:96" x14ac:dyDescent="0.2">
      <c r="A1" s="3" t="s">
        <v>4</v>
      </c>
      <c r="B1" t="s">
        <v>28</v>
      </c>
      <c r="C1" t="s">
        <v>28</v>
      </c>
      <c r="D1" t="s">
        <v>28</v>
      </c>
      <c r="E1" t="s">
        <v>28</v>
      </c>
      <c r="F1" t="s">
        <v>28</v>
      </c>
      <c r="G1" t="s">
        <v>28</v>
      </c>
      <c r="H1" t="s">
        <v>28</v>
      </c>
      <c r="I1" t="s">
        <v>28</v>
      </c>
      <c r="J1" t="s">
        <v>28</v>
      </c>
      <c r="K1" t="s">
        <v>28</v>
      </c>
      <c r="L1" t="s">
        <v>28</v>
      </c>
      <c r="M1" t="s">
        <v>28</v>
      </c>
      <c r="N1" t="s">
        <v>28</v>
      </c>
      <c r="O1" t="s">
        <v>28</v>
      </c>
      <c r="P1" t="s">
        <v>28</v>
      </c>
      <c r="Q1" t="s">
        <v>28</v>
      </c>
      <c r="R1" t="s">
        <v>28</v>
      </c>
      <c r="S1" t="s">
        <v>28</v>
      </c>
      <c r="T1" t="s">
        <v>28</v>
      </c>
      <c r="U1" t="s">
        <v>28</v>
      </c>
      <c r="V1" t="s">
        <v>28</v>
      </c>
      <c r="W1" t="s">
        <v>28</v>
      </c>
      <c r="X1" t="s">
        <v>28</v>
      </c>
      <c r="Y1" t="s">
        <v>28</v>
      </c>
      <c r="Z1" t="s">
        <v>28</v>
      </c>
      <c r="AA1" t="s">
        <v>28</v>
      </c>
      <c r="AB1" t="s">
        <v>28</v>
      </c>
      <c r="AC1" t="s">
        <v>28</v>
      </c>
      <c r="AD1" t="s">
        <v>28</v>
      </c>
      <c r="AE1" t="s">
        <v>28</v>
      </c>
      <c r="AF1" t="s">
        <v>28</v>
      </c>
      <c r="AG1" t="s">
        <v>28</v>
      </c>
      <c r="AH1" t="s">
        <v>28</v>
      </c>
      <c r="AI1" t="s">
        <v>28</v>
      </c>
      <c r="AJ1" t="s">
        <v>28</v>
      </c>
      <c r="AK1" t="s">
        <v>28</v>
      </c>
      <c r="AL1" t="s">
        <v>28</v>
      </c>
      <c r="AM1" t="s">
        <v>28</v>
      </c>
      <c r="AN1" t="s">
        <v>28</v>
      </c>
      <c r="AO1" t="s">
        <v>28</v>
      </c>
      <c r="AP1" t="s">
        <v>28</v>
      </c>
      <c r="AQ1" t="s">
        <v>28</v>
      </c>
      <c r="AR1" t="s">
        <v>28</v>
      </c>
      <c r="AS1" t="s">
        <v>28</v>
      </c>
      <c r="AT1" t="s">
        <v>28</v>
      </c>
      <c r="AU1" t="s">
        <v>28</v>
      </c>
      <c r="AV1" t="s">
        <v>28</v>
      </c>
      <c r="AW1" t="s">
        <v>28</v>
      </c>
      <c r="AX1" t="s">
        <v>28</v>
      </c>
      <c r="AY1" t="s">
        <v>28</v>
      </c>
      <c r="AZ1" t="s">
        <v>28</v>
      </c>
      <c r="BA1" t="s">
        <v>28</v>
      </c>
      <c r="BB1" t="s">
        <v>28</v>
      </c>
      <c r="BC1" t="s">
        <v>28</v>
      </c>
      <c r="BD1" t="s">
        <v>28</v>
      </c>
      <c r="BE1" t="s">
        <v>28</v>
      </c>
      <c r="BF1" t="s">
        <v>28</v>
      </c>
      <c r="BG1" t="s">
        <v>28</v>
      </c>
      <c r="BH1" t="s">
        <v>28</v>
      </c>
      <c r="BI1" t="s">
        <v>28</v>
      </c>
      <c r="BJ1" t="s">
        <v>28</v>
      </c>
      <c r="BK1" t="s">
        <v>28</v>
      </c>
      <c r="BL1" t="s">
        <v>28</v>
      </c>
      <c r="BM1" t="s">
        <v>28</v>
      </c>
      <c r="BN1" t="s">
        <v>28</v>
      </c>
      <c r="BO1" t="s">
        <v>28</v>
      </c>
      <c r="BP1" t="s">
        <v>28</v>
      </c>
      <c r="BQ1" t="s">
        <v>28</v>
      </c>
      <c r="BR1" t="s">
        <v>28</v>
      </c>
      <c r="BS1" t="s">
        <v>28</v>
      </c>
      <c r="BT1" t="s">
        <v>28</v>
      </c>
      <c r="BU1" t="s">
        <v>28</v>
      </c>
      <c r="BV1" t="s">
        <v>28</v>
      </c>
      <c r="BW1" t="s">
        <v>28</v>
      </c>
      <c r="BX1" t="s">
        <v>28</v>
      </c>
      <c r="BY1" t="s">
        <v>28</v>
      </c>
      <c r="BZ1" t="s">
        <v>28</v>
      </c>
      <c r="CA1" t="s">
        <v>28</v>
      </c>
      <c r="CB1" t="s">
        <v>28</v>
      </c>
      <c r="CC1" t="s">
        <v>28</v>
      </c>
      <c r="CD1" t="s">
        <v>28</v>
      </c>
    </row>
    <row r="2" spans="1:96" x14ac:dyDescent="0.2">
      <c r="A2" s="3" t="s">
        <v>3</v>
      </c>
      <c r="B2" t="s">
        <v>74</v>
      </c>
      <c r="C2" t="s">
        <v>75</v>
      </c>
      <c r="D2" t="s">
        <v>76</v>
      </c>
      <c r="E2" s="1" t="s">
        <v>77</v>
      </c>
      <c r="F2" t="s">
        <v>78</v>
      </c>
      <c r="G2" t="s">
        <v>80</v>
      </c>
      <c r="H2" t="s">
        <v>81</v>
      </c>
      <c r="I2" t="s">
        <v>82</v>
      </c>
      <c r="J2" t="s">
        <v>83</v>
      </c>
      <c r="K2" t="s">
        <v>84</v>
      </c>
      <c r="L2" t="s">
        <v>85</v>
      </c>
      <c r="M2" t="s">
        <v>86</v>
      </c>
      <c r="N2" t="s">
        <v>87</v>
      </c>
      <c r="O2" t="s">
        <v>88</v>
      </c>
      <c r="P2" t="s">
        <v>89</v>
      </c>
      <c r="Q2" t="s">
        <v>90</v>
      </c>
      <c r="R2" t="s">
        <v>91</v>
      </c>
      <c r="S2" t="s">
        <v>92</v>
      </c>
      <c r="T2" t="s">
        <v>93</v>
      </c>
      <c r="U2" t="s">
        <v>94</v>
      </c>
      <c r="V2" t="s">
        <v>95</v>
      </c>
      <c r="W2" t="s">
        <v>97</v>
      </c>
      <c r="X2" t="s">
        <v>98</v>
      </c>
      <c r="Y2" t="s">
        <v>99</v>
      </c>
      <c r="Z2" t="s">
        <v>100</v>
      </c>
      <c r="AA2" t="s">
        <v>101</v>
      </c>
      <c r="AB2" t="s">
        <v>102</v>
      </c>
      <c r="AC2" t="s">
        <v>103</v>
      </c>
      <c r="AD2" t="s">
        <v>104</v>
      </c>
      <c r="AE2" t="s">
        <v>105</v>
      </c>
      <c r="AF2" t="s">
        <v>106</v>
      </c>
      <c r="AG2" t="s">
        <v>107</v>
      </c>
      <c r="AH2" t="s">
        <v>108</v>
      </c>
      <c r="AI2" t="s">
        <v>109</v>
      </c>
      <c r="AJ2" t="s">
        <v>110</v>
      </c>
      <c r="AK2" t="s">
        <v>111</v>
      </c>
      <c r="AL2" t="s">
        <v>112</v>
      </c>
      <c r="AM2" t="s">
        <v>113</v>
      </c>
      <c r="AN2" t="s">
        <v>114</v>
      </c>
      <c r="AO2" t="s">
        <v>115</v>
      </c>
      <c r="AP2" t="s">
        <v>116</v>
      </c>
      <c r="AQ2" t="s">
        <v>117</v>
      </c>
      <c r="AR2" t="s">
        <v>118</v>
      </c>
      <c r="AS2" t="s">
        <v>119</v>
      </c>
      <c r="AT2" t="s">
        <v>124</v>
      </c>
      <c r="AU2" t="s">
        <v>123</v>
      </c>
      <c r="AV2" t="s">
        <v>126</v>
      </c>
      <c r="AW2" t="s">
        <v>133</v>
      </c>
      <c r="AX2" t="s">
        <v>134</v>
      </c>
      <c r="AY2" t="s">
        <v>135</v>
      </c>
      <c r="AZ2" t="s">
        <v>136</v>
      </c>
      <c r="BA2" t="s">
        <v>137</v>
      </c>
      <c r="BB2" t="s">
        <v>138</v>
      </c>
      <c r="BC2" t="s">
        <v>139</v>
      </c>
      <c r="BD2" t="s">
        <v>140</v>
      </c>
      <c r="BE2" t="s">
        <v>127</v>
      </c>
      <c r="BF2" t="s">
        <v>128</v>
      </c>
      <c r="BG2" t="s">
        <v>129</v>
      </c>
      <c r="BH2" t="s">
        <v>130</v>
      </c>
      <c r="BI2" t="s">
        <v>131</v>
      </c>
      <c r="BJ2" t="s">
        <v>132</v>
      </c>
      <c r="BK2" t="s">
        <v>160</v>
      </c>
      <c r="BL2" t="s">
        <v>188</v>
      </c>
      <c r="BM2" t="s">
        <v>162</v>
      </c>
      <c r="BN2" t="s">
        <v>163</v>
      </c>
      <c r="BO2" t="s">
        <v>164</v>
      </c>
      <c r="BP2" t="s">
        <v>165</v>
      </c>
      <c r="BQ2" t="s">
        <v>166</v>
      </c>
      <c r="BR2" t="s">
        <v>167</v>
      </c>
      <c r="BS2" t="s">
        <v>168</v>
      </c>
      <c r="BT2" t="s">
        <v>190</v>
      </c>
      <c r="BU2" t="s">
        <v>169</v>
      </c>
      <c r="BV2" t="s">
        <v>191</v>
      </c>
      <c r="BW2" t="s">
        <v>157</v>
      </c>
      <c r="BX2" t="s">
        <v>192</v>
      </c>
      <c r="BY2" t="s">
        <v>158</v>
      </c>
      <c r="BZ2" t="s">
        <v>159</v>
      </c>
      <c r="CA2" t="s">
        <v>193</v>
      </c>
      <c r="CB2" t="s">
        <v>194</v>
      </c>
      <c r="CC2" t="s">
        <v>161</v>
      </c>
      <c r="CD2" t="s">
        <v>213</v>
      </c>
    </row>
    <row r="3" spans="1:96" x14ac:dyDescent="0.2">
      <c r="A3" s="2" t="s">
        <v>2</v>
      </c>
      <c r="B3">
        <v>6.391800536699999</v>
      </c>
      <c r="C3">
        <v>3.1770135480600001</v>
      </c>
      <c r="D3">
        <v>12.816808360899998</v>
      </c>
      <c r="E3">
        <v>6.4393644018000007</v>
      </c>
      <c r="F3">
        <v>4.1415547519999993</v>
      </c>
      <c r="G3">
        <v>6.7330414951999993</v>
      </c>
      <c r="H3">
        <v>6.1017497671000003</v>
      </c>
      <c r="I3">
        <v>5.2679979476000014</v>
      </c>
      <c r="J3">
        <v>1.9426925711999996</v>
      </c>
      <c r="K3">
        <v>7.2663764387999992</v>
      </c>
      <c r="L3">
        <v>9.8133792090527017</v>
      </c>
      <c r="M3">
        <v>5.9634416576470928</v>
      </c>
      <c r="N3">
        <v>8.621972916599999</v>
      </c>
      <c r="O3">
        <v>6.9784064186600006</v>
      </c>
      <c r="P3">
        <v>5.9439750680000003</v>
      </c>
      <c r="Q3">
        <v>9.3769842030999975</v>
      </c>
      <c r="R3">
        <v>5.7659015617000007</v>
      </c>
      <c r="S3">
        <v>4.9435101709999989</v>
      </c>
      <c r="T3">
        <v>6.3687977963999991</v>
      </c>
      <c r="U3">
        <v>4.2012945678399998</v>
      </c>
      <c r="V3">
        <v>1.94224344706537</v>
      </c>
      <c r="W3">
        <v>5.6914977681000014</v>
      </c>
      <c r="X3">
        <v>3.5272978020000001</v>
      </c>
      <c r="Y3">
        <v>3.3474243279999998</v>
      </c>
      <c r="Z3">
        <v>1.9251146577599998</v>
      </c>
      <c r="AA3">
        <v>1.9583813354699993</v>
      </c>
      <c r="AB3">
        <v>12.688791656000001</v>
      </c>
      <c r="AC3">
        <v>4.3809950771999997</v>
      </c>
      <c r="AD3">
        <v>6.8273253735999999</v>
      </c>
      <c r="AE3">
        <v>2.3971099300000001</v>
      </c>
      <c r="AF3">
        <v>3.900568452299999</v>
      </c>
      <c r="AG3">
        <v>4.0726768946000007</v>
      </c>
      <c r="AH3">
        <v>7.5345529800000008</v>
      </c>
      <c r="AI3">
        <v>4.4405213595999999</v>
      </c>
      <c r="AJ3">
        <v>2.5034119380000006</v>
      </c>
      <c r="AK3">
        <v>5.8217415102857135</v>
      </c>
      <c r="AL3">
        <v>5.4120773374000004</v>
      </c>
      <c r="AM3">
        <v>3.1308680299499994</v>
      </c>
      <c r="AN3">
        <v>2.1530791841999997</v>
      </c>
      <c r="AO3">
        <v>4.6828832297511145</v>
      </c>
      <c r="AP3">
        <v>4.5696121390500002</v>
      </c>
      <c r="AQ3">
        <v>5.4771448991999998</v>
      </c>
      <c r="AR3">
        <v>4.5332182904499998</v>
      </c>
      <c r="AS3">
        <v>6.2772916932000005</v>
      </c>
      <c r="AT3">
        <v>7.2507659897804499</v>
      </c>
      <c r="AU3">
        <v>5.2424940364182175</v>
      </c>
      <c r="AV3">
        <v>7.8035580797046311</v>
      </c>
      <c r="AW3">
        <v>4.3081732437999998</v>
      </c>
      <c r="AX3">
        <v>5.9116515077315306</v>
      </c>
      <c r="AY3">
        <v>6.3690267548859678</v>
      </c>
      <c r="AZ3">
        <v>1.9958043233230687</v>
      </c>
      <c r="BA3">
        <v>5.0152046884003711</v>
      </c>
      <c r="BB3">
        <v>2.8197356420516986</v>
      </c>
      <c r="BC3">
        <v>6.8148693932681876</v>
      </c>
      <c r="BD3">
        <v>5.2707788291051818</v>
      </c>
      <c r="BE3">
        <v>3.9566496721089051</v>
      </c>
      <c r="BF3">
        <v>5.5692706669773777</v>
      </c>
      <c r="BG3">
        <v>4.7930427101559818</v>
      </c>
      <c r="BH3">
        <v>4.9504883473366341</v>
      </c>
      <c r="BI3">
        <v>10.871165677992973</v>
      </c>
      <c r="BJ3">
        <v>7.4679808898985423</v>
      </c>
      <c r="BK3">
        <v>19.946134186819162</v>
      </c>
      <c r="BL3">
        <v>6.4223087544769069</v>
      </c>
      <c r="BM3">
        <v>3.6916910040154773</v>
      </c>
      <c r="BN3">
        <v>3.9347221929654719</v>
      </c>
      <c r="BO3">
        <v>3.9347221929654719</v>
      </c>
      <c r="BP3">
        <v>3.9347221929654719</v>
      </c>
      <c r="BQ3">
        <v>3.6236144062996232</v>
      </c>
      <c r="BR3">
        <v>4.5734651714511285</v>
      </c>
      <c r="BS3">
        <v>6.030428868010616</v>
      </c>
      <c r="BT3">
        <v>6.5530017198397887</v>
      </c>
      <c r="BU3">
        <v>3.777933176509281</v>
      </c>
      <c r="BV3">
        <v>21.360497201093356</v>
      </c>
      <c r="BW3">
        <v>5.1578729531264251</v>
      </c>
      <c r="BX3">
        <v>7.618925827711827</v>
      </c>
      <c r="BY3">
        <v>3.010194052165716</v>
      </c>
      <c r="BZ3">
        <v>4.5653243432231205</v>
      </c>
      <c r="CA3">
        <v>2.6636050095151971</v>
      </c>
      <c r="CB3">
        <v>4.3495176746170765</v>
      </c>
      <c r="CC3">
        <v>4.424043523818284</v>
      </c>
      <c r="CD3">
        <v>1.5789424310550071</v>
      </c>
    </row>
    <row r="4" spans="1:96" x14ac:dyDescent="0.2">
      <c r="A4" s="3" t="s">
        <v>1</v>
      </c>
      <c r="B4" t="s">
        <v>72</v>
      </c>
      <c r="C4" t="s">
        <v>72</v>
      </c>
      <c r="D4" t="s">
        <v>72</v>
      </c>
      <c r="E4" t="s">
        <v>72</v>
      </c>
      <c r="F4" t="s">
        <v>72</v>
      </c>
      <c r="G4" t="s">
        <v>72</v>
      </c>
      <c r="H4" t="s">
        <v>72</v>
      </c>
      <c r="I4" t="s">
        <v>72</v>
      </c>
      <c r="J4" t="s">
        <v>72</v>
      </c>
      <c r="K4" t="s">
        <v>72</v>
      </c>
      <c r="L4" t="s">
        <v>72</v>
      </c>
      <c r="M4" t="s">
        <v>72</v>
      </c>
      <c r="N4" t="s">
        <v>72</v>
      </c>
      <c r="O4" t="s">
        <v>72</v>
      </c>
      <c r="P4" t="s">
        <v>72</v>
      </c>
      <c r="Q4" t="s">
        <v>72</v>
      </c>
      <c r="R4" t="s">
        <v>72</v>
      </c>
      <c r="S4" t="s">
        <v>72</v>
      </c>
      <c r="T4" t="s">
        <v>72</v>
      </c>
      <c r="U4" t="s">
        <v>72</v>
      </c>
      <c r="V4" t="s">
        <v>72</v>
      </c>
      <c r="W4" t="s">
        <v>72</v>
      </c>
      <c r="X4" t="s">
        <v>72</v>
      </c>
      <c r="Y4" t="s">
        <v>72</v>
      </c>
      <c r="Z4" t="s">
        <v>72</v>
      </c>
      <c r="AA4" t="s">
        <v>72</v>
      </c>
      <c r="AB4" t="s">
        <v>72</v>
      </c>
      <c r="AC4" t="s">
        <v>72</v>
      </c>
      <c r="AD4" t="s">
        <v>72</v>
      </c>
      <c r="AE4" t="s">
        <v>72</v>
      </c>
      <c r="AF4" t="s">
        <v>72</v>
      </c>
      <c r="AG4" t="s">
        <v>72</v>
      </c>
      <c r="AH4" t="s">
        <v>72</v>
      </c>
      <c r="AI4" t="s">
        <v>72</v>
      </c>
      <c r="AJ4" t="s">
        <v>72</v>
      </c>
      <c r="AK4" t="s">
        <v>72</v>
      </c>
      <c r="AL4" t="s">
        <v>72</v>
      </c>
      <c r="AM4" t="s">
        <v>72</v>
      </c>
      <c r="AN4" t="s">
        <v>72</v>
      </c>
      <c r="AO4" t="s">
        <v>72</v>
      </c>
      <c r="AP4" t="s">
        <v>72</v>
      </c>
      <c r="AQ4" t="s">
        <v>72</v>
      </c>
      <c r="AR4" t="s">
        <v>72</v>
      </c>
      <c r="AS4" t="s">
        <v>72</v>
      </c>
      <c r="AT4" t="s">
        <v>72</v>
      </c>
      <c r="AU4" t="s">
        <v>72</v>
      </c>
      <c r="AV4" t="s">
        <v>72</v>
      </c>
      <c r="AW4" t="s">
        <v>155</v>
      </c>
      <c r="AX4" t="s">
        <v>155</v>
      </c>
      <c r="AY4" t="s">
        <v>155</v>
      </c>
      <c r="AZ4" t="s">
        <v>155</v>
      </c>
      <c r="BA4" t="s">
        <v>155</v>
      </c>
      <c r="BB4" t="s">
        <v>155</v>
      </c>
      <c r="BC4" t="s">
        <v>155</v>
      </c>
      <c r="BD4" t="s">
        <v>155</v>
      </c>
      <c r="BE4" t="s">
        <v>155</v>
      </c>
      <c r="BF4" t="s">
        <v>155</v>
      </c>
      <c r="BG4" t="s">
        <v>155</v>
      </c>
      <c r="BH4" t="s">
        <v>155</v>
      </c>
      <c r="BI4" t="s">
        <v>155</v>
      </c>
      <c r="BJ4" t="s">
        <v>155</v>
      </c>
      <c r="BK4" t="s">
        <v>187</v>
      </c>
      <c r="BL4" t="s">
        <v>187</v>
      </c>
      <c r="BM4" t="s">
        <v>187</v>
      </c>
      <c r="BN4" t="s">
        <v>187</v>
      </c>
      <c r="BO4" t="s">
        <v>187</v>
      </c>
      <c r="BP4" t="s">
        <v>187</v>
      </c>
      <c r="BQ4" t="s">
        <v>187</v>
      </c>
      <c r="BR4" t="s">
        <v>187</v>
      </c>
      <c r="BS4" t="s">
        <v>187</v>
      </c>
      <c r="BT4" t="s">
        <v>187</v>
      </c>
      <c r="BU4" t="s">
        <v>187</v>
      </c>
      <c r="BV4" t="s">
        <v>187</v>
      </c>
      <c r="BW4" t="s">
        <v>187</v>
      </c>
      <c r="BX4" t="s">
        <v>187</v>
      </c>
      <c r="BY4" t="s">
        <v>187</v>
      </c>
      <c r="BZ4" t="s">
        <v>187</v>
      </c>
      <c r="CA4" t="s">
        <v>187</v>
      </c>
      <c r="CB4" t="s">
        <v>187</v>
      </c>
      <c r="CC4" t="s">
        <v>187</v>
      </c>
      <c r="CD4" t="s">
        <v>187</v>
      </c>
    </row>
    <row r="5" spans="1:96" x14ac:dyDescent="0.2">
      <c r="A5" s="3" t="s">
        <v>0</v>
      </c>
      <c r="B5" t="s">
        <v>29</v>
      </c>
      <c r="C5" t="s">
        <v>30</v>
      </c>
      <c r="D5" t="s">
        <v>31</v>
      </c>
      <c r="E5" t="s">
        <v>32</v>
      </c>
      <c r="F5" t="s">
        <v>33</v>
      </c>
      <c r="G5" t="s">
        <v>34</v>
      </c>
      <c r="H5" t="s">
        <v>35</v>
      </c>
      <c r="I5" t="s">
        <v>36</v>
      </c>
      <c r="J5" t="s">
        <v>37</v>
      </c>
      <c r="K5" t="s">
        <v>38</v>
      </c>
      <c r="L5" t="s">
        <v>39</v>
      </c>
      <c r="M5" t="s">
        <v>40</v>
      </c>
      <c r="N5" t="s">
        <v>41</v>
      </c>
      <c r="O5" t="s">
        <v>42</v>
      </c>
      <c r="P5" t="s">
        <v>43</v>
      </c>
      <c r="Q5" t="s">
        <v>44</v>
      </c>
      <c r="R5" t="s">
        <v>45</v>
      </c>
      <c r="S5" t="s">
        <v>46</v>
      </c>
      <c r="T5" t="s">
        <v>47</v>
      </c>
      <c r="U5" t="s">
        <v>48</v>
      </c>
      <c r="V5" t="s">
        <v>96</v>
      </c>
      <c r="W5" t="s">
        <v>49</v>
      </c>
      <c r="X5" t="s">
        <v>50</v>
      </c>
      <c r="Y5" t="s">
        <v>51</v>
      </c>
      <c r="Z5" t="s">
        <v>52</v>
      </c>
      <c r="AA5" t="s">
        <v>53</v>
      </c>
      <c r="AB5" t="s">
        <v>54</v>
      </c>
      <c r="AC5" t="s">
        <v>55</v>
      </c>
      <c r="AD5" t="s">
        <v>56</v>
      </c>
      <c r="AE5" t="s">
        <v>57</v>
      </c>
      <c r="AF5" t="s">
        <v>58</v>
      </c>
      <c r="AG5" t="s">
        <v>59</v>
      </c>
      <c r="AH5" t="s">
        <v>60</v>
      </c>
      <c r="AI5" t="s">
        <v>61</v>
      </c>
      <c r="AJ5" t="s">
        <v>62</v>
      </c>
      <c r="AK5" t="s">
        <v>63</v>
      </c>
      <c r="AL5" t="s">
        <v>64</v>
      </c>
      <c r="AM5" t="s">
        <v>65</v>
      </c>
      <c r="AN5" t="s">
        <v>66</v>
      </c>
      <c r="AO5" t="s">
        <v>67</v>
      </c>
      <c r="AP5" t="s">
        <v>68</v>
      </c>
      <c r="AQ5" t="s">
        <v>69</v>
      </c>
      <c r="AR5" t="s">
        <v>70</v>
      </c>
      <c r="AS5" t="s">
        <v>71</v>
      </c>
      <c r="AT5" t="s">
        <v>121</v>
      </c>
      <c r="AU5" t="s">
        <v>122</v>
      </c>
      <c r="AV5" t="s">
        <v>125</v>
      </c>
      <c r="AW5" t="s">
        <v>147</v>
      </c>
      <c r="AX5" t="s">
        <v>148</v>
      </c>
      <c r="AY5" t="s">
        <v>149</v>
      </c>
      <c r="AZ5" t="s">
        <v>150</v>
      </c>
      <c r="BA5" t="s">
        <v>151</v>
      </c>
      <c r="BB5" t="s">
        <v>152</v>
      </c>
      <c r="BC5" t="s">
        <v>153</v>
      </c>
      <c r="BD5" t="s">
        <v>154</v>
      </c>
      <c r="BE5" t="s">
        <v>141</v>
      </c>
      <c r="BF5" t="s">
        <v>142</v>
      </c>
      <c r="BG5" t="s">
        <v>143</v>
      </c>
      <c r="BH5" t="s">
        <v>144</v>
      </c>
      <c r="BI5" t="s">
        <v>145</v>
      </c>
      <c r="BJ5" t="s">
        <v>146</v>
      </c>
      <c r="BK5" t="s">
        <v>177</v>
      </c>
      <c r="BL5" t="s">
        <v>179</v>
      </c>
      <c r="BM5" t="s">
        <v>180</v>
      </c>
      <c r="BN5" t="s">
        <v>181</v>
      </c>
      <c r="BO5" t="s">
        <v>181</v>
      </c>
      <c r="BP5" t="s">
        <v>181</v>
      </c>
      <c r="BQ5" t="s">
        <v>182</v>
      </c>
      <c r="BR5" t="s">
        <v>183</v>
      </c>
      <c r="BS5" t="s">
        <v>184</v>
      </c>
      <c r="BT5" t="s">
        <v>185</v>
      </c>
      <c r="BU5" t="s">
        <v>186</v>
      </c>
      <c r="BV5" t="s">
        <v>170</v>
      </c>
      <c r="BW5" t="s">
        <v>171</v>
      </c>
      <c r="BX5" t="s">
        <v>172</v>
      </c>
      <c r="BY5" t="s">
        <v>173</v>
      </c>
      <c r="BZ5" t="s">
        <v>174</v>
      </c>
      <c r="CA5" t="s">
        <v>175</v>
      </c>
      <c r="CB5" t="s">
        <v>176</v>
      </c>
      <c r="CC5" t="s">
        <v>178</v>
      </c>
      <c r="CD5" t="s">
        <v>189</v>
      </c>
    </row>
    <row r="6" spans="1:96" x14ac:dyDescent="0.2">
      <c r="A6" s="3" t="s">
        <v>237</v>
      </c>
      <c r="B6">
        <v>-6.92973088671899</v>
      </c>
      <c r="C6">
        <v>-18.891771318973401</v>
      </c>
      <c r="D6">
        <v>-12.692811334975</v>
      </c>
      <c r="E6">
        <v>-13.6614763441656</v>
      </c>
      <c r="F6">
        <v>-8.5089798102657994</v>
      </c>
      <c r="G6">
        <v>-8.5089798102657994</v>
      </c>
      <c r="H6">
        <v>-2.42658087652153</v>
      </c>
      <c r="I6">
        <v>-24.2957742138803</v>
      </c>
      <c r="J6">
        <v>-12.2351284847587</v>
      </c>
      <c r="K6">
        <v>-8.1864456962712993</v>
      </c>
      <c r="L6">
        <v>-9.3991344677059594</v>
      </c>
      <c r="M6">
        <v>-15.4644099754107</v>
      </c>
      <c r="N6">
        <v>-22.686221593795999</v>
      </c>
      <c r="O6">
        <v>-13.954144317386699</v>
      </c>
      <c r="P6">
        <v>2.6277668459014398</v>
      </c>
      <c r="Q6">
        <v>-6.5622683348972597</v>
      </c>
      <c r="R6">
        <v>-3.8733568945006698</v>
      </c>
      <c r="S6">
        <v>-21.6596915248473</v>
      </c>
      <c r="T6">
        <v>-20.546922537920899</v>
      </c>
      <c r="U6">
        <v>-14.058876189015001</v>
      </c>
      <c r="V6">
        <v>-4.1308758117570701</v>
      </c>
      <c r="W6">
        <v>-7.9003058568847599</v>
      </c>
      <c r="X6">
        <v>-10.0271281545277</v>
      </c>
      <c r="Y6">
        <v>-5.6909286701008401</v>
      </c>
      <c r="Z6">
        <v>-5.1242070233740202</v>
      </c>
      <c r="AA6">
        <v>-6.1047898874767403</v>
      </c>
      <c r="AB6">
        <v>-11.7051628946028</v>
      </c>
      <c r="AC6">
        <v>-17.674021389556199</v>
      </c>
      <c r="AD6">
        <v>7.8106259862811402</v>
      </c>
      <c r="AE6">
        <v>9.1807986520424301</v>
      </c>
      <c r="AF6">
        <v>-7.1020194122857996</v>
      </c>
      <c r="AG6">
        <v>-9.7120050624506309</v>
      </c>
      <c r="AH6">
        <v>-4.2619947503861697</v>
      </c>
      <c r="AI6">
        <v>-9.2547685198496996</v>
      </c>
      <c r="AJ6">
        <v>-6.2357997739534099</v>
      </c>
      <c r="AK6">
        <v>-13.145053510998199</v>
      </c>
      <c r="AL6">
        <v>-1.6449732797971399</v>
      </c>
      <c r="AM6">
        <v>-5.8834354966776603</v>
      </c>
      <c r="AN6">
        <v>-4.9286799437957196</v>
      </c>
      <c r="AO6">
        <v>-12.357755805437399</v>
      </c>
      <c r="AP6">
        <v>-6.6329004769264399</v>
      </c>
      <c r="AQ6">
        <v>-6.25281863890749</v>
      </c>
      <c r="AR6">
        <v>-9.7235364133261406</v>
      </c>
      <c r="AS6">
        <v>-8.6991964866053202</v>
      </c>
      <c r="AT6">
        <v>-2.1116508145874202</v>
      </c>
      <c r="AU6">
        <v>-6.8576551794581597</v>
      </c>
      <c r="AV6">
        <v>-4.2658231897440304</v>
      </c>
      <c r="AW6">
        <v>-2.4870313167890998</v>
      </c>
      <c r="AX6">
        <v>-12.258704172037501</v>
      </c>
      <c r="AY6">
        <v>-15.4698861436569</v>
      </c>
      <c r="AZ6">
        <v>-2.0309976290859901</v>
      </c>
      <c r="BA6">
        <v>-1.7058829798903701</v>
      </c>
      <c r="BB6">
        <v>-7.4913939843499904</v>
      </c>
      <c r="BC6">
        <v>-12.954142920421001</v>
      </c>
      <c r="BD6">
        <v>-6.5440603649440598</v>
      </c>
      <c r="BE6">
        <v>-6.5019089776294701</v>
      </c>
      <c r="BF6">
        <v>-1.90710882422115</v>
      </c>
      <c r="BG6">
        <v>0.26193515323779598</v>
      </c>
      <c r="BH6">
        <v>-11.4093385639232</v>
      </c>
      <c r="BI6">
        <v>-8.3311771748176806</v>
      </c>
      <c r="BJ6">
        <v>-3.2633947995809698</v>
      </c>
      <c r="BK6">
        <v>-2.8752134841880701</v>
      </c>
      <c r="BL6">
        <v>-10.4503920257046</v>
      </c>
      <c r="BM6">
        <v>-5.3464751567118904</v>
      </c>
      <c r="BN6">
        <v>-12.903638567691599</v>
      </c>
      <c r="BO6">
        <v>-14.8596554092069</v>
      </c>
      <c r="BP6">
        <v>-12.459703346142</v>
      </c>
      <c r="BQ6">
        <v>-5.7676012247347401</v>
      </c>
      <c r="BR6">
        <v>-9.0950274141658891</v>
      </c>
      <c r="BS6">
        <v>-15.495924501936299</v>
      </c>
      <c r="BT6">
        <v>-5.3424975637164103</v>
      </c>
      <c r="BU6">
        <v>-2.9993240738989599</v>
      </c>
      <c r="BV6">
        <v>-9.0104548974091792</v>
      </c>
      <c r="BW6">
        <v>6.3238218653495402</v>
      </c>
      <c r="BX6">
        <v>-7.3450594071468496</v>
      </c>
      <c r="BY6">
        <v>-8.8637758939619893</v>
      </c>
      <c r="BZ6">
        <v>-8.0810043406464391</v>
      </c>
      <c r="CA6">
        <v>-6.3242865001896096</v>
      </c>
      <c r="CB6">
        <v>-11.6291465814963</v>
      </c>
      <c r="CC6">
        <v>8.8030413260987697</v>
      </c>
      <c r="CD6">
        <v>-2.91058458472232</v>
      </c>
    </row>
    <row r="7" spans="1:96" x14ac:dyDescent="0.2">
      <c r="A7" s="3" t="s">
        <v>238</v>
      </c>
      <c r="B7">
        <v>9.3271968349314207</v>
      </c>
      <c r="C7">
        <v>8.6400647746057793</v>
      </c>
      <c r="D7">
        <v>7.1694940778009597</v>
      </c>
      <c r="E7">
        <v>5.9033906110643901</v>
      </c>
      <c r="F7">
        <v>9.4378580545307198</v>
      </c>
      <c r="G7">
        <v>9.4378580545307198</v>
      </c>
      <c r="H7">
        <v>8.7608698712634201</v>
      </c>
      <c r="I7">
        <v>3.89616040202369</v>
      </c>
      <c r="J7">
        <v>4.3920872091709899</v>
      </c>
      <c r="K7">
        <v>8.1389197346739994</v>
      </c>
      <c r="L7">
        <v>6.6382901495228603</v>
      </c>
      <c r="M7">
        <v>5.5667889944453304</v>
      </c>
      <c r="N7">
        <v>3.3914091600779801</v>
      </c>
      <c r="O7">
        <v>5.2912039462096399</v>
      </c>
      <c r="P7">
        <v>4.5442902333673203</v>
      </c>
      <c r="Q7">
        <v>7.62958547025905</v>
      </c>
      <c r="R7">
        <v>7.2180378614312799</v>
      </c>
      <c r="S7">
        <v>8.3938354330195892</v>
      </c>
      <c r="T7">
        <v>7.2956695493744803</v>
      </c>
      <c r="U7">
        <v>5.2398516466657998</v>
      </c>
      <c r="V7">
        <v>8.3972851079370496</v>
      </c>
      <c r="W7">
        <v>5.0287665580530998</v>
      </c>
      <c r="X7">
        <v>6.8200504535033204</v>
      </c>
      <c r="Y7">
        <v>6.65661420477121</v>
      </c>
      <c r="Z7">
        <v>8.98554571437219</v>
      </c>
      <c r="AA7">
        <v>8.50010473536096</v>
      </c>
      <c r="AB7">
        <v>6.5734399319232697</v>
      </c>
      <c r="AC7">
        <v>7.2069817785197197</v>
      </c>
      <c r="AD7">
        <v>6.9082769231807903</v>
      </c>
      <c r="AE7">
        <v>11.9925217291048</v>
      </c>
      <c r="AF7">
        <v>8.9178305484639093</v>
      </c>
      <c r="AG7">
        <v>8.3023557351440491</v>
      </c>
      <c r="AH7">
        <v>7.9236633810426502</v>
      </c>
      <c r="AI7">
        <v>6.9360648319468696</v>
      </c>
      <c r="AJ7">
        <v>8.0644532042507908</v>
      </c>
      <c r="AK7">
        <v>7.4327884467913501</v>
      </c>
      <c r="AL7">
        <v>6.12453091130772</v>
      </c>
      <c r="AM7">
        <v>7.1448608152917998</v>
      </c>
      <c r="AN7">
        <v>9.4562441262191506</v>
      </c>
      <c r="AO7">
        <v>9.1584324729511906</v>
      </c>
      <c r="AP7">
        <v>6.1412297429223903</v>
      </c>
      <c r="AQ7">
        <v>8.6424520457627203</v>
      </c>
      <c r="AR7">
        <v>7.2435793447976602</v>
      </c>
      <c r="AS7">
        <v>7.2391171213288299</v>
      </c>
      <c r="AT7">
        <v>8.6997119724585392</v>
      </c>
      <c r="AU7">
        <v>6.8264662379096404</v>
      </c>
      <c r="AV7">
        <v>7.8157198737510098</v>
      </c>
      <c r="AW7">
        <v>8.7774230843145595</v>
      </c>
      <c r="AX7">
        <v>9.0002487287051203</v>
      </c>
      <c r="AY7">
        <v>8.3556406493202697</v>
      </c>
      <c r="AZ7">
        <v>9.5600340430366604</v>
      </c>
      <c r="BA7">
        <v>9.1478892343291403</v>
      </c>
      <c r="BB7">
        <v>10.1411068629191</v>
      </c>
      <c r="BC7">
        <v>6.4681378664405704</v>
      </c>
      <c r="BD7">
        <v>6.7304783652700397</v>
      </c>
      <c r="BE7">
        <v>7.8297772864820097</v>
      </c>
      <c r="BF7">
        <v>8.0103832163485897</v>
      </c>
      <c r="BG7">
        <v>10.437600564318</v>
      </c>
      <c r="BH7">
        <v>5.6654973315675399</v>
      </c>
      <c r="BI7">
        <v>6.90924274033146</v>
      </c>
      <c r="BJ7">
        <v>8.1845313731360001</v>
      </c>
      <c r="BK7">
        <v>8.1587050144210398</v>
      </c>
      <c r="BL7">
        <v>7.6530358640493201</v>
      </c>
      <c r="BM7">
        <v>8.6987217634637393</v>
      </c>
      <c r="BN7">
        <v>4.7705344895236497</v>
      </c>
      <c r="BO7">
        <v>5.2958473978321798</v>
      </c>
      <c r="BP7">
        <v>7.2963690059501598</v>
      </c>
      <c r="BQ7">
        <v>8.6925998135950096</v>
      </c>
      <c r="BR7">
        <v>6.28554671200268</v>
      </c>
      <c r="BS7">
        <v>6.7875131904180899</v>
      </c>
      <c r="BT7">
        <v>8.3649246365834298</v>
      </c>
      <c r="BU7">
        <v>9.4858800238984102</v>
      </c>
      <c r="BV7">
        <v>7.91346231808879</v>
      </c>
      <c r="BW7">
        <v>8.6109767657314809</v>
      </c>
      <c r="BX7">
        <v>8.1515461549291803</v>
      </c>
      <c r="BY7">
        <v>5.7832053046668701</v>
      </c>
      <c r="BZ7">
        <v>6.7847496576936299</v>
      </c>
      <c r="CA7">
        <v>7.9585699500489699</v>
      </c>
      <c r="CB7">
        <v>9.5769031609886</v>
      </c>
      <c r="CC7">
        <v>13.4502466337255</v>
      </c>
      <c r="CD7">
        <v>9.5750316971373692</v>
      </c>
    </row>
    <row r="8" spans="1:96" x14ac:dyDescent="0.2">
      <c r="A8" s="3">
        <v>-80</v>
      </c>
      <c r="B8">
        <f>IF(ISBLANK(Conductance_Eeq!B7),"",IF(Conductance_Eeq!B7&lt;0,((LN(ABS(((Conductance_Eeq!B7/MAX(Conductance_Eeq!B$7:B$27)))))*(1.88E-23)*(25+273.15))/(EXP($A8-B$7))),((LN((Conductance_Eeq!B7/MAX(Conductance_Eeq!B$7:B$27))))*(1.88E-23)*(25+273.15))/(EXP($A8-B$7))))</f>
        <v>-1.4528755717985579E+19</v>
      </c>
      <c r="C8">
        <f>IF(ISBLANK(Conductance_Eeq!C7),"",IF(Conductance_Eeq!C7&lt;0,((LN(ABS(((Conductance_Eeq!C7/MAX(Conductance_Eeq!C$7:C$27)))))*(1.88E-23)*(25+273.15))/(EXP($A8-C$7))),((LN((Conductance_Eeq!C7/MAX(Conductance_Eeq!C$7:C$27))))*(1.88E-23)*(25+273.15))/(EXP($A8-C$7))))</f>
        <v>-7.5144553789056625E+18</v>
      </c>
      <c r="D8">
        <f>IF(ISBLANK(Conductance_Eeq!D7),"",IF(Conductance_Eeq!D7&lt;0,((LN(ABS(((Conductance_Eeq!D7/MAX(Conductance_Eeq!D$7:D$27)))))*(1.88E-23)*(25+273.15))/(EXP($A8-D$7))),((LN((Conductance_Eeq!D7/MAX(Conductance_Eeq!D$7:D$27))))*(1.88E-23)*(25+273.15))/(EXP($A8-D$7))))</f>
        <v>-1.4281587313853064E+18</v>
      </c>
      <c r="E8">
        <f>IF(ISBLANK(Conductance_Eeq!E7),"",IF(Conductance_Eeq!E7&lt;0,((LN(ABS(((Conductance_Eeq!E7/MAX(Conductance_Eeq!E$7:E$27)))))*(1.88E-23)*(25+273.15))/(EXP($A8-E$7))),((LN((Conductance_Eeq!E7/MAX(Conductance_Eeq!E$7:E$27))))*(1.88E-23)*(25+273.15))/(EXP($A8-E$7))))</f>
        <v>-6.344500294315273E+17</v>
      </c>
      <c r="F8">
        <f>IF(ISBLANK(Conductance_Eeq!F7),"",IF(Conductance_Eeq!F7&lt;0,((LN(ABS(((Conductance_Eeq!F7/MAX(Conductance_Eeq!F$7:F$27)))))*(1.88E-23)*(25+273.15))/(EXP($A8-F$7))),((LN((Conductance_Eeq!F7/MAX(Conductance_Eeq!F$7:F$27))))*(1.88E-23)*(25+273.15))/(EXP($A8-F$7))))</f>
        <v>-1.3652889948577939E+19</v>
      </c>
      <c r="G8">
        <f>IF(ISBLANK(Conductance_Eeq!G7),"",IF(Conductance_Eeq!G7&lt;0,((LN(ABS(((Conductance_Eeq!G7/MAX(Conductance_Eeq!G$7:G$27)))))*(1.88E-23)*(25+273.15))/(EXP($A8-G$7))),((LN((Conductance_Eeq!G7/MAX(Conductance_Eeq!G$7:G$27))))*(1.88E-23)*(25+273.15))/(EXP($A8-G$7))))</f>
        <v>-1.3652889948577939E+19</v>
      </c>
      <c r="H8">
        <f>IF(ISBLANK(Conductance_Eeq!H7),"",IF(Conductance_Eeq!H7&lt;0,((LN(ABS(((Conductance_Eeq!H7/MAX(Conductance_Eeq!H$7:H$27)))))*(1.88E-23)*(25+273.15))/(EXP($A8-H$7))),((LN((Conductance_Eeq!H7/MAX(Conductance_Eeq!H$7:H$27))))*(1.88E-23)*(25+273.15))/(EXP($A8-H$7))))</f>
        <v>-1.629373440674937E+19</v>
      </c>
      <c r="I8">
        <f>IF(ISBLANK(Conductance_Eeq!I7),"",IF(Conductance_Eeq!I7&lt;0,((LN(ABS(((Conductance_Eeq!I7/MAX(Conductance_Eeq!I$7:I$27)))))*(1.88E-23)*(25+273.15))/(EXP($A8-I$7))),((LN((Conductance_Eeq!I7/MAX(Conductance_Eeq!I$7:I$27))))*(1.88E-23)*(25+273.15))/(EXP($A8-I$7))))</f>
        <v>-6.0424885268918744E+16</v>
      </c>
      <c r="J8">
        <f>IF(ISBLANK(Conductance_Eeq!J7),"",IF(Conductance_Eeq!J7&lt;0,((LN(ABS(((Conductance_Eeq!J7/MAX(Conductance_Eeq!J$7:J$27)))))*(1.88E-23)*(25+273.15))/(EXP($A8-J$7))),((LN((Conductance_Eeq!J7/MAX(Conductance_Eeq!J$7:J$27))))*(1.88E-23)*(25+273.15))/(EXP($A8-J$7))))</f>
        <v>-9.9719537013207872E+16</v>
      </c>
      <c r="K8">
        <f>IF(ISBLANK(Conductance_Eeq!K7),"",IF(Conductance_Eeq!K7&lt;0,((LN(ABS(((Conductance_Eeq!K7/MAX(Conductance_Eeq!K$7:K$27)))))*(1.88E-23)*(25+273.15))/(EXP($A8-K$7))),((LN((Conductance_Eeq!K7/MAX(Conductance_Eeq!K$7:K$27))))*(1.88E-23)*(25+273.15))/(EXP($A8-K$7))))</f>
        <v>-5.8721626617930906E+18</v>
      </c>
      <c r="L8">
        <f>IF(ISBLANK(Conductance_Eeq!L7),"",IF(Conductance_Eeq!L7&lt;0,((LN(ABS(((Conductance_Eeq!L7/MAX(Conductance_Eeq!L$7:L$27)))))*(1.88E-23)*(25+273.15))/(EXP($A8-L$7))),((LN((Conductance_Eeq!L7/MAX(Conductance_Eeq!L$7:L$27))))*(1.88E-23)*(25+273.15))/(EXP($A8-L$7))))</f>
        <v>-1.071257311917095E+18</v>
      </c>
      <c r="M8">
        <f>IF(ISBLANK(Conductance_Eeq!M7),"",IF(Conductance_Eeq!M7&lt;0,((LN(ABS(((Conductance_Eeq!M7/MAX(Conductance_Eeq!M$7:M$27)))))*(1.88E-23)*(25+273.15))/(EXP($A8-M$7))),((LN((Conductance_Eeq!M7/MAX(Conductance_Eeq!M$7:M$27))))*(1.88E-23)*(25+273.15))/(EXP($A8-M$7))))</f>
        <v>-6.683214248069705E+17</v>
      </c>
      <c r="N8">
        <f>IF(ISBLANK(Conductance_Eeq!N7),"",IF(Conductance_Eeq!N7&lt;0,((LN(ABS(((Conductance_Eeq!N7/MAX(Conductance_Eeq!N$7:N$27)))))*(1.88E-23)*(25+273.15))/(EXP($A8-N$7))),((LN((Conductance_Eeq!N7/MAX(Conductance_Eeq!N$7:N$27))))*(1.88E-23)*(25+273.15))/(EXP($A8-N$7))))</f>
        <v>-3.79193623618656E+16</v>
      </c>
      <c r="O8">
        <f>IF(ISBLANK(Conductance_Eeq!O7),"",IF(Conductance_Eeq!O7&lt;0,((LN(ABS(((Conductance_Eeq!O7/MAX(Conductance_Eeq!O$7:O$27)))))*(1.88E-23)*(25+273.15))/(EXP($A8-O$7))),((LN((Conductance_Eeq!O7/MAX(Conductance_Eeq!O$7:O$27))))*(1.88E-23)*(25+273.15))/(EXP($A8-O$7))))</f>
        <v>-2.8310077140501178E+17</v>
      </c>
      <c r="P8">
        <f>IF(ISBLANK(Conductance_Eeq!P7),"",IF(Conductance_Eeq!P7&lt;0,((LN(ABS(((Conductance_Eeq!P7/MAX(Conductance_Eeq!P$7:P$27)))))*(1.88E-23)*(25+273.15))/(EXP($A8-P$7))),((LN((Conductance_Eeq!P7/MAX(Conductance_Eeq!P$7:P$27))))*(1.88E-23)*(25+273.15))/(EXP($A8-P$7))))</f>
        <v>-1.3098904723949109E+17</v>
      </c>
      <c r="Q8">
        <f>IF(ISBLANK(Conductance_Eeq!Q7),"",IF(Conductance_Eeq!Q7&lt;0,((LN(ABS(((Conductance_Eeq!Q7/MAX(Conductance_Eeq!Q$7:Q$27)))))*(1.88E-23)*(25+273.15))/(EXP($A8-Q$7))),((LN((Conductance_Eeq!Q7/MAX(Conductance_Eeq!Q$7:Q$27))))*(1.88E-23)*(25+273.15))/(EXP($A8-Q$7))))</f>
        <v>-2.6363400523871375E+18</v>
      </c>
      <c r="R8">
        <f>IF(ISBLANK(Conductance_Eeq!R7),"",IF(Conductance_Eeq!R7&lt;0,((LN(ABS(((Conductance_Eeq!R7/MAX(Conductance_Eeq!R$7:R$27)))))*(1.88E-23)*(25+273.15))/(EXP($A8-R$7))),((LN((Conductance_Eeq!R7/MAX(Conductance_Eeq!R$7:R$27))))*(1.88E-23)*(25+273.15))/(EXP($A8-R$7))))</f>
        <v>-1.8390311905117389E+18</v>
      </c>
      <c r="S8">
        <f>IF(ISBLANK(Conductance_Eeq!S7),"",IF(Conductance_Eeq!S7&lt;0,((LN(ABS(((Conductance_Eeq!S7/MAX(Conductance_Eeq!S$7:S$27)))))*(1.88E-23)*(25+273.15))/(EXP($A8-S$7))),((LN((Conductance_Eeq!S7/MAX(Conductance_Eeq!S$7:S$27))))*(1.88E-23)*(25+273.15))/(EXP($A8-S$7))))</f>
        <v>-1.1755942297156768E+19</v>
      </c>
      <c r="T8">
        <f>IF(ISBLANK(Conductance_Eeq!T7),"",IF(Conductance_Eeq!T7&lt;0,((LN(ABS(((Conductance_Eeq!T7/MAX(Conductance_Eeq!T$7:T$27)))))*(1.88E-23)*(25+273.15))/(EXP($A8-T$7))),((LN((Conductance_Eeq!T7/MAX(Conductance_Eeq!T$7:T$27))))*(1.88E-23)*(25+273.15))/(EXP($A8-T$7))))</f>
        <v>-1.7963656850718339E+18</v>
      </c>
      <c r="U8">
        <f>IF(ISBLANK(Conductance_Eeq!U7),"",IF(Conductance_Eeq!U7&lt;0,((LN(ABS(((Conductance_Eeq!U7/MAX(Conductance_Eeq!U$7:U$27)))))*(1.88E-23)*(25+273.15))/(EXP($A8-U$7))),((LN((Conductance_Eeq!U7/MAX(Conductance_Eeq!U$7:U$27))))*(1.88E-23)*(25+273.15))/(EXP($A8-U$7))))</f>
        <v>-2.4181023469860374E+17</v>
      </c>
      <c r="V8">
        <f>IF(ISBLANK(Conductance_Eeq!V7),"",IF(Conductance_Eeq!V7&lt;0,((LN(ABS(((Conductance_Eeq!V7/MAX(Conductance_Eeq!V$7:V$27)))))*(1.88E-23)*(25+273.15))/(EXP($A8-V$7))),((LN((Conductance_Eeq!V7/MAX(Conductance_Eeq!V$7:V$27))))*(1.88E-23)*(25+273.15))/(EXP($A8-V$7))))</f>
        <v>-6.5073723955019162E+18</v>
      </c>
      <c r="W8">
        <f>IF(ISBLANK(Conductance_Eeq!W7),"",IF(Conductance_Eeq!W7&lt;0,((LN(ABS(((Conductance_Eeq!W7/MAX(Conductance_Eeq!W$7:W$27)))))*(1.88E-23)*(25+273.15))/(EXP($A8-W$7))),((LN((Conductance_Eeq!W7/MAX(Conductance_Eeq!W$7:W$27))))*(1.88E-23)*(25+273.15))/(EXP($A8-W$7))))</f>
        <v>-2.3059399325730659E+17</v>
      </c>
      <c r="X8">
        <f>IF(ISBLANK(Conductance_Eeq!X7),"",IF(Conductance_Eeq!X7&lt;0,((LN(ABS(((Conductance_Eeq!X7/MAX(Conductance_Eeq!X$7:X$27)))))*(1.88E-23)*(25+273.15))/(EXP($A8-X$7))),((LN((Conductance_Eeq!X7/MAX(Conductance_Eeq!X$7:X$27))))*(1.88E-23)*(25+273.15))/(EXP($A8-X$7))))</f>
        <v>-2.294676625839934E+18</v>
      </c>
      <c r="Y8">
        <f>IF(ISBLANK(Conductance_Eeq!Y7),"",IF(Conductance_Eeq!Y7&lt;0,((LN(ABS(((Conductance_Eeq!Y7/MAX(Conductance_Eeq!Y$7:Y$27)))))*(1.88E-23)*(25+273.15))/(EXP($A8-Y$7))),((LN((Conductance_Eeq!Y7/MAX(Conductance_Eeq!Y$7:Y$27))))*(1.88E-23)*(25+273.15))/(EXP($A8-Y$7))))</f>
        <v>-1.1127677285238877E+18</v>
      </c>
      <c r="Z8">
        <f>IF(ISBLANK(Conductance_Eeq!Z7),"",IF(Conductance_Eeq!Z7&lt;0,((LN(ABS(((Conductance_Eeq!Z7/MAX(Conductance_Eeq!Z$7:Z$27)))))*(1.88E-23)*(25+273.15))/(EXP($A8-Z$7))),((LN((Conductance_Eeq!Z7/MAX(Conductance_Eeq!Z$7:Z$27))))*(1.88E-23)*(25+273.15))/(EXP($A8-Z$7))))</f>
        <v>-1.2417390256220729E+19</v>
      </c>
      <c r="AA8">
        <f>IF(ISBLANK(Conductance_Eeq!AA7),"",IF(Conductance_Eeq!AA7&lt;0,((LN(ABS(((Conductance_Eeq!AA7/MAX(Conductance_Eeq!AA$7:AA$27)))))*(1.88E-23)*(25+273.15))/(EXP($A8-AA$7))),((LN((Conductance_Eeq!AA7/MAX(Conductance_Eeq!AA$7:AA$27))))*(1.88E-23)*(25+273.15))/(EXP($A8-AA$7))))</f>
        <v>-8.2431372196448338E+18</v>
      </c>
      <c r="AB8">
        <f>IF(ISBLANK(Conductance_Eeq!AB7),"",IF(Conductance_Eeq!AB7&lt;0,((LN(ABS(((Conductance_Eeq!AB7/MAX(Conductance_Eeq!AB$7:AB$27)))))*(1.88E-23)*(25+273.15))/(EXP($A8-AB$7))),((LN((Conductance_Eeq!AB7/MAX(Conductance_Eeq!AB$7:AB$27))))*(1.88E-23)*(25+273.15))/(EXP($A8-AB$7))))</f>
        <v>-8.6211426326709837E+17</v>
      </c>
      <c r="AC8">
        <f>IF(ISBLANK(Conductance_Eeq!AC7),"",IF(Conductance_Eeq!AC7&lt;0,((LN(ABS(((Conductance_Eeq!AC7/MAX(Conductance_Eeq!AC$7:AC$27)))))*(1.88E-23)*(25+273.15))/(EXP($A8-AC$7))),((LN((Conductance_Eeq!AC7/MAX(Conductance_Eeq!AC$7:AC$27))))*(1.88E-23)*(25+273.15))/(EXP($A8-AC$7))))</f>
        <v>-3.3321622891425475E+18</v>
      </c>
      <c r="AD8">
        <f>IF(ISBLANK(Conductance_Eeq!AD7),"",IF(Conductance_Eeq!AD7&lt;0,((LN(ABS(((Conductance_Eeq!AD7/MAX(Conductance_Eeq!AD$7:AD$27)))))*(1.88E-23)*(25+273.15))/(EXP($A8-AD$7))),((LN((Conductance_Eeq!AD7/MAX(Conductance_Eeq!AD$7:AD$27))))*(1.88E-23)*(25+273.15))/(EXP($A8-AD$7))))</f>
        <v>-1.0943052090531259E+18</v>
      </c>
      <c r="AE8">
        <f>IF(ISBLANK(Conductance_Eeq!AE7),"",IF(Conductance_Eeq!AE7&lt;0,((LN(ABS(((Conductance_Eeq!AE7/MAX(Conductance_Eeq!AE$7:AE$27)))))*(1.88E-23)*(25+273.15))/(EXP($A8-AE$7))),((LN((Conductance_Eeq!AE7/MAX(Conductance_Eeq!AE$7:AE$27))))*(1.88E-23)*(25+273.15))/(EXP($A8-AE$7))))</f>
        <v>-4.7563074818539959E+20</v>
      </c>
      <c r="AF8">
        <f>IF(ISBLANK(Conductance_Eeq!AF7),"",IF(Conductance_Eeq!AF7&lt;0,((LN(ABS(((Conductance_Eeq!AF7/MAX(Conductance_Eeq!AF$7:AF$27)))))*(1.88E-23)*(25+273.15))/(EXP($A8-AF$7))),((LN((Conductance_Eeq!AF7/MAX(Conductance_Eeq!AF$7:AF$27))))*(1.88E-23)*(25+273.15))/(EXP($A8-AF$7))))</f>
        <v>-9.9254446171413463E+18</v>
      </c>
      <c r="AG8">
        <f>IF(ISBLANK(Conductance_Eeq!AG7),"",IF(Conductance_Eeq!AG7&lt;0,((LN(ABS(((Conductance_Eeq!AG7/MAX(Conductance_Eeq!AG$7:AG$27)))))*(1.88E-23)*(25+273.15))/(EXP($A8-AG$7))),((LN((Conductance_Eeq!AG7/MAX(Conductance_Eeq!AG$7:AG$27))))*(1.88E-23)*(25+273.15))/(EXP($A8-AG$7))))</f>
        <v>-4.743104434180439E+18</v>
      </c>
      <c r="AH8">
        <f>IF(ISBLANK(Conductance_Eeq!AH7),"",IF(Conductance_Eeq!AH7&lt;0,((LN(ABS(((Conductance_Eeq!AH7/MAX(Conductance_Eeq!AH$7:AH$27)))))*(1.88E-23)*(25+273.15))/(EXP($A8-AH$7))),((LN((Conductance_Eeq!AH7/MAX(Conductance_Eeq!AH$7:AH$27))))*(1.88E-23)*(25+273.15))/(EXP($A8-AH$7))))</f>
        <v>-3.4090313986174019E+18</v>
      </c>
      <c r="AI8">
        <f>IF(ISBLANK(Conductance_Eeq!AI7),"",IF(Conductance_Eeq!AI7&lt;0,((LN(ABS(((Conductance_Eeq!AI7/MAX(Conductance_Eeq!AI$7:AI$27)))))*(1.88E-23)*(25+273.15))/(EXP($A8-AI$7))),((LN((Conductance_Eeq!AI7/MAX(Conductance_Eeq!AI$7:AI$27))))*(1.88E-23)*(25+273.15))/(EXP($A8-AI$7))))</f>
        <v>-2.0764242143774684E+18</v>
      </c>
      <c r="AJ8">
        <f>IF(ISBLANK(Conductance_Eeq!AJ7),"",IF(Conductance_Eeq!AJ7&lt;0,((LN(ABS(((Conductance_Eeq!AJ7/MAX(Conductance_Eeq!AJ$7:AJ$27)))))*(1.88E-23)*(25+273.15))/(EXP($A8-AJ$7))),((LN((Conductance_Eeq!AJ7/MAX(Conductance_Eeq!AJ$7:AJ$27))))*(1.88E-23)*(25+273.15))/(EXP($A8-AJ$7))))</f>
        <v>-6.2212215460866959E+18</v>
      </c>
      <c r="AK8">
        <f>IF(ISBLANK(Conductance_Eeq!AK7),"",IF(Conductance_Eeq!AK7&lt;0,((LN(ABS(((Conductance_Eeq!AK7/MAX(Conductance_Eeq!AK$7:AK$27)))))*(1.88E-23)*(25+273.15))/(EXP($A8-AK$7))),((LN((Conductance_Eeq!AK7/MAX(Conductance_Eeq!AK$7:AK$27))))*(1.88E-23)*(25+273.15))/(EXP($A8-AK$7))))</f>
        <v>-3.5924618937380081E+18</v>
      </c>
      <c r="AL8">
        <f>IF(ISBLANK(Conductance_Eeq!AL7),"",IF(Conductance_Eeq!AL7&lt;0,((LN(ABS(((Conductance_Eeq!AL7/MAX(Conductance_Eeq!AL$7:AL$27)))))*(1.88E-23)*(25+273.15))/(EXP($A8-AL$7))),((LN((Conductance_Eeq!AL7/MAX(Conductance_Eeq!AL$7:AL$27))))*(1.88E-23)*(25+273.15))/(EXP($A8-AL$7))))</f>
        <v>-6.723010785510144E+17</v>
      </c>
      <c r="AM8">
        <f>IF(ISBLANK(Conductance_Eeq!AM7),"",IF(Conductance_Eeq!AM7&lt;0,((LN(ABS(((Conductance_Eeq!AM7/MAX(Conductance_Eeq!AM$7:AM$27)))))*(1.88E-23)*(25+273.15))/(EXP($A8-AM$7))),((LN((Conductance_Eeq!AM7/MAX(Conductance_Eeq!AM$7:AM$27))))*(1.88E-23)*(25+273.15))/(EXP($A8-AM$7))))</f>
        <v>-1.8168291688307558E+18</v>
      </c>
      <c r="AN8">
        <f>IF(ISBLANK(Conductance_Eeq!AN7),"",IF(Conductance_Eeq!AN7&lt;0,((LN(ABS(((Conductance_Eeq!AN7/MAX(Conductance_Eeq!AN$7:AN$27)))))*(1.88E-23)*(25+273.15))/(EXP($A8-AN$7))),((LN((Conductance_Eeq!AN7/MAX(Conductance_Eeq!AN$7:AN$27))))*(1.88E-23)*(25+273.15))/(EXP($A8-AN$7))))</f>
        <v>-1.5871938600623817E+19</v>
      </c>
      <c r="AO8">
        <f>IF(ISBLANK(Conductance_Eeq!AO7),"",IF(Conductance_Eeq!AO7&lt;0,((LN(ABS(((Conductance_Eeq!AO7/MAX(Conductance_Eeq!AO$7:AO$27)))))*(1.88E-23)*(25+273.15))/(EXP($A8-AO$7))),((LN((Conductance_Eeq!AO7/MAX(Conductance_Eeq!AO$7:AO$27))))*(1.88E-23)*(25+273.15))/(EXP($A8-AO$7))))</f>
        <v>-2.0122467342038864E+19</v>
      </c>
      <c r="AP8">
        <f>IF(ISBLANK(Conductance_Eeq!AP7),"",IF(Conductance_Eeq!AP7&lt;0,((LN(ABS(((Conductance_Eeq!AP7/MAX(Conductance_Eeq!AP$7:AP$27)))))*(1.88E-23)*(25+273.15))/(EXP($A8-AP$7))),((LN((Conductance_Eeq!AP7/MAX(Conductance_Eeq!AP$7:AP$27))))*(1.88E-23)*(25+273.15))/(EXP($A8-AP$7))))</f>
        <v>-4.9342457228963424E+17</v>
      </c>
      <c r="AQ8">
        <f>IF(ISBLANK(Conductance_Eeq!AQ7),"",IF(Conductance_Eeq!AQ7&lt;0,((LN(ABS(((Conductance_Eeq!AQ7/MAX(Conductance_Eeq!AQ$7:AQ$27)))))*(1.88E-23)*(25+273.15))/(EXP($A8-AQ$7))),((LN((Conductance_Eeq!AQ7/MAX(Conductance_Eeq!AQ$7:AQ$27))))*(1.88E-23)*(25+273.15))/(EXP($A8-AQ$7))))</f>
        <v>-6.4346664283843482E+18</v>
      </c>
      <c r="AR8">
        <f>IF(ISBLANK(Conductance_Eeq!AR7),"",IF(Conductance_Eeq!AR7&lt;0,((LN(ABS(((Conductance_Eeq!AR7/MAX(Conductance_Eeq!AR$7:AR$27)))))*(1.88E-23)*(25+273.15))/(EXP($A8-AR$7))),((LN((Conductance_Eeq!AR7/MAX(Conductance_Eeq!AR$7:AR$27))))*(1.88E-23)*(25+273.15))/(EXP($A8-AR$7))))</f>
        <v>-2.2518120859343867E+18</v>
      </c>
      <c r="AS8">
        <f>IF(ISBLANK(Conductance_Eeq!AS7),"",IF(Conductance_Eeq!AS7&lt;0,((LN(ABS(((Conductance_Eeq!AS7/MAX(Conductance_Eeq!AS$7:AS$27)))))*(1.88E-23)*(25+273.15))/(EXP($A8-AS$7))),((LN((Conductance_Eeq!AS7/MAX(Conductance_Eeq!AS$7:AS$27))))*(1.88E-23)*(25+273.15))/(EXP($A8-AS$7))))</f>
        <v>-1.484920776648383E+18</v>
      </c>
      <c r="AT8">
        <f>IF(ISBLANK(Conductance_Eeq!AT7),"",IF(Conductance_Eeq!AT7&lt;0,((LN(ABS(((Conductance_Eeq!AT7/MAX(Conductance_Eeq!AT$7:AT$27)))))*(1.88E-23)*(25+273.15))/(EXP($A8-AT$7))),((LN((Conductance_Eeq!AT7/MAX(Conductance_Eeq!AT$7:AT$27))))*(1.88E-23)*(25+273.15))/(EXP($A8-AT$7))))</f>
        <v>-7.2205908618459494E+18</v>
      </c>
      <c r="AU8">
        <f>IF(ISBLANK(Conductance_Eeq!AU7),"",IF(Conductance_Eeq!AU7&lt;0,((LN(ABS(((Conductance_Eeq!AU7/MAX(Conductance_Eeq!AU$7:AU$27)))))*(1.88E-23)*(25+273.15))/(EXP($A8-AU$7))),((LN((Conductance_Eeq!AU7/MAX(Conductance_Eeq!AU$7:AU$27))))*(1.88E-23)*(25+273.15))/(EXP($A8-AU$7))))</f>
        <v>-1.2443020189084849E+18</v>
      </c>
      <c r="AV8">
        <f>IF(ISBLANK(Conductance_Eeq!AV7),"",IF(Conductance_Eeq!AV7&lt;0,((LN(ABS(((Conductance_Eeq!AV7/MAX(Conductance_Eeq!AV$7:AV$27)))))*(1.88E-23)*(25+273.15))/(EXP($A8-AV$7))),((LN((Conductance_Eeq!AV7/MAX(Conductance_Eeq!AV$7:AV$27))))*(1.88E-23)*(25+273.15))/(EXP($A8-AV$7))))</f>
        <v>-2.6308149826569083E+18</v>
      </c>
      <c r="AW8">
        <f>IF(ISBLANK(Conductance_Eeq!AW7),"",IF(Conductance_Eeq!AW7&lt;0,((LN(ABS(((Conductance_Eeq!AW7/MAX(Conductance_Eeq!AW$7:AW$27)))))*(1.88E-23)*(25+273.15))/(EXP($A8-AW$7))),((LN((Conductance_Eeq!AW7/MAX(Conductance_Eeq!AW$7:AW$27))))*(1.88E-23)*(25+273.15))/(EXP($A8-AW$7))))</f>
        <v>-7.467837300959234E+18</v>
      </c>
      <c r="AX8">
        <f>IF(ISBLANK(Conductance_Eeq!AX7),"",IF(Conductance_Eeq!AX7&lt;0,((LN(ABS(((Conductance_Eeq!AX7/MAX(Conductance_Eeq!AX$7:AX$27)))))*(1.88E-23)*(25+273.15))/(EXP($A8-AX$7))),((LN((Conductance_Eeq!AX7/MAX(Conductance_Eeq!AX$7:AX$27))))*(1.88E-23)*(25+273.15))/(EXP($A8-AX$7))))</f>
        <v>-1.2413960203641074E+19</v>
      </c>
      <c r="AY8">
        <f>IF(ISBLANK(Conductance_Eeq!AY7),"",IF(Conductance_Eeq!AY7&lt;0,((LN(ABS(((Conductance_Eeq!AY7/MAX(Conductance_Eeq!AY$7:AY$27)))))*(1.88E-23)*(25+273.15))/(EXP($A8-AY$7))),((LN((Conductance_Eeq!AY7/MAX(Conductance_Eeq!AY$7:AY$27))))*(1.88E-23)*(25+273.15))/(EXP($A8-AY$7))))</f>
        <v>-6.1774248131898122E+18</v>
      </c>
      <c r="AZ8">
        <f>IF(ISBLANK(Conductance_Eeq!AZ7),"",IF(Conductance_Eeq!AZ7&lt;0,((LN(ABS(((Conductance_Eeq!AZ7/MAX(Conductance_Eeq!AZ$7:AZ$27)))))*(1.88E-23)*(25+273.15))/(EXP($A8-AZ$7))),((LN((Conductance_Eeq!AZ7/MAX(Conductance_Eeq!AZ$7:AZ$27))))*(1.88E-23)*(25+273.15))/(EXP($A8-AZ$7))))</f>
        <v>-2.053458475395491E+19</v>
      </c>
      <c r="BA8">
        <f>IF(ISBLANK(Conductance_Eeq!BA7),"",IF(Conductance_Eeq!BA7&lt;0,((LN(ABS(((Conductance_Eeq!BA7/MAX(Conductance_Eeq!BA$7:BA$27)))))*(1.88E-23)*(25+273.15))/(EXP($A8-BA$7))),((LN((Conductance_Eeq!BA7/MAX(Conductance_Eeq!BA$7:BA$27))))*(1.88E-23)*(25+273.15))/(EXP($A8-BA$7))))</f>
        <v>-2.352223817029519E+19</v>
      </c>
      <c r="BC8">
        <f>IF(ISBLANK(Conductance_Eeq!BC7),"",IF(Conductance_Eeq!BC7&lt;0,((LN(ABS(((Conductance_Eeq!BC7/MAX(Conductance_Eeq!BC$7:BC$27)))))*(1.88E-23)*(25+273.15))/(EXP($A8-BC$7))),((LN((Conductance_Eeq!BC7/MAX(Conductance_Eeq!BC$7:BC$27))))*(1.88E-23)*(25+273.15))/(EXP($A8-BC$7))))</f>
        <v>-1.2130011281622006E+18</v>
      </c>
      <c r="BD8">
        <f>IF(ISBLANK(Conductance_Eeq!BD7),"",IF(Conductance_Eeq!BD7&lt;0,((LN(ABS(((Conductance_Eeq!BD7/MAX(Conductance_Eeq!BD$7:BD$27)))))*(1.88E-23)*(25+273.15))/(EXP($A8-BD$7))),((LN((Conductance_Eeq!BD7/MAX(Conductance_Eeq!BD$7:BD$27))))*(1.88E-23)*(25+273.15))/(EXP($A8-BD$7))))</f>
        <v>-9.0468539801272614E+17</v>
      </c>
      <c r="BF8">
        <f>IF(ISBLANK(Conductance_Eeq!BF7),"",IF(Conductance_Eeq!BF7&lt;0,((LN(ABS(((Conductance_Eeq!BF7/MAX(Conductance_Eeq!BF$7:BF$27)))))*(1.88E-23)*(25+273.15))/(EXP($A8-BF$7))),((LN((Conductance_Eeq!BF7/MAX(Conductance_Eeq!BF$7:BF$27))))*(1.88E-23)*(25+273.15))/(EXP($A8-BF$7))))</f>
        <v>-3.0793582116599014E+18</v>
      </c>
      <c r="BG8">
        <f>IF(ISBLANK(Conductance_Eeq!BG7),"",IF(Conductance_Eeq!BG7&lt;0,((LN(ABS(((Conductance_Eeq!BG7/MAX(Conductance_Eeq!BG$7:BG$27)))))*(1.88E-23)*(25+273.15))/(EXP($A8-BG$7))),((LN((Conductance_Eeq!BG7/MAX(Conductance_Eeq!BG$7:BG$27))))*(1.88E-23)*(25+273.15))/(EXP($A8-BG$7))))</f>
        <v>-3.7114995074779562E+19</v>
      </c>
      <c r="BH8">
        <f>IF(ISBLANK(Conductance_Eeq!BH7),"",IF(Conductance_Eeq!BH7&lt;0,((LN(ABS(((Conductance_Eeq!BH7/MAX(Conductance_Eeq!BH$7:BH$27)))))*(1.88E-23)*(25+273.15))/(EXP($A8-BH$7))),((LN((Conductance_Eeq!BH7/MAX(Conductance_Eeq!BH$7:BH$27))))*(1.88E-23)*(25+273.15))/(EXP($A8-BH$7))))</f>
        <v>-4.5166073182932922E+17</v>
      </c>
      <c r="BI8">
        <f>IF(ISBLANK(Conductance_Eeq!BI7),"",IF(Conductance_Eeq!BI7&lt;0,((LN(ABS(((Conductance_Eeq!BI7/MAX(Conductance_Eeq!BI$7:BI$27)))))*(1.88E-23)*(25+273.15))/(EXP($A8-BI$7))),((LN((Conductance_Eeq!BI7/MAX(Conductance_Eeq!BI$7:BI$27))))*(1.88E-23)*(25+273.15))/(EXP($A8-BI$7))))</f>
        <v>-6.6962418684297702E+17</v>
      </c>
      <c r="BJ8">
        <f>IF(ISBLANK(Conductance_Eeq!BJ7),"",IF(Conductance_Eeq!BJ7&lt;0,((LN(ABS(((Conductance_Eeq!BJ7/MAX(Conductance_Eeq!BJ$7:BJ$27)))))*(1.88E-23)*(25+273.15))/(EXP($A8-BJ$7))),((LN((Conductance_Eeq!BJ7/MAX(Conductance_Eeq!BJ$7:BJ$27))))*(1.88E-23)*(25+273.15))/(EXP($A8-BJ$7))))</f>
        <v>-6.1297169587785882E+18</v>
      </c>
      <c r="BK8">
        <f>IF(ISBLANK(Conductance_Eeq!BK7),"",IF(Conductance_Eeq!BK7&lt;0,((LN(ABS(((Conductance_Eeq!BK7/MAX(Conductance_Eeq!BK$7:BK$27)))))*(1.88E-23)*(25+273.15))/(EXP($A8-BK$7))),((LN((Conductance_Eeq!BK7/MAX(Conductance_Eeq!BK$7:BK$27))))*(1.88E-23)*(25+273.15))/(EXP($A8-BK$7))))</f>
        <v>-6.1788972185598628E+18</v>
      </c>
      <c r="BL8">
        <f>IF(ISBLANK(Conductance_Eeq!BL7),"",IF(Conductance_Eeq!BL7&lt;0,((LN(ABS(((Conductance_Eeq!BL7/MAX(Conductance_Eeq!BL$7:BL$27)))))*(1.88E-23)*(25+273.15))/(EXP($A8-BL$7))),((LN((Conductance_Eeq!BL7/MAX(Conductance_Eeq!BL$7:BL$27))))*(1.88E-23)*(25+273.15))/(EXP($A8-BL$7))))</f>
        <v>-3.3562572371984691E+18</v>
      </c>
      <c r="BM8">
        <f>IF(ISBLANK(Conductance_Eeq!BM7),"",IF(Conductance_Eeq!BM7&lt;0,((LN(ABS(((Conductance_Eeq!BM7/MAX(Conductance_Eeq!BM$7:BM$27)))))*(1.88E-23)*(25+273.15))/(EXP($A8-BM$7))),((LN((Conductance_Eeq!BM7/MAX(Conductance_Eeq!BM$7:BM$27))))*(1.88E-23)*(25+273.15))/(EXP($A8-BM$7))))</f>
        <v>-9.3119506323885916E+18</v>
      </c>
      <c r="BN8">
        <f>IF(ISBLANK(Conductance_Eeq!BN7),"",IF(Conductance_Eeq!BN7&lt;0,((LN(ABS(((Conductance_Eeq!BN7/MAX(Conductance_Eeq!BN$7:BN$27)))))*(1.88E-23)*(25+273.15))/(EXP($A8-BN$7))),((LN((Conductance_Eeq!BN7/MAX(Conductance_Eeq!BN$7:BN$27))))*(1.88E-23)*(25+273.15))/(EXP($A8-BN$7))))</f>
        <v>-1.196887082187337E+17</v>
      </c>
      <c r="BO8">
        <f>IF(ISBLANK(Conductance_Eeq!BO7),"",IF(Conductance_Eeq!BO7&lt;0,((LN(ABS(((Conductance_Eeq!BO7/MAX(Conductance_Eeq!BO$7:BO$27)))))*(1.88E-23)*(25+273.15))/(EXP($A8-BO$7))),((LN((Conductance_Eeq!BO7/MAX(Conductance_Eeq!BO$7:BO$27))))*(1.88E-23)*(25+273.15))/(EXP($A8-BO$7))))</f>
        <v>-1.9905915553189469E+17</v>
      </c>
      <c r="BP8">
        <f>IF(ISBLANK(Conductance_Eeq!BP7),"",IF(Conductance_Eeq!BP7&lt;0,((LN(ABS(((Conductance_Eeq!BP7/MAX(Conductance_Eeq!BP$7:BP$27)))))*(1.88E-23)*(25+273.15))/(EXP($A8-BP$7))),((LN((Conductance_Eeq!BP7/MAX(Conductance_Eeq!BP$7:BP$27))))*(1.88E-23)*(25+273.15))/(EXP($A8-BP$7))))</f>
        <v>-1.6798205433714519E+18</v>
      </c>
      <c r="BQ8">
        <f>IF(ISBLANK(Conductance_Eeq!BQ7),"",IF(Conductance_Eeq!BQ7&lt;0,((LN(ABS(((Conductance_Eeq!BQ7/MAX(Conductance_Eeq!BQ$7:BQ$27)))))*(1.88E-23)*(25+273.15))/(EXP($A8-BQ$7))),((LN((Conductance_Eeq!BQ7/MAX(Conductance_Eeq!BQ$7:BQ$27))))*(1.88E-23)*(25+273.15))/(EXP($A8-BQ$7))))</f>
        <v>-6.3128806766351299E+18</v>
      </c>
      <c r="BR8">
        <f>IF(ISBLANK(Conductance_Eeq!BR7),"",IF(Conductance_Eeq!BR7&lt;0,((LN(ABS(((Conductance_Eeq!BR7/MAX(Conductance_Eeq!BR$7:BR$27)))))*(1.88E-23)*(25+273.15))/(EXP($A8-BR$7))),((LN((Conductance_Eeq!BR7/MAX(Conductance_Eeq!BR$7:BR$27))))*(1.88E-23)*(25+273.15))/(EXP($A8-BR$7))))</f>
        <v>-7.9834438844495104E+17</v>
      </c>
      <c r="BS8">
        <f>IF(ISBLANK(Conductance_Eeq!BS7),"",IF(Conductance_Eeq!BS7&lt;0,((LN(ABS(((Conductance_Eeq!BS7/MAX(Conductance_Eeq!BS$7:BS$27)))))*(1.88E-23)*(25+273.15))/(EXP($A8-BS$7))),((LN((Conductance_Eeq!BS7/MAX(Conductance_Eeq!BS$7:BS$27))))*(1.88E-23)*(25+273.15))/(EXP($A8-BS$7))))</f>
        <v>-1.9701467814903017E+18</v>
      </c>
      <c r="BT8">
        <f>IF(ISBLANK(Conductance_Eeq!BT7),"",IF(Conductance_Eeq!BT7&lt;0,((LN(ABS(((Conductance_Eeq!BT7/MAX(Conductance_Eeq!BT$7:BT$27)))))*(1.88E-23)*(25+273.15))/(EXP($A8-BT$7))),((LN((Conductance_Eeq!BT7/MAX(Conductance_Eeq!BT$7:BT$27))))*(1.88E-23)*(25+273.15))/(EXP($A8-BT$7))))</f>
        <v>-5.1050588154989824E+18</v>
      </c>
      <c r="BV8">
        <f>IF(ISBLANK(Conductance_Eeq!BV7),"",IF(Conductance_Eeq!BV7&lt;0,((LN(ABS(((Conductance_Eeq!BV7/MAX(Conductance_Eeq!BV$7:BV$27)))))*(1.88E-23)*(25+273.15))/(EXP($A8-BV$7))),((LN((Conductance_Eeq!BV7/MAX(Conductance_Eeq!BV$7:BV$27))))*(1.88E-23)*(25+273.15))/(EXP($A8-BV$7))))</f>
        <v>-4.1649671539861965E+18</v>
      </c>
      <c r="BW8">
        <f>IF(ISBLANK(Conductance_Eeq!BW7),"",IF(Conductance_Eeq!BW7&lt;0,((LN(ABS(((Conductance_Eeq!BW7/MAX(Conductance_Eeq!BW$7:BW$27)))))*(1.88E-23)*(25+273.15))/(EXP($A8-BW$7))),((LN((Conductance_Eeq!BW7/MAX(Conductance_Eeq!BW$7:BW$27))))*(1.88E-23)*(25+273.15))/(EXP($A8-BW$7))))</f>
        <v>-6.6651345438336215E+18</v>
      </c>
      <c r="BX8">
        <f>IF(ISBLANK(Conductance_Eeq!BX7),"",IF(Conductance_Eeq!BX7&lt;0,((LN(ABS(((Conductance_Eeq!BX7/MAX(Conductance_Eeq!BX$7:BX$27)))))*(1.88E-23)*(25+273.15))/(EXP($A8-BX$7))),((LN((Conductance_Eeq!BX7/MAX(Conductance_Eeq!BX$7:BX$27))))*(1.88E-23)*(25+273.15))/(EXP($A8-BX$7))))</f>
        <v>-9.175660236439894E+18</v>
      </c>
      <c r="BY8">
        <f>IF(ISBLANK(Conductance_Eeq!BY7),"",IF(Conductance_Eeq!BY7&lt;0,((LN(ABS(((Conductance_Eeq!BY7/MAX(Conductance_Eeq!BY$7:BY$27)))))*(1.88E-23)*(25+273.15))/(EXP($A8-BY$7))),((LN((Conductance_Eeq!BY7/MAX(Conductance_Eeq!BY$7:BY$27))))*(1.88E-23)*(25+273.15))/(EXP($A8-BY$7))))</f>
        <v>-6.1144513502898662E+17</v>
      </c>
      <c r="BZ8">
        <f>IF(ISBLANK(Conductance_Eeq!BZ7),"",IF(Conductance_Eeq!BZ7&lt;0,((LN(ABS(((Conductance_Eeq!BZ7/MAX(Conductance_Eeq!BZ$7:BZ$27)))))*(1.88E-23)*(25+273.15))/(EXP($A8-BZ$7))),((LN((Conductance_Eeq!BZ7/MAX(Conductance_Eeq!BZ$7:BZ$27))))*(1.88E-23)*(25+273.15))/(EXP($A8-BZ$7))))</f>
        <v>-6.6706506696275392E+17</v>
      </c>
      <c r="CA8">
        <f>IF(ISBLANK(Conductance_Eeq!CA7),"",IF(Conductance_Eeq!CA7&lt;0,((LN(ABS(((Conductance_Eeq!CA7/MAX(Conductance_Eeq!CA$7:CA$27)))))*(1.88E-23)*(25+273.15))/(EXP($A8-CA$7))),((LN((Conductance_Eeq!CA7/MAX(Conductance_Eeq!CA$7:CA$27))))*(1.88E-23)*(25+273.15))/(EXP($A8-CA$7))))</f>
        <v>-4.0975524233514737E+18</v>
      </c>
      <c r="CB8">
        <f>IF(ISBLANK(Conductance_Eeq!CB7),"",IF(Conductance_Eeq!CB7&lt;0,((LN(ABS(((Conductance_Eeq!CB7/MAX(Conductance_Eeq!CB$7:CB$27)))))*(1.88E-23)*(25+273.15))/(EXP($A8-CB$7))),((LN((Conductance_Eeq!CB7/MAX(Conductance_Eeq!CB$7:CB$27))))*(1.88E-23)*(25+273.15))/(EXP($A8-CB$7))))</f>
        <v>-3.0258572811125121E+19</v>
      </c>
      <c r="CC8">
        <f>IF(ISBLANK(Conductance_Eeq!CC7),"",IF(Conductance_Eeq!CC7&lt;0,((LN(ABS(((Conductance_Eeq!CC7/MAX(Conductance_Eeq!CC$7:CC$27)))))*(1.88E-23)*(25+273.15))/(EXP($A8-CC$7))),((LN((Conductance_Eeq!CC7/MAX(Conductance_Eeq!CC$7:CC$27))))*(1.88E-23)*(25+273.15))/(EXP($A8-CC$7))))</f>
        <v>-9.1914051517526311E+20</v>
      </c>
      <c r="CD8">
        <f>IF(ISBLANK(Conductance_Eeq!CD7),"",IF(Conductance_Eeq!CD7&lt;0,((LN(ABS(((Conductance_Eeq!CD7/MAX(Conductance_Eeq!CD$7:CD$27)))))*(1.88E-23)*(25+273.15))/(EXP($A8-CD$7))),((LN((Conductance_Eeq!CD7/MAX(Conductance_Eeq!CD$7:CD$27))))*(1.88E-23)*(25+273.15))/(EXP($A8-CD$7))))</f>
        <v>-2.158133294582981E+19</v>
      </c>
    </row>
    <row r="9" spans="1:96" x14ac:dyDescent="0.2">
      <c r="A9" s="3">
        <f>A8+10</f>
        <v>-70</v>
      </c>
      <c r="B9">
        <f>IF(ISBLANK(Conductance_Eeq!B8),"",IF(Conductance_Eeq!B8&lt;0,((LN(ABS(((Conductance_Eeq!B8/MAX(Conductance_Eeq!B$7:B$27)))))*(1.88E-23)*(25+273.15))/(EXP($A9-B$7))),((LN((Conductance_Eeq!B8/MAX(Conductance_Eeq!B$7:B$27))))*(1.88E-23)*(25+273.15))/(EXP($A9-B$7))))</f>
        <v>-1346725612944707.5</v>
      </c>
      <c r="C9">
        <f>IF(ISBLANK(Conductance_Eeq!C8),"",IF(Conductance_Eeq!C8&lt;0,((LN(ABS(((Conductance_Eeq!C8/MAX(Conductance_Eeq!C$7:C$27)))))*(1.88E-23)*(25+273.15))/(EXP($A9-C$7))),((LN((Conductance_Eeq!C8/MAX(Conductance_Eeq!C$7:C$27))))*(1.88E-23)*(25+273.15))/(EXP($A9-C$7))))</f>
        <v>-335539707762431.31</v>
      </c>
      <c r="D9">
        <f>IF(ISBLANK(Conductance_Eeq!D8),"",IF(Conductance_Eeq!D8&lt;0,((LN(ABS(((Conductance_Eeq!D8/MAX(Conductance_Eeq!D$7:D$27)))))*(1.88E-23)*(25+273.15))/(EXP($A9-D$7))),((LN((Conductance_Eeq!D8/MAX(Conductance_Eeq!D$7:D$27))))*(1.88E-23)*(25+273.15))/(EXP($A9-D$7))))</f>
        <v>-63251339537476.359</v>
      </c>
      <c r="E9">
        <f>IF(ISBLANK(Conductance_Eeq!E8),"",IF(Conductance_Eeq!E8&lt;0,((LN(ABS(((Conductance_Eeq!E8/MAX(Conductance_Eeq!E$7:E$27)))))*(1.88E-23)*(25+273.15))/(EXP($A9-E$7))),((LN((Conductance_Eeq!E8/MAX(Conductance_Eeq!E$7:E$27))))*(1.88E-23)*(25+273.15))/(EXP($A9-E$7))))</f>
        <v>-35999505304087.438</v>
      </c>
      <c r="F9">
        <f>IF(ISBLANK(Conductance_Eeq!F8),"",IF(Conductance_Eeq!F8&lt;0,((LN(ABS(((Conductance_Eeq!F8/MAX(Conductance_Eeq!F$7:F$27)))))*(1.88E-23)*(25+273.15))/(EXP($A9-F$7))),((LN((Conductance_Eeq!F8/MAX(Conductance_Eeq!F$7:F$27))))*(1.88E-23)*(25+273.15))/(EXP($A9-F$7))))</f>
        <v>-604531466573991.25</v>
      </c>
      <c r="G9">
        <f>IF(ISBLANK(Conductance_Eeq!G8),"",IF(Conductance_Eeq!G8&lt;0,((LN(ABS(((Conductance_Eeq!G8/MAX(Conductance_Eeq!G$7:G$27)))))*(1.88E-23)*(25+273.15))/(EXP($A9-G$7))),((LN((Conductance_Eeq!G8/MAX(Conductance_Eeq!G$7:G$27))))*(1.88E-23)*(25+273.15))/(EXP($A9-G$7))))</f>
        <v>-604531466573991.25</v>
      </c>
      <c r="H9">
        <f>IF(ISBLANK(Conductance_Eeq!H8),"",IF(Conductance_Eeq!H8&lt;0,((LN(ABS(((Conductance_Eeq!H8/MAX(Conductance_Eeq!H$7:H$27)))))*(1.88E-23)*(25+273.15))/(EXP($A9-H$7))),((LN((Conductance_Eeq!H8/MAX(Conductance_Eeq!H$7:H$27))))*(1.88E-23)*(25+273.15))/(EXP($A9-H$7))))</f>
        <v>-733397231768639.38</v>
      </c>
      <c r="I9">
        <f>IF(ISBLANK(Conductance_Eeq!I8),"",IF(Conductance_Eeq!I8&lt;0,((LN(ABS(((Conductance_Eeq!I8/MAX(Conductance_Eeq!I$7:I$27)))))*(1.88E-23)*(25+273.15))/(EXP($A9-I$7))),((LN((Conductance_Eeq!I8/MAX(Conductance_Eeq!I$7:I$27))))*(1.88E-23)*(25+273.15))/(EXP($A9-I$7))))</f>
        <v>-2580543240996.502</v>
      </c>
      <c r="J9">
        <f>IF(ISBLANK(Conductance_Eeq!J8),"",IF(Conductance_Eeq!J8&lt;0,((LN(ABS(((Conductance_Eeq!J8/MAX(Conductance_Eeq!J$7:J$27)))))*(1.88E-23)*(25+273.15))/(EXP($A9-J$7))),((LN((Conductance_Eeq!J8/MAX(Conductance_Eeq!J$7:J$27))))*(1.88E-23)*(25+273.15))/(EXP($A9-J$7))))</f>
        <v>-7796682390127.0918</v>
      </c>
      <c r="K9">
        <f>IF(ISBLANK(Conductance_Eeq!K8),"",IF(Conductance_Eeq!K8&lt;0,((LN(ABS(((Conductance_Eeq!K8/MAX(Conductance_Eeq!K$7:K$27)))))*(1.88E-23)*(25+273.15))/(EXP($A9-K$7))),((LN((Conductance_Eeq!K8/MAX(Conductance_Eeq!K$7:K$27))))*(1.88E-23)*(25+273.15))/(EXP($A9-K$7))))</f>
        <v>-259190931274081.41</v>
      </c>
      <c r="L9">
        <f>IF(ISBLANK(Conductance_Eeq!L8),"",IF(Conductance_Eeq!L8&lt;0,((LN(ABS(((Conductance_Eeq!L8/MAX(Conductance_Eeq!L$7:L$27)))))*(1.88E-23)*(25+273.15))/(EXP($A9-L$7))),((LN((Conductance_Eeq!L8/MAX(Conductance_Eeq!L$7:L$27))))*(1.88E-23)*(25+273.15))/(EXP($A9-L$7))))</f>
        <v>-47168937197731.805</v>
      </c>
      <c r="M9">
        <f>IF(ISBLANK(Conductance_Eeq!M8),"",IF(Conductance_Eeq!M8&lt;0,((LN(ABS(((Conductance_Eeq!M8/MAX(Conductance_Eeq!M$7:M$27)))))*(1.88E-23)*(25+273.15))/(EXP($A9-M$7))),((LN((Conductance_Eeq!M8/MAX(Conductance_Eeq!M$7:M$27))))*(1.88E-23)*(25+273.15))/(EXP($A9-M$7))))</f>
        <v>-14736890993506.777</v>
      </c>
      <c r="N9">
        <f>IF(ISBLANK(Conductance_Eeq!N8),"",IF(Conductance_Eeq!N8&lt;0,((LN(ABS(((Conductance_Eeq!N8/MAX(Conductance_Eeq!N$7:N$27)))))*(1.88E-23)*(25+273.15))/(EXP($A9-N$7))),((LN((Conductance_Eeq!N8/MAX(Conductance_Eeq!N$7:N$27))))*(1.88E-23)*(25+273.15))/(EXP($A9-N$7))))</f>
        <v>-1671717916814.7737</v>
      </c>
      <c r="O9">
        <f>IF(ISBLANK(Conductance_Eeq!O8),"",IF(Conductance_Eeq!O8&lt;0,((LN(ABS(((Conductance_Eeq!O8/MAX(Conductance_Eeq!O$7:O$27)))))*(1.88E-23)*(25+273.15))/(EXP($A9-O$7))),((LN((Conductance_Eeq!O8/MAX(Conductance_Eeq!O$7:O$27))))*(1.88E-23)*(25+273.15))/(EXP($A9-O$7))))</f>
        <v>-13180596891401.658</v>
      </c>
      <c r="P9">
        <f>IF(ISBLANK(Conductance_Eeq!P8),"",IF(Conductance_Eeq!P8&lt;0,((LN(ABS(((Conductance_Eeq!P8/MAX(Conductance_Eeq!P$7:P$27)))))*(1.88E-23)*(25+273.15))/(EXP($A9-P$7))),((LN((Conductance_Eeq!P8/MAX(Conductance_Eeq!P$7:P$27))))*(1.88E-23)*(25+273.15))/(EXP($A9-P$7))))</f>
        <v>-5986005576170.415</v>
      </c>
      <c r="Q9">
        <f>IF(ISBLANK(Conductance_Eeq!Q8),"",IF(Conductance_Eeq!Q8&lt;0,((LN(ABS(((Conductance_Eeq!Q8/MAX(Conductance_Eeq!Q$7:Q$27)))))*(1.88E-23)*(25+273.15))/(EXP($A9-Q$7))),((LN((Conductance_Eeq!Q8/MAX(Conductance_Eeq!Q$7:Q$27))))*(1.88E-23)*(25+273.15))/(EXP($A9-Q$7))))</f>
        <v>-113195292817581.7</v>
      </c>
      <c r="R9">
        <f>IF(ISBLANK(Conductance_Eeq!R8),"",IF(Conductance_Eeq!R8&lt;0,((LN(ABS(((Conductance_Eeq!R8/MAX(Conductance_Eeq!R$7:R$27)))))*(1.88E-23)*(25+273.15))/(EXP($A9-R$7))),((LN((Conductance_Eeq!R8/MAX(Conductance_Eeq!R$7:R$27))))*(1.88E-23)*(25+273.15))/(EXP($A9-R$7))))</f>
        <v>-82411985621153.297</v>
      </c>
      <c r="S9">
        <f>IF(ISBLANK(Conductance_Eeq!S8),"",IF(Conductance_Eeq!S8&lt;0,((LN(ABS(((Conductance_Eeq!S8/MAX(Conductance_Eeq!S$7:S$27)))))*(1.88E-23)*(25+273.15))/(EXP($A9-S$7))),((LN((Conductance_Eeq!S8/MAX(Conductance_Eeq!S$7:S$27))))*(1.88E-23)*(25+273.15))/(EXP($A9-S$7))))</f>
        <v>-508716185076283.56</v>
      </c>
      <c r="T9">
        <f>IF(ISBLANK(Conductance_Eeq!T8),"",IF(Conductance_Eeq!T8&lt;0,((LN(ABS(((Conductance_Eeq!T8/MAX(Conductance_Eeq!T$7:T$27)))))*(1.88E-23)*(25+273.15))/(EXP($A9-T$7))),((LN((Conductance_Eeq!T8/MAX(Conductance_Eeq!T$7:T$27))))*(1.88E-23)*(25+273.15))/(EXP($A9-T$7))))</f>
        <v>-78243529858411.141</v>
      </c>
      <c r="U9">
        <f>IF(ISBLANK(Conductance_Eeq!U8),"",IF(Conductance_Eeq!U8&lt;0,((LN(ABS(((Conductance_Eeq!U8/MAX(Conductance_Eeq!U$7:U$27)))))*(1.88E-23)*(25+273.15))/(EXP($A9-U$7))),((LN((Conductance_Eeq!U8/MAX(Conductance_Eeq!U$7:U$27))))*(1.88E-23)*(25+273.15))/(EXP($A9-U$7))))</f>
        <v>-10986774778856.852</v>
      </c>
      <c r="V9">
        <f>IF(ISBLANK(Conductance_Eeq!V8),"",IF(Conductance_Eeq!V8&lt;0,((LN(ABS(((Conductance_Eeq!V8/MAX(Conductance_Eeq!V$7:V$27)))))*(1.88E-23)*(25+273.15))/(EXP($A9-V$7))),((LN((Conductance_Eeq!V8/MAX(Conductance_Eeq!V$7:V$27))))*(1.88E-23)*(25+273.15))/(EXP($A9-V$7))))</f>
        <v>-289336715813224.69</v>
      </c>
      <c r="W9">
        <f>IF(ISBLANK(Conductance_Eeq!W8),"",IF(Conductance_Eeq!W8&lt;0,((LN(ABS(((Conductance_Eeq!W8/MAX(Conductance_Eeq!W$7:W$27)))))*(1.88E-23)*(25+273.15))/(EXP($A9-W$7))),((LN((Conductance_Eeq!W8/MAX(Conductance_Eeq!W$7:W$27))))*(1.88E-23)*(25+273.15))/(EXP($A9-W$7))))</f>
        <v>-10317223982726.096</v>
      </c>
      <c r="X9">
        <f>IF(ISBLANK(Conductance_Eeq!X8),"",IF(Conductance_Eeq!X8&lt;0,((LN(ABS(((Conductance_Eeq!X8/MAX(Conductance_Eeq!X$7:X$27)))))*(1.88E-23)*(25+273.15))/(EXP($A9-X$7))),((LN((Conductance_Eeq!X8/MAX(Conductance_Eeq!X$7:X$27))))*(1.88E-23)*(25+273.15))/(EXP($A9-X$7))))</f>
        <v>-94885286742950.141</v>
      </c>
      <c r="Y9">
        <f>IF(ISBLANK(Conductance_Eeq!Y8),"",IF(Conductance_Eeq!Y8&lt;0,((LN(ABS(((Conductance_Eeq!Y8/MAX(Conductance_Eeq!Y$7:Y$27)))))*(1.88E-23)*(25+273.15))/(EXP($A9-Y$7))),((LN((Conductance_Eeq!Y8/MAX(Conductance_Eeq!Y$7:Y$27))))*(1.88E-23)*(25+273.15))/(EXP($A9-Y$7))))</f>
        <v>-58565630591695.969</v>
      </c>
      <c r="Z9">
        <f>IF(ISBLANK(Conductance_Eeq!Z8),"",IF(Conductance_Eeq!Z8&lt;0,((LN(ABS(((Conductance_Eeq!Z8/MAX(Conductance_Eeq!Z$7:Z$27)))))*(1.88E-23)*(25+273.15))/(EXP($A9-Z$7))),((LN((Conductance_Eeq!Z8/MAX(Conductance_Eeq!Z$7:Z$27))))*(1.88E-23)*(25+273.15))/(EXP($A9-Z$7))))</f>
        <v>-577558849237428.62</v>
      </c>
      <c r="AA9">
        <f>IF(ISBLANK(Conductance_Eeq!AA8),"",IF(Conductance_Eeq!AA8&lt;0,((LN(ABS(((Conductance_Eeq!AA8/MAX(Conductance_Eeq!AA$7:AA$27)))))*(1.88E-23)*(25+273.15))/(EXP($A9-AA$7))),((LN((Conductance_Eeq!AA8/MAX(Conductance_Eeq!AA$7:AA$27))))*(1.88E-23)*(25+273.15))/(EXP($A9-AA$7))))</f>
        <v>-363381605425428.75</v>
      </c>
      <c r="AB9">
        <f>IF(ISBLANK(Conductance_Eeq!AB8),"",IF(Conductance_Eeq!AB8&lt;0,((LN(ABS(((Conductance_Eeq!AB8/MAX(Conductance_Eeq!AB$7:AB$27)))))*(1.88E-23)*(25+273.15))/(EXP($A9-AB$7))),((LN((Conductance_Eeq!AB8/MAX(Conductance_Eeq!AB$7:AB$27))))*(1.88E-23)*(25+273.15))/(EXP($A9-AB$7))))</f>
        <v>-41352849035610.797</v>
      </c>
      <c r="AC9">
        <f>IF(ISBLANK(Conductance_Eeq!AC8),"",IF(Conductance_Eeq!AC8&lt;0,((LN(ABS(((Conductance_Eeq!AC8/MAX(Conductance_Eeq!AC$7:AC$27)))))*(1.88E-23)*(25+273.15))/(EXP($A9-AC$7))),((LN((Conductance_Eeq!AC8/MAX(Conductance_Eeq!AC$7:AC$27))))*(1.88E-23)*(25+273.15))/(EXP($A9-AC$7))))</f>
        <v>-76611931891451.25</v>
      </c>
      <c r="AD9">
        <f>IF(ISBLANK(Conductance_Eeq!AD8),"",IF(Conductance_Eeq!AD8&lt;0,((LN(ABS(((Conductance_Eeq!AD8/MAX(Conductance_Eeq!AD$7:AD$27)))))*(1.88E-23)*(25+273.15))/(EXP($A9-AD$7))),((LN((Conductance_Eeq!AD8/MAX(Conductance_Eeq!AD$7:AD$27))))*(1.88E-23)*(25+273.15))/(EXP($A9-AD$7))))</f>
        <v>-50049925057044.07</v>
      </c>
      <c r="AE9">
        <f>IF(ISBLANK(Conductance_Eeq!AE8),"",IF(Conductance_Eeq!AE8&lt;0,((LN(ABS(((Conductance_Eeq!AE8/MAX(Conductance_Eeq!AE$7:AE$27)))))*(1.88E-23)*(25+273.15))/(EXP($A9-AE$7))),((LN((Conductance_Eeq!AE8/MAX(Conductance_Eeq!AE$7:AE$27))))*(1.88E-23)*(25+273.15))/(EXP($A9-AE$7))))</f>
        <v>-7895688364362819</v>
      </c>
      <c r="AF9">
        <f>IF(ISBLANK(Conductance_Eeq!AF8),"",IF(Conductance_Eeq!AF8&lt;0,((LN(ABS(((Conductance_Eeq!AF8/MAX(Conductance_Eeq!AF$7:AF$27)))))*(1.88E-23)*(25+273.15))/(EXP($A9-AF$7))),((LN((Conductance_Eeq!AF8/MAX(Conductance_Eeq!AF$7:AF$27))))*(1.88E-23)*(25+273.15))/(EXP($A9-AF$7))))</f>
        <v>-412750502992466.81</v>
      </c>
      <c r="AG9">
        <f>IF(ISBLANK(Conductance_Eeq!AG8),"",IF(Conductance_Eeq!AG8&lt;0,((LN(ABS(((Conductance_Eeq!AG8/MAX(Conductance_Eeq!AG$7:AG$27)))))*(1.88E-23)*(25+273.15))/(EXP($A9-AG$7))),((LN((Conductance_Eeq!AG8/MAX(Conductance_Eeq!AG$7:AG$27))))*(1.88E-23)*(25+273.15))/(EXP($A9-AG$7))))</f>
        <v>-219183590151531.69</v>
      </c>
      <c r="AH9">
        <f>IF(ISBLANK(Conductance_Eeq!AH8),"",IF(Conductance_Eeq!AH8&lt;0,((LN(ABS(((Conductance_Eeq!AH8/MAX(Conductance_Eeq!AH$7:AH$27)))))*(1.88E-23)*(25+273.15))/(EXP($A9-AH$7))),((LN((Conductance_Eeq!AH8/MAX(Conductance_Eeq!AH$7:AH$27))))*(1.88E-23)*(25+273.15))/(EXP($A9-AH$7))))</f>
        <v>-152705203546795.28</v>
      </c>
      <c r="AI9">
        <f>IF(ISBLANK(Conductance_Eeq!AI8),"",IF(Conductance_Eeq!AI8&lt;0,((LN(ABS(((Conductance_Eeq!AI8/MAX(Conductance_Eeq!AI$7:AI$27)))))*(1.88E-23)*(25+273.15))/(EXP($A9-AI$7))),((LN((Conductance_Eeq!AI8/MAX(Conductance_Eeq!AI$7:AI$27))))*(1.88E-23)*(25+273.15))/(EXP($A9-AI$7))))</f>
        <v>-75960689576216.391</v>
      </c>
      <c r="AJ9">
        <f>IF(ISBLANK(Conductance_Eeq!AJ8),"",IF(Conductance_Eeq!AJ8&lt;0,((LN(ABS(((Conductance_Eeq!AJ8/MAX(Conductance_Eeq!AJ$7:AJ$27)))))*(1.88E-23)*(25+273.15))/(EXP($A9-AJ$7))),((LN((Conductance_Eeq!AJ8/MAX(Conductance_Eeq!AJ$7:AJ$27))))*(1.88E-23)*(25+273.15))/(EXP($A9-AJ$7))))</f>
        <v>-279284781018077.16</v>
      </c>
      <c r="AK9">
        <f>IF(ISBLANK(Conductance_Eeq!AK8),"",IF(Conductance_Eeq!AK8&lt;0,((LN(ABS(((Conductance_Eeq!AK8/MAX(Conductance_Eeq!AK$7:AK$27)))))*(1.88E-23)*(25+273.15))/(EXP($A9-AK$7))),((LN((Conductance_Eeq!AK8/MAX(Conductance_Eeq!AK$7:AK$27))))*(1.88E-23)*(25+273.15))/(EXP($A9-AK$7))))</f>
        <v>-88078944685952.016</v>
      </c>
      <c r="AL9">
        <f>IF(ISBLANK(Conductance_Eeq!AL8),"",IF(Conductance_Eeq!AL8&lt;0,((LN(ABS(((Conductance_Eeq!AL8/MAX(Conductance_Eeq!AL$7:AL$27)))))*(1.88E-23)*(25+273.15))/(EXP($A9-AL$7))),((LN((Conductance_Eeq!AL8/MAX(Conductance_Eeq!AL$7:AL$27))))*(1.88E-23)*(25+273.15))/(EXP($A9-AL$7))))</f>
        <v>-24597892755014.305</v>
      </c>
      <c r="AM9">
        <f>IF(ISBLANK(Conductance_Eeq!AM8),"",IF(Conductance_Eeq!AM8&lt;0,((LN(ABS(((Conductance_Eeq!AM8/MAX(Conductance_Eeq!AM$7:AM$27)))))*(1.88E-23)*(25+273.15))/(EXP($A9-AM$7))),((LN((Conductance_Eeq!AM8/MAX(Conductance_Eeq!AM$7:AM$27))))*(1.88E-23)*(25+273.15))/(EXP($A9-AM$7))))</f>
        <v>-81904510569461.656</v>
      </c>
      <c r="AN9">
        <f>IF(ISBLANK(Conductance_Eeq!AN8),"",IF(Conductance_Eeq!AN8&lt;0,((LN(ABS(((Conductance_Eeq!AN8/MAX(Conductance_Eeq!AN$7:AN$27)))))*(1.88E-23)*(25+273.15))/(EXP($A9-AN$7))),((LN((Conductance_Eeq!AN8/MAX(Conductance_Eeq!AN$7:AN$27))))*(1.88E-23)*(25+273.15))/(EXP($A9-AN$7))))</f>
        <v>-691153692911978.25</v>
      </c>
      <c r="AO9">
        <f>IF(ISBLANK(Conductance_Eeq!AO8),"",IF(Conductance_Eeq!AO8&lt;0,((LN(ABS(((Conductance_Eeq!AO8/MAX(Conductance_Eeq!AO$7:AO$27)))))*(1.88E-23)*(25+273.15))/(EXP($A9-AO$7))),((LN((Conductance_Eeq!AO8/MAX(Conductance_Eeq!AO$7:AO$27))))*(1.88E-23)*(25+273.15))/(EXP($A9-AO$7))))</f>
        <v>-395459563712006.56</v>
      </c>
      <c r="AP9">
        <f>IF(ISBLANK(Conductance_Eeq!AP8),"",IF(Conductance_Eeq!AP8&lt;0,((LN(ABS(((Conductance_Eeq!AP8/MAX(Conductance_Eeq!AP$7:AP$27)))))*(1.88E-23)*(25+273.15))/(EXP($A9-AP$7))),((LN((Conductance_Eeq!AP8/MAX(Conductance_Eeq!AP$7:AP$27))))*(1.88E-23)*(25+273.15))/(EXP($A9-AP$7))))</f>
        <v>-20482337242633.043</v>
      </c>
      <c r="AQ9">
        <f>IF(ISBLANK(Conductance_Eeq!AQ8),"",IF(Conductance_Eeq!AQ8&lt;0,((LN(ABS(((Conductance_Eeq!AQ8/MAX(Conductance_Eeq!AQ$7:AQ$27)))))*(1.88E-23)*(25+273.15))/(EXP($A9-AQ$7))),((LN((Conductance_Eeq!AQ8/MAX(Conductance_Eeq!AQ$7:AQ$27))))*(1.88E-23)*(25+273.15))/(EXP($A9-AQ$7))))</f>
        <v>-262078485526962.56</v>
      </c>
      <c r="AR9">
        <f>IF(ISBLANK(Conductance_Eeq!AR8),"",IF(Conductance_Eeq!AR8&lt;0,((LN(ABS(((Conductance_Eeq!AR8/MAX(Conductance_Eeq!AR$7:AR$27)))))*(1.88E-23)*(25+273.15))/(EXP($A9-AR$7))),((LN((Conductance_Eeq!AR8/MAX(Conductance_Eeq!AR$7:AR$27))))*(1.88E-23)*(25+273.15))/(EXP($A9-AR$7))))</f>
        <v>-49859705989358.758</v>
      </c>
      <c r="AS9">
        <f>IF(ISBLANK(Conductance_Eeq!AS8),"",IF(Conductance_Eeq!AS8&lt;0,((LN(ABS(((Conductance_Eeq!AS8/MAX(Conductance_Eeq!AS$7:AS$27)))))*(1.88E-23)*(25+273.15))/(EXP($A9-AS$7))),((LN((Conductance_Eeq!AS8/MAX(Conductance_Eeq!AS$7:AS$27))))*(1.88E-23)*(25+273.15))/(EXP($A9-AS$7))))</f>
        <v>-71036419715564.438</v>
      </c>
      <c r="AT9">
        <f>IF(ISBLANK(Conductance_Eeq!AT8),"",IF(Conductance_Eeq!AT8&lt;0,((LN(ABS(((Conductance_Eeq!AT8/MAX(Conductance_Eeq!AT$7:AT$27)))))*(1.88E-23)*(25+273.15))/(EXP($A9-AT$7))),((LN((Conductance_Eeq!AT8/MAX(Conductance_Eeq!AT$7:AT$27))))*(1.88E-23)*(25+273.15))/(EXP($A9-AT$7))))</f>
        <v>-359097985194119.62</v>
      </c>
      <c r="AU9">
        <f>IF(ISBLANK(Conductance_Eeq!AU8),"",IF(Conductance_Eeq!AU8&lt;0,((LN(ABS(((Conductance_Eeq!AU8/MAX(Conductance_Eeq!AU$7:AU$27)))))*(1.88E-23)*(25+273.15))/(EXP($A9-AU$7))),((LN((Conductance_Eeq!AU8/MAX(Conductance_Eeq!AU$7:AU$27))))*(1.88E-23)*(25+273.15))/(EXP($A9-AU$7))))</f>
        <v>-50681708794002.711</v>
      </c>
      <c r="AV9">
        <f>IF(ISBLANK(Conductance_Eeq!AV8),"",IF(Conductance_Eeq!AV8&lt;0,((LN(ABS(((Conductance_Eeq!AV8/MAX(Conductance_Eeq!AV$7:AV$27)))))*(1.88E-23)*(25+273.15))/(EXP($A9-AV$7))),((LN((Conductance_Eeq!AV8/MAX(Conductance_Eeq!AV$7:AV$27))))*(1.88E-23)*(25+273.15))/(EXP($A9-AV$7))))</f>
        <v>-113959566273759.5</v>
      </c>
      <c r="AW9">
        <f>IF(ISBLANK(Conductance_Eeq!AW8),"",IF(Conductance_Eeq!AW8&lt;0,((LN(ABS(((Conductance_Eeq!AW8/MAX(Conductance_Eeq!AW$7:AW$27)))))*(1.88E-23)*(25+273.15))/(EXP($A9-AW$7))),((LN((Conductance_Eeq!AW8/MAX(Conductance_Eeq!AW$7:AW$27))))*(1.88E-23)*(25+273.15))/(EXP($A9-AW$7))))</f>
        <v>-317269249640421.81</v>
      </c>
      <c r="AX9">
        <f>IF(ISBLANK(Conductance_Eeq!AX8),"",IF(Conductance_Eeq!AX8&lt;0,((LN(ABS(((Conductance_Eeq!AX8/MAX(Conductance_Eeq!AX$7:AX$27)))))*(1.88E-23)*(25+273.15))/(EXP($A9-AX$7))),((LN((Conductance_Eeq!AX8/MAX(Conductance_Eeq!AX$7:AX$27))))*(1.88E-23)*(25+273.15))/(EXP($A9-AX$7))))</f>
        <v>-522517659553002.69</v>
      </c>
      <c r="AY9">
        <f>IF(ISBLANK(Conductance_Eeq!AY8),"",IF(Conductance_Eeq!AY8&lt;0,((LN(ABS(((Conductance_Eeq!AY8/MAX(Conductance_Eeq!AY$7:AY$27)))))*(1.88E-23)*(25+273.15))/(EXP($A9-AY$7))),((LN((Conductance_Eeq!AY8/MAX(Conductance_Eeq!AY$7:AY$27))))*(1.88E-23)*(25+273.15))/(EXP($A9-AY$7))))</f>
        <v>-308565435429032.56</v>
      </c>
      <c r="AZ9">
        <f>IF(ISBLANK(Conductance_Eeq!AZ8),"",IF(Conductance_Eeq!AZ8&lt;0,((LN(ABS(((Conductance_Eeq!AZ8/MAX(Conductance_Eeq!AZ$7:AZ$27)))))*(1.88E-23)*(25+273.15))/(EXP($A9-AZ$7))),((LN((Conductance_Eeq!AZ8/MAX(Conductance_Eeq!AZ$7:AZ$27))))*(1.88E-23)*(25+273.15))/(EXP($A9-AZ$7))))</f>
        <v>-891222587123829.62</v>
      </c>
      <c r="BA9">
        <f>IF(ISBLANK(Conductance_Eeq!BA8),"",IF(Conductance_Eeq!BA8&lt;0,((LN(ABS(((Conductance_Eeq!BA8/MAX(Conductance_Eeq!BA$7:BA$27)))))*(1.88E-23)*(25+273.15))/(EXP($A9-BA$7))),((LN((Conductance_Eeq!BA8/MAX(Conductance_Eeq!BA$7:BA$27))))*(1.88E-23)*(25+273.15))/(EXP($A9-BA$7))))</f>
        <v>-1058575945360373.1</v>
      </c>
      <c r="BC9">
        <f>IF(ISBLANK(Conductance_Eeq!BC8),"",IF(Conductance_Eeq!BC8&lt;0,((LN(ABS(((Conductance_Eeq!BC8/MAX(Conductance_Eeq!BC$7:BC$27)))))*(1.88E-23)*(25+273.15))/(EXP($A9-BC$7))),((LN((Conductance_Eeq!BC8/MAX(Conductance_Eeq!BC$7:BC$27))))*(1.88E-23)*(25+273.15))/(EXP($A9-BC$7))))</f>
        <v>-62433114126872.68</v>
      </c>
      <c r="BD9">
        <f>IF(ISBLANK(Conductance_Eeq!BD8),"",IF(Conductance_Eeq!BD8&lt;0,((LN(ABS(((Conductance_Eeq!BD8/MAX(Conductance_Eeq!BD$7:BD$27)))))*(1.88E-23)*(25+273.15))/(EXP($A9-BD$7))),((LN((Conductance_Eeq!BD8/MAX(Conductance_Eeq!BD$7:BD$27))))*(1.88E-23)*(25+273.15))/(EXP($A9-BD$7))))</f>
        <v>-55259660341605.305</v>
      </c>
      <c r="BE9">
        <f>IF(ISBLANK(Conductance_Eeq!BE8),"",IF(Conductance_Eeq!BE8&lt;0,((LN(ABS(((Conductance_Eeq!BE8/MAX(Conductance_Eeq!BE$7:BE$27)))))*(1.88E-23)*(25+273.15))/(EXP($A9-BE$7))),((LN((Conductance_Eeq!BE8/MAX(Conductance_Eeq!BE$7:BE$27))))*(1.88E-23)*(25+273.15))/(EXP($A9-BE$7))))</f>
        <v>-204080288249102.44</v>
      </c>
      <c r="BF9">
        <f>IF(ISBLANK(Conductance_Eeq!BF8),"",IF(Conductance_Eeq!BF8&lt;0,((LN(ABS(((Conductance_Eeq!BF8/MAX(Conductance_Eeq!BF$7:BF$27)))))*(1.88E-23)*(25+273.15))/(EXP($A9-BF$7))),((LN((Conductance_Eeq!BF8/MAX(Conductance_Eeq!BF$7:BF$27))))*(1.88E-23)*(25+273.15))/(EXP($A9-BF$7))))</f>
        <v>-126238853497501.06</v>
      </c>
      <c r="BG9">
        <f>IF(ISBLANK(Conductance_Eeq!BG8),"",IF(Conductance_Eeq!BG8&lt;0,((LN(ABS(((Conductance_Eeq!BG8/MAX(Conductance_Eeq!BG$7:BG$27)))))*(1.88E-23)*(25+273.15))/(EXP($A9-BG$7))),((LN((Conductance_Eeq!BG8/MAX(Conductance_Eeq!BG$7:BG$27))))*(1.88E-23)*(25+273.15))/(EXP($A9-BG$7))))</f>
        <v>-2743204678719457.5</v>
      </c>
      <c r="BH9">
        <f>IF(ISBLANK(Conductance_Eeq!BH8),"",IF(Conductance_Eeq!BH8&lt;0,((LN(ABS(((Conductance_Eeq!BH8/MAX(Conductance_Eeq!BH$7:BH$27)))))*(1.88E-23)*(25+273.15))/(EXP($A9-BH$7))),((LN((Conductance_Eeq!BH8/MAX(Conductance_Eeq!BH$7:BH$27))))*(1.88E-23)*(25+273.15))/(EXP($A9-BH$7))))</f>
        <v>-29870572697961.395</v>
      </c>
      <c r="BI9">
        <f>IF(ISBLANK(Conductance_Eeq!BI8),"",IF(Conductance_Eeq!BI8&lt;0,((LN(ABS(((Conductance_Eeq!BI8/MAX(Conductance_Eeq!BI$7:BI$27)))))*(1.88E-23)*(25+273.15))/(EXP($A9-BI$7))),((LN((Conductance_Eeq!BI8/MAX(Conductance_Eeq!BI$7:BI$27))))*(1.88E-23)*(25+273.15))/(EXP($A9-BI$7))))</f>
        <v>-35739951961490.602</v>
      </c>
      <c r="BJ9">
        <f>IF(ISBLANK(Conductance_Eeq!BJ8),"",IF(Conductance_Eeq!BJ8&lt;0,((LN(ABS(((Conductance_Eeq!BJ8/MAX(Conductance_Eeq!BJ$7:BJ$27)))))*(1.88E-23)*(25+273.15))/(EXP($A9-BJ$7))),((LN((Conductance_Eeq!BJ8/MAX(Conductance_Eeq!BJ$7:BJ$27))))*(1.88E-23)*(25+273.15))/(EXP($A9-BJ$7))))</f>
        <v>-292649044983001.38</v>
      </c>
      <c r="BK9">
        <f>IF(ISBLANK(Conductance_Eeq!BK8),"",IF(Conductance_Eeq!BK8&lt;0,((LN(ABS(((Conductance_Eeq!BK8/MAX(Conductance_Eeq!BK$7:BK$27)))))*(1.88E-23)*(25+273.15))/(EXP($A9-BK$7))),((LN((Conductance_Eeq!BK8/MAX(Conductance_Eeq!BK$7:BK$27))))*(1.88E-23)*(25+273.15))/(EXP($A9-BK$7))))</f>
        <v>-298396294793696.94</v>
      </c>
      <c r="BL9">
        <f>IF(ISBLANK(Conductance_Eeq!BL8),"",IF(Conductance_Eeq!BL8&lt;0,((LN(ABS(((Conductance_Eeq!BL8/MAX(Conductance_Eeq!BL$7:BL$27)))))*(1.88E-23)*(25+273.15))/(EXP($A9-BL$7))),((LN((Conductance_Eeq!BL8/MAX(Conductance_Eeq!BL$7:BL$27))))*(1.88E-23)*(25+273.15))/(EXP($A9-BL$7))))</f>
        <v>-151416345186740.16</v>
      </c>
      <c r="BM9">
        <f>IF(ISBLANK(Conductance_Eeq!BM8),"",IF(Conductance_Eeq!BM8&lt;0,((LN(ABS(((Conductance_Eeq!BM8/MAX(Conductance_Eeq!BM$7:BM$27)))))*(1.88E-23)*(25+273.15))/(EXP($A9-BM$7))),((LN((Conductance_Eeq!BM8/MAX(Conductance_Eeq!BM$7:BM$27))))*(1.88E-23)*(25+273.15))/(EXP($A9-BM$7))))</f>
        <v>-410009918413758.38</v>
      </c>
      <c r="BN9">
        <f>IF(ISBLANK(Conductance_Eeq!BN8),"",IF(Conductance_Eeq!BN8&lt;0,((LN(ABS(((Conductance_Eeq!BN8/MAX(Conductance_Eeq!BN$7:BN$27)))))*(1.88E-23)*(25+273.15))/(EXP($A9-BN$7))),((LN((Conductance_Eeq!BN8/MAX(Conductance_Eeq!BN$7:BN$27))))*(1.88E-23)*(25+273.15))/(EXP($A9-BN$7))))</f>
        <v>-4981837309841.3301</v>
      </c>
      <c r="BO9">
        <f>IF(ISBLANK(Conductance_Eeq!BO8),"",IF(Conductance_Eeq!BO8&lt;0,((LN(ABS(((Conductance_Eeq!BO8/MAX(Conductance_Eeq!BO$7:BO$27)))))*(1.88E-23)*(25+273.15))/(EXP($A9-BO$7))),((LN((Conductance_Eeq!BO8/MAX(Conductance_Eeq!BO$7:BO$27))))*(1.88E-23)*(25+273.15))/(EXP($A9-BO$7))))</f>
        <v>-14480459852000.609</v>
      </c>
      <c r="BP9">
        <f>IF(ISBLANK(Conductance_Eeq!BP8),"",IF(Conductance_Eeq!BP8&lt;0,((LN(ABS(((Conductance_Eeq!BP8/MAX(Conductance_Eeq!BP$7:BP$27)))))*(1.88E-23)*(25+273.15))/(EXP($A9-BP$7))),((LN((Conductance_Eeq!BP8/MAX(Conductance_Eeq!BP$7:BP$27))))*(1.88E-23)*(25+273.15))/(EXP($A9-BP$7))))</f>
        <v>-73128623526301.062</v>
      </c>
      <c r="BQ9">
        <f>IF(ISBLANK(Conductance_Eeq!BQ8),"",IF(Conductance_Eeq!BQ8&lt;0,((LN(ABS(((Conductance_Eeq!BQ8/MAX(Conductance_Eeq!BQ$7:BQ$27)))))*(1.88E-23)*(25+273.15))/(EXP($A9-BQ$7))),((LN((Conductance_Eeq!BQ8/MAX(Conductance_Eeq!BQ$7:BQ$27))))*(1.88E-23)*(25+273.15))/(EXP($A9-BQ$7))))</f>
        <v>-250709990461895.5</v>
      </c>
      <c r="BR9">
        <f>IF(ISBLANK(Conductance_Eeq!BR8),"",IF(Conductance_Eeq!BR8&lt;0,((LN(ABS(((Conductance_Eeq!BR8/MAX(Conductance_Eeq!BR$7:BR$27)))))*(1.88E-23)*(25+273.15))/(EXP($A9-BR$7))),((LN((Conductance_Eeq!BR8/MAX(Conductance_Eeq!BR$7:BR$27))))*(1.88E-23)*(25+273.15))/(EXP($A9-BR$7))))</f>
        <v>-30297142190815.145</v>
      </c>
      <c r="BS9">
        <f>IF(ISBLANK(Conductance_Eeq!BS8),"",IF(Conductance_Eeq!BS8&lt;0,((LN(ABS(((Conductance_Eeq!BS8/MAX(Conductance_Eeq!BS$7:BS$27)))))*(1.88E-23)*(25+273.15))/(EXP($A9-BS$7))),((LN((Conductance_Eeq!BS8/MAX(Conductance_Eeq!BS$7:BS$27))))*(1.88E-23)*(25+273.15))/(EXP($A9-BS$7))))</f>
        <v>-56778689635980.555</v>
      </c>
      <c r="BT9">
        <f>IF(ISBLANK(Conductance_Eeq!BT8),"",IF(Conductance_Eeq!BT8&lt;0,((LN(ABS(((Conductance_Eeq!BT8/MAX(Conductance_Eeq!BT$7:BT$27)))))*(1.88E-23)*(25+273.15))/(EXP($A9-BT$7))),((LN((Conductance_Eeq!BT8/MAX(Conductance_Eeq!BT$7:BT$27))))*(1.88E-23)*(25+273.15))/(EXP($A9-BT$7))))</f>
        <v>-222734024359552.81</v>
      </c>
      <c r="BU9">
        <f>IF(ISBLANK(Conductance_Eeq!BU8),"",IF(Conductance_Eeq!BU8&lt;0,((LN(ABS(((Conductance_Eeq!BU8/MAX(Conductance_Eeq!BU$7:BU$27)))))*(1.88E-23)*(25+273.15))/(EXP($A9-BU$7))),((LN((Conductance_Eeq!BU8/MAX(Conductance_Eeq!BU$7:BU$27))))*(1.88E-23)*(25+273.15))/(EXP($A9-BU$7))))</f>
        <v>-637772747407260.88</v>
      </c>
      <c r="BV9">
        <f>IF(ISBLANK(Conductance_Eeq!BV8),"",IF(Conductance_Eeq!BV8&lt;0,((LN(ABS(((Conductance_Eeq!BV8/MAX(Conductance_Eeq!BV$7:BV$27)))))*(1.88E-23)*(25+273.15))/(EXP($A9-BV$7))),((LN((Conductance_Eeq!BV8/MAX(Conductance_Eeq!BV$7:BV$27))))*(1.88E-23)*(25+273.15))/(EXP($A9-BV$7))))</f>
        <v>-207417066946233.25</v>
      </c>
      <c r="BW9">
        <f>IF(ISBLANK(Conductance_Eeq!BW8),"",IF(Conductance_Eeq!BW8&lt;0,((LN(ABS(((Conductance_Eeq!BW8/MAX(Conductance_Eeq!BW$7:BW$27)))))*(1.88E-23)*(25+273.15))/(EXP($A9-BW$7))),((LN((Conductance_Eeq!BW8/MAX(Conductance_Eeq!BW$7:BW$27))))*(1.88E-23)*(25+273.15))/(EXP($A9-BW$7))))</f>
        <v>-288620959480285.31</v>
      </c>
      <c r="BX9">
        <f>IF(ISBLANK(Conductance_Eeq!BX8),"",IF(Conductance_Eeq!BX8&lt;0,((LN(ABS(((Conductance_Eeq!BX8/MAX(Conductance_Eeq!BX$7:BX$27)))))*(1.88E-23)*(25+273.15))/(EXP($A9-BX$7))),((LN((Conductance_Eeq!BX8/MAX(Conductance_Eeq!BX$7:BX$27))))*(1.88E-23)*(25+273.15))/(EXP($A9-BX$7))))</f>
        <v>-424061473442537</v>
      </c>
      <c r="BY9">
        <f>IF(ISBLANK(Conductance_Eeq!BY8),"",IF(Conductance_Eeq!BY8&lt;0,((LN(ABS(((Conductance_Eeq!BY8/MAX(Conductance_Eeq!BY$7:BY$27)))))*(1.88E-23)*(25+273.15))/(EXP($A9-BY$7))),((LN((Conductance_Eeq!BY8/MAX(Conductance_Eeq!BY$7:BY$27))))*(1.88E-23)*(25+273.15))/(EXP($A9-BY$7))))</f>
        <v>-21171180567894.805</v>
      </c>
      <c r="BZ9">
        <f>IF(ISBLANK(Conductance_Eeq!BZ8),"",IF(Conductance_Eeq!BZ8&lt;0,((LN(ABS(((Conductance_Eeq!BZ8/MAX(Conductance_Eeq!BZ$7:BZ$27)))))*(1.88E-23)*(25+273.15))/(EXP($A9-BZ$7))),((LN((Conductance_Eeq!BZ8/MAX(Conductance_Eeq!BZ$7:BZ$27))))*(1.88E-23)*(25+273.15))/(EXP($A9-BZ$7))))</f>
        <v>-33417117873695.086</v>
      </c>
      <c r="CA9">
        <f>IF(ISBLANK(Conductance_Eeq!CA8),"",IF(Conductance_Eeq!CA8&lt;0,((LN(ABS(((Conductance_Eeq!CA8/MAX(Conductance_Eeq!CA$7:CA$27)))))*(1.88E-23)*(25+273.15))/(EXP($A9-CA$7))),((LN((Conductance_Eeq!CA8/MAX(Conductance_Eeq!CA$7:CA$27))))*(1.88E-23)*(25+273.15))/(EXP($A9-CA$7))))</f>
        <v>-150567917283680.78</v>
      </c>
      <c r="CB9">
        <f>IF(ISBLANK(Conductance_Eeq!CB8),"",IF(Conductance_Eeq!CB8&lt;0,((LN(ABS(((Conductance_Eeq!CB8/MAX(Conductance_Eeq!CB$7:CB$27)))))*(1.88E-23)*(25+273.15))/(EXP($A9-CB$7))),((LN((Conductance_Eeq!CB8/MAX(Conductance_Eeq!CB$7:CB$27))))*(1.88E-23)*(25+273.15))/(EXP($A9-CB$7))))</f>
        <v>-1270317953848848.8</v>
      </c>
      <c r="CC9">
        <f>IF(ISBLANK(Conductance_Eeq!CC8),"",IF(Conductance_Eeq!CC8&lt;0,((LN(ABS(((Conductance_Eeq!CC8/MAX(Conductance_Eeq!CC$7:CC$27)))))*(1.88E-23)*(25+273.15))/(EXP($A9-CC$7))),((LN((Conductance_Eeq!CC8/MAX(Conductance_Eeq!CC$7:CC$27))))*(1.88E-23)*(25+273.15))/(EXP($A9-CC$7))))</f>
        <v>-3.00259653631907E+16</v>
      </c>
      <c r="CD9">
        <f>IF(ISBLANK(Conductance_Eeq!CD8),"",IF(Conductance_Eeq!CD8&lt;0,((LN(ABS(((Conductance_Eeq!CD8/MAX(Conductance_Eeq!CD$7:CD$27)))))*(1.88E-23)*(25+273.15))/(EXP($A9-CD$7))),((LN((Conductance_Eeq!CD8/MAX(Conductance_Eeq!CD$7:CD$27))))*(1.88E-23)*(25+273.15))/(EXP($A9-CD$7))))</f>
        <v>-973348257648201.38</v>
      </c>
    </row>
    <row r="10" spans="1:96" x14ac:dyDescent="0.2">
      <c r="A10" s="3">
        <f t="shared" ref="A10:A28" si="0">A9+10</f>
        <v>-60</v>
      </c>
      <c r="B10">
        <f>IF(ISBLANK(Conductance_Eeq!B9),"",IF(Conductance_Eeq!B9&lt;0,((LN(ABS(((Conductance_Eeq!B9/MAX(Conductance_Eeq!B$7:B$27)))))*(1.88E-23)*(25+273.15))/(EXP($A10-B$7))),((LN((Conductance_Eeq!B9/MAX(Conductance_Eeq!B$7:B$27))))*(1.88E-23)*(25+273.15))/(EXP($A10-B$7))))</f>
        <v>-60595935550.947029</v>
      </c>
      <c r="C10">
        <f>IF(ISBLANK(Conductance_Eeq!C9),"",IF(Conductance_Eeq!C9&lt;0,((LN(ABS(((Conductance_Eeq!C9/MAX(Conductance_Eeq!C$7:C$27)))))*(1.88E-23)*(25+273.15))/(EXP($A10-C$7))),((LN((Conductance_Eeq!C9/MAX(Conductance_Eeq!C$7:C$27))))*(1.88E-23)*(25+273.15))/(EXP($A10-C$7))))</f>
        <v>-13826740505.172028</v>
      </c>
      <c r="D10">
        <f>IF(ISBLANK(Conductance_Eeq!D9),"",IF(Conductance_Eeq!D9&lt;0,((LN(ABS(((Conductance_Eeq!D9/MAX(Conductance_Eeq!D$7:D$27)))))*(1.88E-23)*(25+273.15))/(EXP($A10-D$7))),((LN((Conductance_Eeq!D9/MAX(Conductance_Eeq!D$7:D$27))))*(1.88E-23)*(25+273.15))/(EXP($A10-D$7))))</f>
        <v>-2735189101.3135185</v>
      </c>
      <c r="E10">
        <f>IF(ISBLANK(Conductance_Eeq!E9),"",IF(Conductance_Eeq!E9&lt;0,((LN(ABS(((Conductance_Eeq!E9/MAX(Conductance_Eeq!E$7:E$27)))))*(1.88E-23)*(25+273.15))/(EXP($A10-E$7))),((LN((Conductance_Eeq!E9/MAX(Conductance_Eeq!E$7:E$27))))*(1.88E-23)*(25+273.15))/(EXP($A10-E$7))))</f>
        <v>-1616604274.8188214</v>
      </c>
      <c r="F10">
        <f>IF(ISBLANK(Conductance_Eeq!F9),"",IF(Conductance_Eeq!F9&lt;0,((LN(ABS(((Conductance_Eeq!F9/MAX(Conductance_Eeq!F$7:F$27)))))*(1.88E-23)*(25+273.15))/(EXP($A10-F$7))),((LN((Conductance_Eeq!F9/MAX(Conductance_Eeq!F$7:F$27))))*(1.88E-23)*(25+273.15))/(EXP($A10-F$7))))</f>
        <v>-57151835726.658592</v>
      </c>
      <c r="G10">
        <f>IF(ISBLANK(Conductance_Eeq!G9),"",IF(Conductance_Eeq!G9&lt;0,((LN(ABS(((Conductance_Eeq!G9/MAX(Conductance_Eeq!G$7:G$27)))))*(1.88E-23)*(25+273.15))/(EXP($A10-G$7))),((LN((Conductance_Eeq!G9/MAX(Conductance_Eeq!G$7:G$27))))*(1.88E-23)*(25+273.15))/(EXP($A10-G$7))))</f>
        <v>-57151835726.658592</v>
      </c>
      <c r="H10">
        <f>IF(ISBLANK(Conductance_Eeq!H9),"",IF(Conductance_Eeq!H9&lt;0,((LN(ABS(((Conductance_Eeq!H9/MAX(Conductance_Eeq!H$7:H$27)))))*(1.88E-23)*(25+273.15))/(EXP($A10-H$7))),((LN((Conductance_Eeq!H9/MAX(Conductance_Eeq!H$7:H$27))))*(1.88E-23)*(25+273.15))/(EXP($A10-H$7))))</f>
        <v>-20656164737.44693</v>
      </c>
      <c r="I10">
        <f>IF(ISBLANK(Conductance_Eeq!I9),"",IF(Conductance_Eeq!I9&lt;0,((LN(ABS(((Conductance_Eeq!I9/MAX(Conductance_Eeq!I$7:I$27)))))*(1.88E-23)*(25+273.15))/(EXP($A10-I$7))),((LN((Conductance_Eeq!I9/MAX(Conductance_Eeq!I$7:I$27))))*(1.88E-23)*(25+273.15))/(EXP($A10-I$7))))</f>
        <v>-111056565.2792207</v>
      </c>
      <c r="J10">
        <f>IF(ISBLANK(Conductance_Eeq!J9),"",IF(Conductance_Eeq!J9&lt;0,((LN(ABS(((Conductance_Eeq!J9/MAX(Conductance_Eeq!J$7:J$27)))))*(1.88E-23)*(25+273.15))/(EXP($A10-J$7))),((LN((Conductance_Eeq!J9/MAX(Conductance_Eeq!J$7:J$27))))*(1.88E-23)*(25+273.15))/(EXP($A10-J$7))))</f>
        <v>-396127790.62621838</v>
      </c>
      <c r="K10">
        <f>IF(ISBLANK(Conductance_Eeq!K9),"",IF(Conductance_Eeq!K9&lt;0,((LN(ABS(((Conductance_Eeq!K9/MAX(Conductance_Eeq!K$7:K$27)))))*(1.88E-23)*(25+273.15))/(EXP($A10-K$7))),((LN((Conductance_Eeq!K9/MAX(Conductance_Eeq!K$7:K$27))))*(1.88E-23)*(25+273.15))/(EXP($A10-K$7))))</f>
        <v>-11758768585.354057</v>
      </c>
      <c r="L10">
        <f>IF(ISBLANK(Conductance_Eeq!L9),"",IF(Conductance_Eeq!L9&lt;0,((LN(ABS(((Conductance_Eeq!L9/MAX(Conductance_Eeq!L$7:L$27)))))*(1.88E-23)*(25+273.15))/(EXP($A10-L$7))),((LN((Conductance_Eeq!L9/MAX(Conductance_Eeq!L$7:L$27))))*(1.88E-23)*(25+273.15))/(EXP($A10-L$7))))</f>
        <v>-2080258614.9479861</v>
      </c>
      <c r="M10">
        <f>IF(ISBLANK(Conductance_Eeq!M9),"",IF(Conductance_Eeq!M9&lt;0,((LN(ABS(((Conductance_Eeq!M9/MAX(Conductance_Eeq!M$7:M$27)))))*(1.88E-23)*(25+273.15))/(EXP($A10-M$7))),((LN((Conductance_Eeq!M9/MAX(Conductance_Eeq!M$7:M$27))))*(1.88E-23)*(25+273.15))/(EXP($A10-M$7))))</f>
        <v>-1244795812.6760094</v>
      </c>
      <c r="N10">
        <f>IF(ISBLANK(Conductance_Eeq!N9),"",IF(Conductance_Eeq!N9&lt;0,((LN(ABS(((Conductance_Eeq!N9/MAX(Conductance_Eeq!N$7:N$27)))))*(1.88E-23)*(25+273.15))/(EXP($A10-N$7))),((LN((Conductance_Eeq!N9/MAX(Conductance_Eeq!N$7:N$27))))*(1.88E-23)*(25+273.15))/(EXP($A10-N$7))))</f>
        <v>-72127796.301664889</v>
      </c>
      <c r="O10">
        <f>IF(ISBLANK(Conductance_Eeq!O9),"",IF(Conductance_Eeq!O9&lt;0,((LN(ABS(((Conductance_Eeq!O9/MAX(Conductance_Eeq!O$7:O$27)))))*(1.88E-23)*(25+273.15))/(EXP($A10-O$7))),((LN((Conductance_Eeq!O9/MAX(Conductance_Eeq!O$7:O$27))))*(1.88E-23)*(25+273.15))/(EXP($A10-O$7))))</f>
        <v>-617646673.92387962</v>
      </c>
      <c r="P10">
        <f>IF(ISBLANK(Conductance_Eeq!P9),"",IF(Conductance_Eeq!P9&lt;0,((LN(ABS(((Conductance_Eeq!P9/MAX(Conductance_Eeq!P$7:P$27)))))*(1.88E-23)*(25+273.15))/(EXP($A10-P$7))),((LN((Conductance_Eeq!P9/MAX(Conductance_Eeq!P$7:P$27))))*(1.88E-23)*(25+273.15))/(EXP($A10-P$7))))</f>
        <v>-356644289.58967918</v>
      </c>
      <c r="Q10">
        <f>IF(ISBLANK(Conductance_Eeq!Q9),"",IF(Conductance_Eeq!Q9&lt;0,((LN(ABS(((Conductance_Eeq!Q9/MAX(Conductance_Eeq!Q$7:Q$27)))))*(1.88E-23)*(25+273.15))/(EXP($A10-Q$7))),((LN((Conductance_Eeq!Q9/MAX(Conductance_Eeq!Q$7:Q$27))))*(1.88E-23)*(25+273.15))/(EXP($A10-Q$7))))</f>
        <v>-4789925530.6604757</v>
      </c>
      <c r="R10">
        <f>IF(ISBLANK(Conductance_Eeq!R9),"",IF(Conductance_Eeq!R9&lt;0,((LN(ABS(((Conductance_Eeq!R9/MAX(Conductance_Eeq!R$7:R$27)))))*(1.88E-23)*(25+273.15))/(EXP($A10-R$7))),((LN((Conductance_Eeq!R9/MAX(Conductance_Eeq!R$7:R$27))))*(1.88E-23)*(25+273.15))/(EXP($A10-R$7))))</f>
        <v>-3803614866.0991311</v>
      </c>
      <c r="S10">
        <f>IF(ISBLANK(Conductance_Eeq!S9),"",IF(Conductance_Eeq!S9&lt;0,((LN(ABS(((Conductance_Eeq!S9/MAX(Conductance_Eeq!S$7:S$27)))))*(1.88E-23)*(25+273.15))/(EXP($A10-S$7))),((LN((Conductance_Eeq!S9/MAX(Conductance_Eeq!S$7:S$27))))*(1.88E-23)*(25+273.15))/(EXP($A10-S$7))))</f>
        <v>-18888689156.355156</v>
      </c>
      <c r="T10">
        <f>IF(ISBLANK(Conductance_Eeq!T9),"",IF(Conductance_Eeq!T9&lt;0,((LN(ABS(((Conductance_Eeq!T9/MAX(Conductance_Eeq!T$7:T$27)))))*(1.88E-23)*(25+273.15))/(EXP($A10-T$7))),((LN((Conductance_Eeq!T9/MAX(Conductance_Eeq!T$7:T$27))))*(1.88E-23)*(25+273.15))/(EXP($A10-T$7))))</f>
        <v>-3553318991.6410527</v>
      </c>
      <c r="U10">
        <f>IF(ISBLANK(Conductance_Eeq!U9),"",IF(Conductance_Eeq!U9&lt;0,((LN(ABS(((Conductance_Eeq!U9/MAX(Conductance_Eeq!U$7:U$27)))))*(1.88E-23)*(25+273.15))/(EXP($A10-U$7))),((LN((Conductance_Eeq!U9/MAX(Conductance_Eeq!U$7:U$27))))*(1.88E-23)*(25+273.15))/(EXP($A10-U$7))))</f>
        <v>-479599074.81178963</v>
      </c>
      <c r="V10">
        <f>IF(ISBLANK(Conductance_Eeq!V9),"",IF(Conductance_Eeq!V9&lt;0,((LN(ABS(((Conductance_Eeq!V9/MAX(Conductance_Eeq!V$7:V$27)))))*(1.88E-23)*(25+273.15))/(EXP($A10-V$7))),((LN((Conductance_Eeq!V9/MAX(Conductance_Eeq!V$7:V$27))))*(1.88E-23)*(25+273.15))/(EXP($A10-V$7))))</f>
        <v>-13255095764.56102</v>
      </c>
      <c r="W10">
        <f>IF(ISBLANK(Conductance_Eeq!W9),"",IF(Conductance_Eeq!W9&lt;0,((LN(ABS(((Conductance_Eeq!W9/MAX(Conductance_Eeq!W$7:W$27)))))*(1.88E-23)*(25+273.15))/(EXP($A10-W$7))),((LN((Conductance_Eeq!W9/MAX(Conductance_Eeq!W$7:W$27))))*(1.88E-23)*(25+273.15))/(EXP($A10-W$7))))</f>
        <v>-449133871.61069709</v>
      </c>
      <c r="X10">
        <f>IF(ISBLANK(Conductance_Eeq!X9),"",IF(Conductance_Eeq!X9&lt;0,((LN(ABS(((Conductance_Eeq!X9/MAX(Conductance_Eeq!X$7:X$27)))))*(1.88E-23)*(25+273.15))/(EXP($A10-X$7))),((LN((Conductance_Eeq!X9/MAX(Conductance_Eeq!X$7:X$27))))*(1.88E-23)*(25+273.15))/(EXP($A10-X$7))))</f>
        <v>-4643927043.4042215</v>
      </c>
      <c r="Y10">
        <f>IF(ISBLANK(Conductance_Eeq!Y9),"",IF(Conductance_Eeq!Y9&lt;0,((LN(ABS(((Conductance_Eeq!Y9/MAX(Conductance_Eeq!Y$7:Y$27)))))*(1.88E-23)*(25+273.15))/(EXP($A10-Y$7))),((LN((Conductance_Eeq!Y9/MAX(Conductance_Eeq!Y$7:Y$27))))*(1.88E-23)*(25+273.15))/(EXP($A10-Y$7))))</f>
        <v>-2237260072.4191346</v>
      </c>
      <c r="Z10">
        <f>IF(ISBLANK(Conductance_Eeq!Z9),"",IF(Conductance_Eeq!Z9&lt;0,((LN(ABS(((Conductance_Eeq!Z9/MAX(Conductance_Eeq!Z$7:Z$27)))))*(1.88E-23)*(25+273.15))/(EXP($A10-Z$7))),((LN((Conductance_Eeq!Z9/MAX(Conductance_Eeq!Z$7:Z$27))))*(1.88E-23)*(25+273.15))/(EXP($A10-Z$7))))</f>
        <v>-26299110614.509369</v>
      </c>
      <c r="AA10">
        <f>IF(ISBLANK(Conductance_Eeq!AA9),"",IF(Conductance_Eeq!AA9&lt;0,((LN(ABS(((Conductance_Eeq!AA9/MAX(Conductance_Eeq!AA$7:AA$27)))))*(1.88E-23)*(25+273.15))/(EXP($A10-AA$7))),((LN((Conductance_Eeq!AA9/MAX(Conductance_Eeq!AA$7:AA$27))))*(1.88E-23)*(25+273.15))/(EXP($A10-AA$7))))</f>
        <v>-15691302885.262718</v>
      </c>
      <c r="AB10">
        <f>IF(ISBLANK(Conductance_Eeq!AB9),"",IF(Conductance_Eeq!AB9&lt;0,((LN(ABS(((Conductance_Eeq!AB9/MAX(Conductance_Eeq!AB$7:AB$27)))))*(1.88E-23)*(25+273.15))/(EXP($A10-AB$7))),((LN((Conductance_Eeq!AB9/MAX(Conductance_Eeq!AB$7:AB$27))))*(1.88E-23)*(25+273.15))/(EXP($A10-AB$7))))</f>
        <v>-1861918478.1433518</v>
      </c>
      <c r="AC10">
        <f>IF(ISBLANK(Conductance_Eeq!AC9),"",IF(Conductance_Eeq!AC9&lt;0,((LN(ABS(((Conductance_Eeq!AC9/MAX(Conductance_Eeq!AC$7:AC$27)))))*(1.88E-23)*(25+273.15))/(EXP($A10-AC$7))),((LN((Conductance_Eeq!AC9/MAX(Conductance_Eeq!AC$7:AC$27))))*(1.88E-23)*(25+273.15))/(EXP($A10-AC$7))))</f>
        <v>-3280684397.3796272</v>
      </c>
      <c r="AD10">
        <f>IF(ISBLANK(Conductance_Eeq!AD9),"",IF(Conductance_Eeq!AD9&lt;0,((LN(ABS(((Conductance_Eeq!AD9/MAX(Conductance_Eeq!AD$7:AD$27)))))*(1.88E-23)*(25+273.15))/(EXP($A10-AD$7))),((LN((Conductance_Eeq!AD9/MAX(Conductance_Eeq!AD$7:AD$27))))*(1.88E-23)*(25+273.15))/(EXP($A10-AD$7))))</f>
        <v>-2266995540.1586862</v>
      </c>
      <c r="AE10">
        <f>IF(ISBLANK(Conductance_Eeq!AE9),"",IF(Conductance_Eeq!AE9&lt;0,((LN(ABS(((Conductance_Eeq!AE9/MAX(Conductance_Eeq!AE$7:AE$27)))))*(1.88E-23)*(25+273.15))/(EXP($A10-AE$7))),((LN((Conductance_Eeq!AE9/MAX(Conductance_Eeq!AE$7:AE$27))))*(1.88E-23)*(25+273.15))/(EXP($A10-AE$7))))</f>
        <v>-598699201366.93079</v>
      </c>
      <c r="AF10">
        <f>IF(ISBLANK(Conductance_Eeq!AF9),"",IF(Conductance_Eeq!AF9&lt;0,((LN(ABS(((Conductance_Eeq!AF9/MAX(Conductance_Eeq!AF$7:AF$27)))))*(1.88E-23)*(25+273.15))/(EXP($A10-AF$7))),((LN((Conductance_Eeq!AF9/MAX(Conductance_Eeq!AF$7:AF$27))))*(1.88E-23)*(25+273.15))/(EXP($A10-AF$7))))</f>
        <v>-19079469884.377117</v>
      </c>
      <c r="AG10">
        <f>IF(ISBLANK(Conductance_Eeq!AG9),"",IF(Conductance_Eeq!AG9&lt;0,((LN(ABS(((Conductance_Eeq!AG9/MAX(Conductance_Eeq!AG$7:AG$27)))))*(1.88E-23)*(25+273.15))/(EXP($A10-AG$7))),((LN((Conductance_Eeq!AG9/MAX(Conductance_Eeq!AG$7:AG$27))))*(1.88E-23)*(25+273.15))/(EXP($A10-AG$7))))</f>
        <v>-9046826721.6665611</v>
      </c>
      <c r="AH10">
        <f>IF(ISBLANK(Conductance_Eeq!AH9),"",IF(Conductance_Eeq!AH9&lt;0,((LN(ABS(((Conductance_Eeq!AH9/MAX(Conductance_Eeq!AH$7:AH$27)))))*(1.88E-23)*(25+273.15))/(EXP($A10-AH$7))),((LN((Conductance_Eeq!AH9/MAX(Conductance_Eeq!AH$7:AH$27))))*(1.88E-23)*(25+273.15))/(EXP($A10-AH$7))))</f>
        <v>-6798807376.3386736</v>
      </c>
      <c r="AI10">
        <f>IF(ISBLANK(Conductance_Eeq!AI9),"",IF(Conductance_Eeq!AI9&lt;0,((LN(ABS(((Conductance_Eeq!AI9/MAX(Conductance_Eeq!AI$7:AI$27)))))*(1.88E-23)*(25+273.15))/(EXP($A10-AI$7))),((LN((Conductance_Eeq!AI9/MAX(Conductance_Eeq!AI$7:AI$27))))*(1.88E-23)*(25+273.15))/(EXP($A10-AI$7))))</f>
        <v>-4183526522.6782031</v>
      </c>
      <c r="AJ10">
        <f>IF(ISBLANK(Conductance_Eeq!AJ9),"",IF(Conductance_Eeq!AJ9&lt;0,((LN(ABS(((Conductance_Eeq!AJ9/MAX(Conductance_Eeq!AJ$7:AJ$27)))))*(1.88E-23)*(25+273.15))/(EXP($A10-AJ$7))),((LN((Conductance_Eeq!AJ9/MAX(Conductance_Eeq!AJ$7:AJ$27))))*(1.88E-23)*(25+273.15))/(EXP($A10-AJ$7))))</f>
        <v>-12317236130.288599</v>
      </c>
      <c r="AK10">
        <f>IF(ISBLANK(Conductance_Eeq!AK9),"",IF(Conductance_Eeq!AK9&lt;0,((LN(ABS(((Conductance_Eeq!AK9/MAX(Conductance_Eeq!AK$7:AK$27)))))*(1.88E-23)*(25+273.15))/(EXP($A10-AK$7))),((LN((Conductance_Eeq!AK9/MAX(Conductance_Eeq!AK$7:AK$27))))*(1.88E-23)*(25+273.15))/(EXP($A10-AK$7))))</f>
        <v>-10098204218.535707</v>
      </c>
      <c r="AL10">
        <f>IF(ISBLANK(Conductance_Eeq!AL9),"",IF(Conductance_Eeq!AL9&lt;0,((LN(ABS(((Conductance_Eeq!AL9/MAX(Conductance_Eeq!AL$7:AL$27)))))*(1.88E-23)*(25+273.15))/(EXP($A10-AL$7))),((LN((Conductance_Eeq!AL9/MAX(Conductance_Eeq!AL$7:AL$27))))*(1.88E-23)*(25+273.15))/(EXP($A10-AL$7))))</f>
        <v>-1081233491.5977199</v>
      </c>
      <c r="AM10">
        <f>IF(ISBLANK(Conductance_Eeq!AM9),"",IF(Conductance_Eeq!AM9&lt;0,((LN(ABS(((Conductance_Eeq!AM9/MAX(Conductance_Eeq!AM$7:AM$27)))))*(1.88E-23)*(25+273.15))/(EXP($A10-AM$7))),((LN((Conductance_Eeq!AM9/MAX(Conductance_Eeq!AM$7:AM$27))))*(1.88E-23)*(25+273.15))/(EXP($A10-AM$7))))</f>
        <v>-3648237843.2470961</v>
      </c>
      <c r="AN10">
        <f>IF(ISBLANK(Conductance_Eeq!AN9),"",IF(Conductance_Eeq!AN9&lt;0,((LN(ABS(((Conductance_Eeq!AN9/MAX(Conductance_Eeq!AN$7:AN$27)))))*(1.88E-23)*(25+273.15))/(EXP($A10-AN$7))),((LN((Conductance_Eeq!AN9/MAX(Conductance_Eeq!AN$7:AN$27))))*(1.88E-23)*(25+273.15))/(EXP($A10-AN$7))))</f>
        <v>-30631675117.977791</v>
      </c>
      <c r="AO10">
        <f>IF(ISBLANK(Conductance_Eeq!AO9),"",IF(Conductance_Eeq!AO9&lt;0,((LN(ABS(((Conductance_Eeq!AO9/MAX(Conductance_Eeq!AO$7:AO$27)))))*(1.88E-23)*(25+273.15))/(EXP($A10-AO$7))),((LN((Conductance_Eeq!AO9/MAX(Conductance_Eeq!AO$7:AO$27))))*(1.88E-23)*(25+273.15))/(EXP($A10-AO$7))))</f>
        <v>-17342181955.9566</v>
      </c>
      <c r="AP10">
        <f>IF(ISBLANK(Conductance_Eeq!AP9),"",IF(Conductance_Eeq!AP9&lt;0,((LN(ABS(((Conductance_Eeq!AP9/MAX(Conductance_Eeq!AP$7:AP$27)))))*(1.88E-23)*(25+273.15))/(EXP($A10-AP$7))),((LN((Conductance_Eeq!AP9/MAX(Conductance_Eeq!AP$7:AP$27))))*(1.88E-23)*(25+273.15))/(EXP($A10-AP$7))))</f>
        <v>-859978463.52143693</v>
      </c>
      <c r="AQ10">
        <f>IF(ISBLANK(Conductance_Eeq!AQ9),"",IF(Conductance_Eeq!AQ9&lt;0,((LN(ABS(((Conductance_Eeq!AQ9/MAX(Conductance_Eeq!AQ$7:AQ$27)))))*(1.88E-23)*(25+273.15))/(EXP($A10-AQ$7))),((LN((Conductance_Eeq!AQ9/MAX(Conductance_Eeq!AQ$7:AQ$27))))*(1.88E-23)*(25+273.15))/(EXP($A10-AQ$7))))</f>
        <v>-11745799393.295795</v>
      </c>
      <c r="AR10">
        <f>IF(ISBLANK(Conductance_Eeq!AR9),"",IF(Conductance_Eeq!AR9&lt;0,((LN(ABS(((Conductance_Eeq!AR9/MAX(Conductance_Eeq!AR$7:AR$27)))))*(1.88E-23)*(25+273.15))/(EXP($A10-AR$7))),((LN((Conductance_Eeq!AR9/MAX(Conductance_Eeq!AR$7:AR$27))))*(1.88E-23)*(25+273.15))/(EXP($A10-AR$7))))</f>
        <v>-4793121051.7827692</v>
      </c>
      <c r="AS10">
        <f>IF(ISBLANK(Conductance_Eeq!AS9),"",IF(Conductance_Eeq!AS9&lt;0,((LN(ABS(((Conductance_Eeq!AS9/MAX(Conductance_Eeq!AS$7:AS$27)))))*(1.88E-23)*(25+273.15))/(EXP($A10-AS$7))),((LN((Conductance_Eeq!AS9/MAX(Conductance_Eeq!AS$7:AS$27))))*(1.88E-23)*(25+273.15))/(EXP($A10-AS$7))))</f>
        <v>-3272852506.0147696</v>
      </c>
      <c r="AT10">
        <f>IF(ISBLANK(Conductance_Eeq!AT9),"",IF(Conductance_Eeq!AT9&lt;0,((LN(ABS(((Conductance_Eeq!AT9/MAX(Conductance_Eeq!AT$7:AT$27)))))*(1.88E-23)*(25+273.15))/(EXP($A10-AT$7))),((LN((Conductance_Eeq!AT9/MAX(Conductance_Eeq!AT$7:AT$27))))*(1.88E-23)*(25+273.15))/(EXP($A10-AT$7))))</f>
        <v>-15867405221.165531</v>
      </c>
      <c r="AU10">
        <f>IF(ISBLANK(Conductance_Eeq!AU9),"",IF(Conductance_Eeq!AU9&lt;0,((LN(ABS(((Conductance_Eeq!AU9/MAX(Conductance_Eeq!AU$7:AU$27)))))*(1.88E-23)*(25+273.15))/(EXP($A10-AU$7))),((LN((Conductance_Eeq!AU9/MAX(Conductance_Eeq!AU$7:AU$27))))*(1.88E-23)*(25+273.15))/(EXP($A10-AU$7))))</f>
        <v>-2217218852.7584662</v>
      </c>
      <c r="AV10">
        <f>IF(ISBLANK(Conductance_Eeq!AV9),"",IF(Conductance_Eeq!AV9&lt;0,((LN(ABS(((Conductance_Eeq!AV9/MAX(Conductance_Eeq!AV$7:AV$27)))))*(1.88E-23)*(25+273.15))/(EXP($A10-AV$7))),((LN((Conductance_Eeq!AV9/MAX(Conductance_Eeq!AV$7:AV$27))))*(1.88E-23)*(25+273.15))/(EXP($A10-AV$7))))</f>
        <v>-4567901674.6635313</v>
      </c>
      <c r="AW10">
        <f>IF(ISBLANK(Conductance_Eeq!AW9),"",IF(Conductance_Eeq!AW9&lt;0,((LN(ABS(((Conductance_Eeq!AW9/MAX(Conductance_Eeq!AW$7:AW$27)))))*(1.88E-23)*(25+273.15))/(EXP($A10-AW$7))),((LN((Conductance_Eeq!AW9/MAX(Conductance_Eeq!AW$7:AW$27))))*(1.88E-23)*(25+273.15))/(EXP($A10-AW$7))))</f>
        <v>-14138388598.597094</v>
      </c>
      <c r="AX10">
        <f>IF(ISBLANK(Conductance_Eeq!AX9),"",IF(Conductance_Eeq!AX9&lt;0,((LN(ABS(((Conductance_Eeq!AX9/MAX(Conductance_Eeq!AX$7:AX$27)))))*(1.88E-23)*(25+273.15))/(EXP($A10-AX$7))),((LN((Conductance_Eeq!AX9/MAX(Conductance_Eeq!AX$7:AX$27))))*(1.88E-23)*(25+273.15))/(EXP($A10-AX$7))))</f>
        <v>-24844366072.560989</v>
      </c>
      <c r="AY10">
        <f>IF(ISBLANK(Conductance_Eeq!AY9),"",IF(Conductance_Eeq!AY9&lt;0,((LN(ABS(((Conductance_Eeq!AY9/MAX(Conductance_Eeq!AY$7:AY$27)))))*(1.88E-23)*(25+273.15))/(EXP($A10-AY$7))),((LN((Conductance_Eeq!AY9/MAX(Conductance_Eeq!AY$7:AY$27))))*(1.88E-23)*(25+273.15))/(EXP($A10-AY$7))))</f>
        <v>-11857467029.681166</v>
      </c>
      <c r="AZ10">
        <f>IF(ISBLANK(Conductance_Eeq!AZ9),"",IF(Conductance_Eeq!AZ9&lt;0,((LN(ABS(((Conductance_Eeq!AZ9/MAX(Conductance_Eeq!AZ$7:AZ$27)))))*(1.88E-23)*(25+273.15))/(EXP($A10-AZ$7))),((LN((Conductance_Eeq!AZ9/MAX(Conductance_Eeq!AZ$7:AZ$27))))*(1.88E-23)*(25+273.15))/(EXP($A10-AZ$7))))</f>
        <v>-38547002785.91655</v>
      </c>
      <c r="BA10">
        <f>IF(ISBLANK(Conductance_Eeq!BA9),"",IF(Conductance_Eeq!BA9&lt;0,((LN(ABS(((Conductance_Eeq!BA9/MAX(Conductance_Eeq!BA$7:BA$27)))))*(1.88E-23)*(25+273.15))/(EXP($A10-BA$7))),((LN((Conductance_Eeq!BA9/MAX(Conductance_Eeq!BA$7:BA$27))))*(1.88E-23)*(25+273.15))/(EXP($A10-BA$7))))</f>
        <v>-40726661220.502953</v>
      </c>
      <c r="BD10">
        <f>IF(ISBLANK(Conductance_Eeq!BD9),"",IF(Conductance_Eeq!BD9&lt;0,((LN(ABS(((Conductance_Eeq!BD9/MAX(Conductance_Eeq!BD$7:BD$27)))))*(1.88E-23)*(25+273.15))/(EXP($A10-BD$7))),((LN((Conductance_Eeq!BD9/MAX(Conductance_Eeq!BD$7:BD$27))))*(1.88E-23)*(25+273.15))/(EXP($A10-BD$7))))</f>
        <v>-2257209170.8685336</v>
      </c>
      <c r="BF10">
        <f>IF(ISBLANK(Conductance_Eeq!BF9),"",IF(Conductance_Eeq!BF9&lt;0,((LN(ABS(((Conductance_Eeq!BF9/MAX(Conductance_Eeq!BF$7:BF$27)))))*(1.88E-23)*(25+273.15))/(EXP($A10-BF$7))),((LN((Conductance_Eeq!BF9/MAX(Conductance_Eeq!BF$7:BF$27))))*(1.88E-23)*(25+273.15))/(EXP($A10-BF$7))))</f>
        <v>-5570389905.0880117</v>
      </c>
      <c r="BG10">
        <f>IF(ISBLANK(Conductance_Eeq!BG9),"",IF(Conductance_Eeq!BG9&lt;0,((LN(ABS(((Conductance_Eeq!BG9/MAX(Conductance_Eeq!BG$7:BG$27)))))*(1.88E-23)*(25+273.15))/(EXP($A10-BG$7))),((LN((Conductance_Eeq!BG9/MAX(Conductance_Eeq!BG$7:BG$27))))*(1.88E-23)*(25+273.15))/(EXP($A10-BG$7))))</f>
        <v>-131131960496.57088</v>
      </c>
      <c r="BH10">
        <f>IF(ISBLANK(Conductance_Eeq!BH9),"",IF(Conductance_Eeq!BH9&lt;0,((LN(ABS(((Conductance_Eeq!BH9/MAX(Conductance_Eeq!BH$7:BH$27)))))*(1.88E-23)*(25+273.15))/(EXP($A10-BH$7))),((LN((Conductance_Eeq!BH9/MAX(Conductance_Eeq!BH$7:BH$27))))*(1.88E-23)*(25+273.15))/(EXP($A10-BH$7))))</f>
        <v>-1342113464.447541</v>
      </c>
      <c r="BI10">
        <f>IF(ISBLANK(Conductance_Eeq!BI9),"",IF(Conductance_Eeq!BI9&lt;0,((LN(ABS(((Conductance_Eeq!BI9/MAX(Conductance_Eeq!BI$7:BI$27)))))*(1.88E-23)*(25+273.15))/(EXP($A10-BI$7))),((LN((Conductance_Eeq!BI9/MAX(Conductance_Eeq!BI$7:BI$27))))*(1.88E-23)*(25+273.15))/(EXP($A10-BI$7))))</f>
        <v>-1494920833.582834</v>
      </c>
      <c r="BJ10">
        <f>IF(ISBLANK(Conductance_Eeq!BJ9),"",IF(Conductance_Eeq!BJ9&lt;0,((LN(ABS(((Conductance_Eeq!BJ9/MAX(Conductance_Eeq!BJ$7:BJ$27)))))*(1.88E-23)*(25+273.15))/(EXP($A10-BJ$7))),((LN((Conductance_Eeq!BJ9/MAX(Conductance_Eeq!BJ$7:BJ$27))))*(1.88E-23)*(25+273.15))/(EXP($A10-BJ$7))))</f>
        <v>-10831115986.076178</v>
      </c>
      <c r="BK10">
        <f>IF(ISBLANK(Conductance_Eeq!BK9),"",IF(Conductance_Eeq!BK9&lt;0,((LN(ABS(((Conductance_Eeq!BK9/MAX(Conductance_Eeq!BK$7:BK$27)))))*(1.88E-23)*(25+273.15))/(EXP($A10-BK$7))),((LN((Conductance_Eeq!BK9/MAX(Conductance_Eeq!BK$7:BK$27))))*(1.88E-23)*(25+273.15))/(EXP($A10-BK$7))))</f>
        <v>-13377668347.12517</v>
      </c>
      <c r="BL10">
        <f>IF(ISBLANK(Conductance_Eeq!BL9),"",IF(Conductance_Eeq!BL9&lt;0,((LN(ABS(((Conductance_Eeq!BL9/MAX(Conductance_Eeq!BL$7:BL$27)))))*(1.88E-23)*(25+273.15))/(EXP($A10-BL$7))),((LN((Conductance_Eeq!BL9/MAX(Conductance_Eeq!BL$7:BL$27))))*(1.88E-23)*(25+273.15))/(EXP($A10-BL$7))))</f>
        <v>-6626448938.8527002</v>
      </c>
      <c r="BM10">
        <f>IF(ISBLANK(Conductance_Eeq!BM9),"",IF(Conductance_Eeq!BM9&lt;0,((LN(ABS(((Conductance_Eeq!BM9/MAX(Conductance_Eeq!BM$7:BM$27)))))*(1.88E-23)*(25+273.15))/(EXP($A10-BM$7))),((LN((Conductance_Eeq!BM9/MAX(Conductance_Eeq!BM$7:BM$27))))*(1.88E-23)*(25+273.15))/(EXP($A10-BM$7))))</f>
        <v>-16825086434.133352</v>
      </c>
      <c r="BN10">
        <f>IF(ISBLANK(Conductance_Eeq!BN9),"",IF(Conductance_Eeq!BN9&lt;0,((LN(ABS(((Conductance_Eeq!BN9/MAX(Conductance_Eeq!BN$7:BN$27)))))*(1.88E-23)*(25+273.15))/(EXP($A10-BN$7))),((LN((Conductance_Eeq!BN9/MAX(Conductance_Eeq!BN$7:BN$27))))*(1.88E-23)*(25+273.15))/(EXP($A10-BN$7))))</f>
        <v>-537556050.95446217</v>
      </c>
      <c r="BO10">
        <f>IF(ISBLANK(Conductance_Eeq!BO9),"",IF(Conductance_Eeq!BO9&lt;0,((LN(ABS(((Conductance_Eeq!BO9/MAX(Conductance_Eeq!BO$7:BO$27)))))*(1.88E-23)*(25+273.15))/(EXP($A10-BO$7))),((LN((Conductance_Eeq!BO9/MAX(Conductance_Eeq!BO$7:BO$27))))*(1.88E-23)*(25+273.15))/(EXP($A10-BO$7))))</f>
        <v>-401929375.35013252</v>
      </c>
      <c r="BP10">
        <f>IF(ISBLANK(Conductance_Eeq!BP9),"",IF(Conductance_Eeq!BP9&lt;0,((LN(ABS(((Conductance_Eeq!BP9/MAX(Conductance_Eeq!BP$7:BP$27)))))*(1.88E-23)*(25+273.15))/(EXP($A10-BP$7))),((LN((Conductance_Eeq!BP9/MAX(Conductance_Eeq!BP$7:BP$27))))*(1.88E-23)*(25+273.15))/(EXP($A10-BP$7))))</f>
        <v>-3096301860.4356332</v>
      </c>
      <c r="BQ10">
        <f>IF(ISBLANK(Conductance_Eeq!BQ9),"",IF(Conductance_Eeq!BQ9&lt;0,((LN(ABS(((Conductance_Eeq!BQ9/MAX(Conductance_Eeq!BQ$7:BQ$27)))))*(1.88E-23)*(25+273.15))/(EXP($A10-BQ$7))),((LN((Conductance_Eeq!BQ9/MAX(Conductance_Eeq!BQ$7:BQ$27))))*(1.88E-23)*(25+273.15))/(EXP($A10-BQ$7))))</f>
        <v>-15195559796.85041</v>
      </c>
      <c r="BR10">
        <f>IF(ISBLANK(Conductance_Eeq!BR9),"",IF(Conductance_Eeq!BR9&lt;0,((LN(ABS(((Conductance_Eeq!BR9/MAX(Conductance_Eeq!BR$7:BR$27)))))*(1.88E-23)*(25+273.15))/(EXP($A10-BR$7))),((LN((Conductance_Eeq!BR9/MAX(Conductance_Eeq!BR$7:BR$27))))*(1.88E-23)*(25+273.15))/(EXP($A10-BR$7))))</f>
        <v>-1595262016.0585563</v>
      </c>
      <c r="BS10">
        <f>IF(ISBLANK(Conductance_Eeq!BS9),"",IF(Conductance_Eeq!BS9&lt;0,((LN(ABS(((Conductance_Eeq!BS9/MAX(Conductance_Eeq!BS$7:BS$27)))))*(1.88E-23)*(25+273.15))/(EXP($A10-BS$7))),((LN((Conductance_Eeq!BS9/MAX(Conductance_Eeq!BS$7:BS$27))))*(1.88E-23)*(25+273.15))/(EXP($A10-BS$7))))</f>
        <v>-2801187966.6859612</v>
      </c>
      <c r="BT10">
        <f>IF(ISBLANK(Conductance_Eeq!BT9),"",IF(Conductance_Eeq!BT9&lt;0,((LN(ABS(((Conductance_Eeq!BT9/MAX(Conductance_Eeq!BT$7:BT$27)))))*(1.88E-23)*(25+273.15))/(EXP($A10-BT$7))),((LN((Conductance_Eeq!BT9/MAX(Conductance_Eeq!BT$7:BT$27))))*(1.88E-23)*(25+273.15))/(EXP($A10-BT$7))))</f>
        <v>-9298187562.6147537</v>
      </c>
      <c r="BU10">
        <f>IF(ISBLANK(Conductance_Eeq!BU9),"",IF(Conductance_Eeq!BU9&lt;0,((LN(ABS(((Conductance_Eeq!BU9/MAX(Conductance_Eeq!BU$7:BU$27)))))*(1.88E-23)*(25+273.15))/(EXP($A10-BU$7))),((LN((Conductance_Eeq!BU9/MAX(Conductance_Eeq!BU$7:BU$27))))*(1.88E-23)*(25+273.15))/(EXP($A10-BU$7))))</f>
        <v>-38464484130.70726</v>
      </c>
      <c r="BV10">
        <f>IF(ISBLANK(Conductance_Eeq!BV9),"",IF(Conductance_Eeq!BV9&lt;0,((LN(ABS(((Conductance_Eeq!BV9/MAX(Conductance_Eeq!BV$7:BV$27)))))*(1.88E-23)*(25+273.15))/(EXP($A10-BV$7))),((LN((Conductance_Eeq!BV9/MAX(Conductance_Eeq!BV$7:BV$27))))*(1.88E-23)*(25+273.15))/(EXP($A10-BV$7))))</f>
        <v>-9339570255.3236618</v>
      </c>
      <c r="BW10">
        <f>IF(ISBLANK(Conductance_Eeq!BW9),"",IF(Conductance_Eeq!BW9&lt;0,((LN(ABS(((Conductance_Eeq!BW9/MAX(Conductance_Eeq!BW$7:BW$27)))))*(1.88E-23)*(25+273.15))/(EXP($A10-BW$7))),((LN((Conductance_Eeq!BW9/MAX(Conductance_Eeq!BW$7:BW$27))))*(1.88E-23)*(25+273.15))/(EXP($A10-BW$7))))</f>
        <v>-12840304260.809765</v>
      </c>
      <c r="BX10">
        <f>IF(ISBLANK(Conductance_Eeq!BX9),"",IF(Conductance_Eeq!BX9&lt;0,((LN(ABS(((Conductance_Eeq!BX9/MAX(Conductance_Eeq!BX$7:BX$27)))))*(1.88E-23)*(25+273.15))/(EXP($A10-BX$7))),((LN((Conductance_Eeq!BX9/MAX(Conductance_Eeq!BX$7:BX$27))))*(1.88E-23)*(25+273.15))/(EXP($A10-BX$7))))</f>
        <v>-16236119739.787498</v>
      </c>
      <c r="BY10">
        <f>IF(ISBLANK(Conductance_Eeq!BY9),"",IF(Conductance_Eeq!BY9&lt;0,((LN(ABS(((Conductance_Eeq!BY9/MAX(Conductance_Eeq!BY$7:BY$27)))))*(1.88E-23)*(25+273.15))/(EXP($A10-BY$7))),((LN((Conductance_Eeq!BY9/MAX(Conductance_Eeq!BY$7:BY$27))))*(1.88E-23)*(25+273.15))/(EXP($A10-BY$7))))</f>
        <v>-457548096.49607348</v>
      </c>
      <c r="BZ10">
        <f>IF(ISBLANK(Conductance_Eeq!BZ9),"",IF(Conductance_Eeq!BZ9&lt;0,((LN(ABS(((Conductance_Eeq!BZ9/MAX(Conductance_Eeq!BZ$7:BZ$27)))))*(1.88E-23)*(25+273.15))/(EXP($A10-BZ$7))),((LN((Conductance_Eeq!BZ9/MAX(Conductance_Eeq!BZ$7:BZ$27))))*(1.88E-23)*(25+273.15))/(EXP($A10-BZ$7))))</f>
        <v>-2768054971.5163217</v>
      </c>
      <c r="CA10">
        <f>IF(ISBLANK(Conductance_Eeq!CA9),"",IF(Conductance_Eeq!CA9&lt;0,((LN(ABS(((Conductance_Eeq!CA9/MAX(Conductance_Eeq!CA$7:CA$27)))))*(1.88E-23)*(25+273.15))/(EXP($A10-CA$7))),((LN((Conductance_Eeq!CA9/MAX(Conductance_Eeq!CA$7:CA$27))))*(1.88E-23)*(25+273.15))/(EXP($A10-CA$7))))</f>
        <v>-6003469782.2370853</v>
      </c>
      <c r="CB10">
        <f>IF(ISBLANK(Conductance_Eeq!CB9),"",IF(Conductance_Eeq!CB9&lt;0,((LN(ABS(((Conductance_Eeq!CB9/MAX(Conductance_Eeq!CB$7:CB$27)))))*(1.88E-23)*(25+273.15))/(EXP($A10-CB$7))),((LN((Conductance_Eeq!CB9/MAX(Conductance_Eeq!CB$7:CB$27))))*(1.88E-23)*(25+273.15))/(EXP($A10-CB$7))))</f>
        <v>-41247690211.653053</v>
      </c>
      <c r="CC10">
        <f>IF(ISBLANK(Conductance_Eeq!CC9),"",IF(Conductance_Eeq!CC9&lt;0,((LN(ABS(((Conductance_Eeq!CC9/MAX(Conductance_Eeq!CC$7:CC$27)))))*(1.88E-23)*(25+273.15))/(EXP($A10-CC$7))),((LN((Conductance_Eeq!CC9/MAX(Conductance_Eeq!CC$7:CC$27))))*(1.88E-23)*(25+273.15))/(EXP($A10-CC$7))))</f>
        <v>-1757243945768.781</v>
      </c>
      <c r="CD10">
        <f>IF(ISBLANK(Conductance_Eeq!CD9),"",IF(Conductance_Eeq!CD9&lt;0,((LN(ABS(((Conductance_Eeq!CD9/MAX(Conductance_Eeq!CD$7:CD$27)))))*(1.88E-23)*(25+273.15))/(EXP($A10-CD$7))),((LN((Conductance_Eeq!CD9/MAX(Conductance_Eeq!CD$7:CD$27))))*(1.88E-23)*(25+273.15))/(EXP($A10-CD$7))))</f>
        <v>-33859431985.41848</v>
      </c>
    </row>
    <row r="11" spans="1:96" x14ac:dyDescent="0.2">
      <c r="A11" s="3">
        <f t="shared" si="0"/>
        <v>-50</v>
      </c>
      <c r="B11">
        <f>IF(ISBLANK(Conductance_Eeq!B10),"",IF(Conductance_Eeq!B10&lt;0,((LN(ABS(((Conductance_Eeq!B10/MAX(Conductance_Eeq!B$7:B$27)))))*(1.88E-23)*(25+273.15))/(EXP($A11-B$7))),((LN((Conductance_Eeq!B10/MAX(Conductance_Eeq!B$7:B$27))))*(1.88E-23)*(25+273.15))/(EXP($A11-B$7))))</f>
        <v>-1871188.2753116565</v>
      </c>
      <c r="C11">
        <f>IF(ISBLANK(Conductance_Eeq!C10),"",IF(Conductance_Eeq!C10&lt;0,((LN(ABS(((Conductance_Eeq!C10/MAX(Conductance_Eeq!C$7:C$27)))))*(1.88E-23)*(25+273.15))/(EXP($A11-C$7))),((LN((Conductance_Eeq!C10/MAX(Conductance_Eeq!C$7:C$27))))*(1.88E-23)*(25+273.15))/(EXP($A11-C$7))))</f>
        <v>-602105.04981014098</v>
      </c>
      <c r="D11">
        <f>IF(ISBLANK(Conductance_Eeq!D10),"",IF(Conductance_Eeq!D10&lt;0,((LN(ABS(((Conductance_Eeq!D10/MAX(Conductance_Eeq!D$7:D$27)))))*(1.88E-23)*(25+273.15))/(EXP($A11-D$7))),((LN((Conductance_Eeq!D10/MAX(Conductance_Eeq!D$7:D$27))))*(1.88E-23)*(25+273.15))/(EXP($A11-D$7))))</f>
        <v>-120718.85726304248</v>
      </c>
      <c r="E11">
        <f>IF(ISBLANK(Conductance_Eeq!E10),"",IF(Conductance_Eeq!E10&lt;0,((LN(ABS(((Conductance_Eeq!E10/MAX(Conductance_Eeq!E$7:E$27)))))*(1.88E-23)*(25+273.15))/(EXP($A11-E$7))),((LN((Conductance_Eeq!E10/MAX(Conductance_Eeq!E$7:E$27))))*(1.88E-23)*(25+273.15))/(EXP($A11-E$7))))</f>
        <v>-43157.508757884403</v>
      </c>
      <c r="F11">
        <f>IF(ISBLANK(Conductance_Eeq!F10),"",IF(Conductance_Eeq!F10&lt;0,((LN(ABS(((Conductance_Eeq!F10/MAX(Conductance_Eeq!F$7:F$27)))))*(1.88E-23)*(25+273.15))/(EXP($A11-F$7))),((LN((Conductance_Eeq!F10/MAX(Conductance_Eeq!F$7:F$27))))*(1.88E-23)*(25+273.15))/(EXP($A11-F$7))))</f>
        <v>-1212434.1187660729</v>
      </c>
      <c r="G11">
        <f>IF(ISBLANK(Conductance_Eeq!G10),"",IF(Conductance_Eeq!G10&lt;0,((LN(ABS(((Conductance_Eeq!G10/MAX(Conductance_Eeq!G$7:G$27)))))*(1.88E-23)*(25+273.15))/(EXP($A11-G$7))),((LN((Conductance_Eeq!G10/MAX(Conductance_Eeq!G$7:G$27))))*(1.88E-23)*(25+273.15))/(EXP($A11-G$7))))</f>
        <v>-1212434.1187660729</v>
      </c>
      <c r="H11">
        <f>IF(ISBLANK(Conductance_Eeq!H10),"",IF(Conductance_Eeq!H10&lt;0,((LN(ABS(((Conductance_Eeq!H10/MAX(Conductance_Eeq!H$7:H$27)))))*(1.88E-23)*(25+273.15))/(EXP($A11-H$7))),((LN((Conductance_Eeq!H10/MAX(Conductance_Eeq!H$7:H$27))))*(1.88E-23)*(25+273.15))/(EXP($A11-H$7))))</f>
        <v>-1434799.6977510659</v>
      </c>
      <c r="I11">
        <f>IF(ISBLANK(Conductance_Eeq!I10),"",IF(Conductance_Eeq!I10&lt;0,((LN(ABS(((Conductance_Eeq!I10/MAX(Conductance_Eeq!I$7:I$27)))))*(1.88E-23)*(25+273.15))/(EXP($A11-I$7))),((LN((Conductance_Eeq!I10/MAX(Conductance_Eeq!I$7:I$27))))*(1.88E-23)*(25+273.15))/(EXP($A11-I$7))))</f>
        <v>-4754.9978549739981</v>
      </c>
      <c r="J11">
        <f>IF(ISBLANK(Conductance_Eeq!J10),"",IF(Conductance_Eeq!J10&lt;0,((LN(ABS(((Conductance_Eeq!J10/MAX(Conductance_Eeq!J$7:J$27)))))*(1.88E-23)*(25+273.15))/(EXP($A11-J$7))),((LN((Conductance_Eeq!J10/MAX(Conductance_Eeq!J$7:J$27))))*(1.88E-23)*(25+273.15))/(EXP($A11-J$7))))</f>
        <v>-17791.5724452125</v>
      </c>
      <c r="K11">
        <f>IF(ISBLANK(Conductance_Eeq!K10),"",IF(Conductance_Eeq!K10&lt;0,((LN(ABS(((Conductance_Eeq!K10/MAX(Conductance_Eeq!K$7:K$27)))))*(1.88E-23)*(25+273.15))/(EXP($A11-K$7))),((LN((Conductance_Eeq!K10/MAX(Conductance_Eeq!K$7:K$27))))*(1.88E-23)*(25+273.15))/(EXP($A11-K$7))))</f>
        <v>-748689.12479586666</v>
      </c>
      <c r="L11">
        <f>IF(ISBLANK(Conductance_Eeq!L10),"",IF(Conductance_Eeq!L10&lt;0,((LN(ABS(((Conductance_Eeq!L10/MAX(Conductance_Eeq!L$7:L$27)))))*(1.88E-23)*(25+273.15))/(EXP($A11-L$7))),((LN((Conductance_Eeq!L10/MAX(Conductance_Eeq!L$7:L$27))))*(1.88E-23)*(25+273.15))/(EXP($A11-L$7))))</f>
        <v>-91663.264546174731</v>
      </c>
      <c r="M11">
        <f>IF(ISBLANK(Conductance_Eeq!M10),"",IF(Conductance_Eeq!M10&lt;0,((LN(ABS(((Conductance_Eeq!M10/MAX(Conductance_Eeq!M$7:M$27)))))*(1.88E-23)*(25+273.15))/(EXP($A11-M$7))),((LN((Conductance_Eeq!M10/MAX(Conductance_Eeq!M$7:M$27))))*(1.88E-23)*(25+273.15))/(EXP($A11-M$7))))</f>
        <v>-60803.718405781648</v>
      </c>
      <c r="N11">
        <f>IF(ISBLANK(Conductance_Eeq!N10),"",IF(Conductance_Eeq!N10&lt;0,((LN(ABS(((Conductance_Eeq!N10/MAX(Conductance_Eeq!N$7:N$27)))))*(1.88E-23)*(25+273.15))/(EXP($A11-N$7))),((LN((Conductance_Eeq!N10/MAX(Conductance_Eeq!N$7:N$27))))*(1.88E-23)*(25+273.15))/(EXP($A11-N$7))))</f>
        <v>-4160.7650804147679</v>
      </c>
      <c r="O11">
        <f>IF(ISBLANK(Conductance_Eeq!O10),"",IF(Conductance_Eeq!O10&lt;0,((LN(ABS(((Conductance_Eeq!O10/MAX(Conductance_Eeq!O$7:O$27)))))*(1.88E-23)*(25+273.15))/(EXP($A11-O$7))),((LN((Conductance_Eeq!O10/MAX(Conductance_Eeq!O$7:O$27))))*(1.88E-23)*(25+273.15))/(EXP($A11-O$7))))</f>
        <v>-27567.810784421512</v>
      </c>
      <c r="P11">
        <f>IF(ISBLANK(Conductance_Eeq!P10),"",IF(Conductance_Eeq!P10&lt;0,((LN(ABS(((Conductance_Eeq!P10/MAX(Conductance_Eeq!P$7:P$27)))))*(1.88E-23)*(25+273.15))/(EXP($A11-P$7))),((LN((Conductance_Eeq!P10/MAX(Conductance_Eeq!P$7:P$27))))*(1.88E-23)*(25+273.15))/(EXP($A11-P$7))))</f>
        <v>-11841.22994520732</v>
      </c>
      <c r="Q11">
        <f>IF(ISBLANK(Conductance_Eeq!Q10),"",IF(Conductance_Eeq!Q10&lt;0,((LN(ABS(((Conductance_Eeq!Q10/MAX(Conductance_Eeq!Q$7:Q$27)))))*(1.88E-23)*(25+273.15))/(EXP($A11-Q$7))),((LN((Conductance_Eeq!Q10/MAX(Conductance_Eeq!Q$7:Q$27))))*(1.88E-23)*(25+273.15))/(EXP($A11-Q$7))))</f>
        <v>-212020.91609986845</v>
      </c>
      <c r="R11">
        <f>IF(ISBLANK(Conductance_Eeq!R10),"",IF(Conductance_Eeq!R10&lt;0,((LN(ABS(((Conductance_Eeq!R10/MAX(Conductance_Eeq!R$7:R$27)))))*(1.88E-23)*(25+273.15))/(EXP($A11-R$7))),((LN((Conductance_Eeq!R10/MAX(Conductance_Eeq!R$7:R$27))))*(1.88E-23)*(25+273.15))/(EXP($A11-R$7))))</f>
        <v>-165870.62942726101</v>
      </c>
      <c r="S11">
        <f>IF(ISBLANK(Conductance_Eeq!S10),"",IF(Conductance_Eeq!S10&lt;0,((LN(ABS(((Conductance_Eeq!S10/MAX(Conductance_Eeq!S$7:S$27)))))*(1.88E-23)*(25+273.15))/(EXP($A11-S$7))),((LN((Conductance_Eeq!S10/MAX(Conductance_Eeq!S$7:S$27))))*(1.88E-23)*(25+273.15))/(EXP($A11-S$7))))</f>
        <v>-1070758.3464050647</v>
      </c>
      <c r="T11">
        <f>IF(ISBLANK(Conductance_Eeq!T10),"",IF(Conductance_Eeq!T10&lt;0,((LN(ABS(((Conductance_Eeq!T10/MAX(Conductance_Eeq!T$7:T$27)))))*(1.88E-23)*(25+273.15))/(EXP($A11-T$7))),((LN((Conductance_Eeq!T10/MAX(Conductance_Eeq!T$7:T$27))))*(1.88E-23)*(25+273.15))/(EXP($A11-T$7))))</f>
        <v>-376116.75382965629</v>
      </c>
      <c r="U11">
        <f>IF(ISBLANK(Conductance_Eeq!U10),"",IF(Conductance_Eeq!U10&lt;0,((LN(ABS(((Conductance_Eeq!U10/MAX(Conductance_Eeq!U$7:U$27)))))*(1.88E-23)*(25+273.15))/(EXP($A11-U$7))),((LN((Conductance_Eeq!U10/MAX(Conductance_Eeq!U$7:U$27))))*(1.88E-23)*(25+273.15))/(EXP($A11-U$7))))</f>
        <v>-32400.013989722804</v>
      </c>
      <c r="V11">
        <f>IF(ISBLANK(Conductance_Eeq!V10),"",IF(Conductance_Eeq!V10&lt;0,((LN(ABS(((Conductance_Eeq!V10/MAX(Conductance_Eeq!V$7:V$27)))))*(1.88E-23)*(25+273.15))/(EXP($A11-V$7))),((LN((Conductance_Eeq!V10/MAX(Conductance_Eeq!V$7:V$27))))*(1.88E-23)*(25+273.15))/(EXP($A11-V$7))))</f>
        <v>-568682.88366230123</v>
      </c>
      <c r="W11">
        <f>IF(ISBLANK(Conductance_Eeq!W10),"",IF(Conductance_Eeq!W10&lt;0,((LN(ABS(((Conductance_Eeq!W10/MAX(Conductance_Eeq!W$7:W$27)))))*(1.88E-23)*(25+273.15))/(EXP($A11-W$7))),((LN((Conductance_Eeq!W10/MAX(Conductance_Eeq!W$7:W$27))))*(1.88E-23)*(25+273.15))/(EXP($A11-W$7))))</f>
        <v>-20276.756900233566</v>
      </c>
      <c r="X11">
        <f>IF(ISBLANK(Conductance_Eeq!X10),"",IF(Conductance_Eeq!X10&lt;0,((LN(ABS(((Conductance_Eeq!X10/MAX(Conductance_Eeq!X$7:X$27)))))*(1.88E-23)*(25+273.15))/(EXP($A11-X$7))),((LN((Conductance_Eeq!X10/MAX(Conductance_Eeq!X$7:X$27))))*(1.88E-23)*(25+273.15))/(EXP($A11-X$7))))</f>
        <v>-148209.34471200942</v>
      </c>
      <c r="Y11">
        <f>IF(ISBLANK(Conductance_Eeq!Y10),"",IF(Conductance_Eeq!Y10&lt;0,((LN(ABS(((Conductance_Eeq!Y10/MAX(Conductance_Eeq!Y$7:Y$27)))))*(1.88E-23)*(25+273.15))/(EXP($A11-Y$7))),((LN((Conductance_Eeq!Y10/MAX(Conductance_Eeq!Y$7:Y$27))))*(1.88E-23)*(25+273.15))/(EXP($A11-Y$7))))</f>
        <v>-117145.18087348812</v>
      </c>
      <c r="Z11">
        <f>IF(ISBLANK(Conductance_Eeq!Z10),"",IF(Conductance_Eeq!Z10&lt;0,((LN(ABS(((Conductance_Eeq!Z10/MAX(Conductance_Eeq!Z$7:Z$27)))))*(1.88E-23)*(25+273.15))/(EXP($A11-Z$7))),((LN((Conductance_Eeq!Z10/MAX(Conductance_Eeq!Z$7:Z$27))))*(1.88E-23)*(25+273.15))/(EXP($A11-Z$7))))</f>
        <v>-1055305.7681202779</v>
      </c>
      <c r="AA11">
        <f>IF(ISBLANK(Conductance_Eeq!AA10),"",IF(Conductance_Eeq!AA10&lt;0,((LN(ABS(((Conductance_Eeq!AA10/MAX(Conductance_Eeq!AA$7:AA$27)))))*(1.88E-23)*(25+273.15))/(EXP($A11-AA$7))),((LN((Conductance_Eeq!AA10/MAX(Conductance_Eeq!AA$7:AA$27))))*(1.88E-23)*(25+273.15))/(EXP($A11-AA$7))))</f>
        <v>-649947.52277606761</v>
      </c>
      <c r="AB11">
        <f>IF(ISBLANK(Conductance_Eeq!AB10),"",IF(Conductance_Eeq!AB10&lt;0,((LN(ABS(((Conductance_Eeq!AB10/MAX(Conductance_Eeq!AB$7:AB$27)))))*(1.88E-23)*(25+273.15))/(EXP($A11-AB$7))),((LN((Conductance_Eeq!AB10/MAX(Conductance_Eeq!AB$7:AB$27))))*(1.88E-23)*(25+273.15))/(EXP($A11-AB$7))))</f>
        <v>-82824.850585524022</v>
      </c>
      <c r="AC11">
        <f>IF(ISBLANK(Conductance_Eeq!AC10),"",IF(Conductance_Eeq!AC10&lt;0,((LN(ABS(((Conductance_Eeq!AC10/MAX(Conductance_Eeq!AC$7:AC$27)))))*(1.88E-23)*(25+273.15))/(EXP($A11-AC$7))),((LN((Conductance_Eeq!AC10/MAX(Conductance_Eeq!AC$7:AC$27))))*(1.88E-23)*(25+273.15))/(EXP($A11-AC$7))))</f>
        <v>-141840.47787864399</v>
      </c>
      <c r="AD11">
        <f>IF(ISBLANK(Conductance_Eeq!AD10),"",IF(Conductance_Eeq!AD10&lt;0,((LN(ABS(((Conductance_Eeq!AD10/MAX(Conductance_Eeq!AD$7:AD$27)))))*(1.88E-23)*(25+273.15))/(EXP($A11-AD$7))),((LN((Conductance_Eeq!AD10/MAX(Conductance_Eeq!AD$7:AD$27))))*(1.88E-23)*(25+273.15))/(EXP($A11-AD$7))))</f>
        <v>-98931.599589736055</v>
      </c>
      <c r="AE11">
        <f>IF(ISBLANK(Conductance_Eeq!AE10),"",IF(Conductance_Eeq!AE10&lt;0,((LN(ABS(((Conductance_Eeq!AE10/MAX(Conductance_Eeq!AE$7:AE$27)))))*(1.88E-23)*(25+273.15))/(EXP($A11-AE$7))),((LN((Conductance_Eeq!AE10/MAX(Conductance_Eeq!AE$7:AE$27))))*(1.88E-23)*(25+273.15))/(EXP($A11-AE$7))))</f>
        <v>-43436138.770643704</v>
      </c>
      <c r="AF11">
        <f>IF(ISBLANK(Conductance_Eeq!AF10),"",IF(Conductance_Eeq!AF10&lt;0,((LN(ABS(((Conductance_Eeq!AF10/MAX(Conductance_Eeq!AF$7:AF$27)))))*(1.88E-23)*(25+273.15))/(EXP($A11-AF$7))),((LN((Conductance_Eeq!AF10/MAX(Conductance_Eeq!AF$7:AF$27))))*(1.88E-23)*(25+273.15))/(EXP($A11-AF$7))))</f>
        <v>-801594.83994716103</v>
      </c>
      <c r="AG11">
        <f>IF(ISBLANK(Conductance_Eeq!AG10),"",IF(Conductance_Eeq!AG10&lt;0,((LN(ABS(((Conductance_Eeq!AG10/MAX(Conductance_Eeq!AG$7:AG$27)))))*(1.88E-23)*(25+273.15))/(EXP($A11-AG$7))),((LN((Conductance_Eeq!AG10/MAX(Conductance_Eeq!AG$7:AG$27))))*(1.88E-23)*(25+273.15))/(EXP($A11-AG$7))))</f>
        <v>-1045894.3296255531</v>
      </c>
      <c r="AH11">
        <f>IF(ISBLANK(Conductance_Eeq!AH10),"",IF(Conductance_Eeq!AH10&lt;0,((LN(ABS(((Conductance_Eeq!AH10/MAX(Conductance_Eeq!AH$7:AH$27)))))*(1.88E-23)*(25+273.15))/(EXP($A11-AH$7))),((LN((Conductance_Eeq!AH10/MAX(Conductance_Eeq!AH$7:AH$27))))*(1.88E-23)*(25+273.15))/(EXP($A11-AH$7))))</f>
        <v>-263378.57882149518</v>
      </c>
      <c r="AI11">
        <f>IF(ISBLANK(Conductance_Eeq!AI10),"",IF(Conductance_Eeq!AI10&lt;0,((LN(ABS(((Conductance_Eeq!AI10/MAX(Conductance_Eeq!AI$7:AI$27)))))*(1.88E-23)*(25+273.15))/(EXP($A11-AI$7))),((LN((Conductance_Eeq!AI10/MAX(Conductance_Eeq!AI$7:AI$27))))*(1.88E-23)*(25+273.15))/(EXP($A11-AI$7))))</f>
        <v>-180108.51000788849</v>
      </c>
      <c r="AJ11">
        <f>IF(ISBLANK(Conductance_Eeq!AJ10),"",IF(Conductance_Eeq!AJ10&lt;0,((LN(ABS(((Conductance_Eeq!AJ10/MAX(Conductance_Eeq!AJ$7:AJ$27)))))*(1.88E-23)*(25+273.15))/(EXP($A11-AJ$7))),((LN((Conductance_Eeq!AJ10/MAX(Conductance_Eeq!AJ$7:AJ$27))))*(1.88E-23)*(25+273.15))/(EXP($A11-AJ$7))))</f>
        <v>-322063.04189472663</v>
      </c>
      <c r="AK11">
        <f>IF(ISBLANK(Conductance_Eeq!AK10),"",IF(Conductance_Eeq!AK10&lt;0,((LN(ABS(((Conductance_Eeq!AK10/MAX(Conductance_Eeq!AK$7:AK$27)))))*(1.88E-23)*(25+273.15))/(EXP($A11-AK$7))),((LN((Conductance_Eeq!AK10/MAX(Conductance_Eeq!AK$7:AK$27))))*(1.88E-23)*(25+273.15))/(EXP($A11-AK$7))))</f>
        <v>-454428.55814782705</v>
      </c>
      <c r="AL11">
        <f>IF(ISBLANK(Conductance_Eeq!AL10),"",IF(Conductance_Eeq!AL10&lt;0,((LN(ABS(((Conductance_Eeq!AL10/MAX(Conductance_Eeq!AL$7:AL$27)))))*(1.88E-23)*(25+273.15))/(EXP($A11-AL$7))),((LN((Conductance_Eeq!AL10/MAX(Conductance_Eeq!AL$7:AL$27))))*(1.88E-23)*(25+273.15))/(EXP($A11-AL$7))))</f>
        <v>-45836.184123861218</v>
      </c>
      <c r="AM11">
        <f>IF(ISBLANK(Conductance_Eeq!AM10),"",IF(Conductance_Eeq!AM10&lt;0,((LN(ABS(((Conductance_Eeq!AM10/MAX(Conductance_Eeq!AM$7:AM$27)))))*(1.88E-23)*(25+273.15))/(EXP($A11-AM$7))),((LN((Conductance_Eeq!AM10/MAX(Conductance_Eeq!AM$7:AM$27))))*(1.88E-23)*(25+273.15))/(EXP($A11-AM$7))))</f>
        <v>-163004.56047265849</v>
      </c>
      <c r="AN11">
        <f>IF(ISBLANK(Conductance_Eeq!AN10),"",IF(Conductance_Eeq!AN10&lt;0,((LN(ABS(((Conductance_Eeq!AN10/MAX(Conductance_Eeq!AN$7:AN$27)))))*(1.88E-23)*(25+273.15))/(EXP($A11-AN$7))),((LN((Conductance_Eeq!AN10/MAX(Conductance_Eeq!AN$7:AN$27))))*(1.88E-23)*(25+273.15))/(EXP($A11-AN$7))))</f>
        <v>-1378404.0616602954</v>
      </c>
      <c r="AO11">
        <f>IF(ISBLANK(Conductance_Eeq!AO10),"",IF(Conductance_Eeq!AO10&lt;0,((LN(ABS(((Conductance_Eeq!AO10/MAX(Conductance_Eeq!AO$7:AO$27)))))*(1.88E-23)*(25+273.15))/(EXP($A11-AO$7))),((LN((Conductance_Eeq!AO10/MAX(Conductance_Eeq!AO$7:AO$27))))*(1.88E-23)*(25+273.15))/(EXP($A11-AO$7))))</f>
        <v>-723703.95808804512</v>
      </c>
      <c r="AP11">
        <f>IF(ISBLANK(Conductance_Eeq!AP10),"",IF(Conductance_Eeq!AP10&lt;0,((LN(ABS(((Conductance_Eeq!AP10/MAX(Conductance_Eeq!AP$7:AP$27)))))*(1.88E-23)*(25+273.15))/(EXP($A11-AP$7))),((LN((Conductance_Eeq!AP10/MAX(Conductance_Eeq!AP$7:AP$27))))*(1.88E-23)*(25+273.15))/(EXP($A11-AP$7))))</f>
        <v>-39522.348018275545</v>
      </c>
      <c r="AQ11">
        <f>IF(ISBLANK(Conductance_Eeq!AQ10),"",IF(Conductance_Eeq!AQ10&lt;0,((LN(ABS(((Conductance_Eeq!AQ10/MAX(Conductance_Eeq!AQ$7:AQ$27)))))*(1.88E-23)*(25+273.15))/(EXP($A11-AQ$7))),((LN((Conductance_Eeq!AQ10/MAX(Conductance_Eeq!AQ$7:AQ$27))))*(1.88E-23)*(25+273.15))/(EXP($A11-AQ$7))))</f>
        <v>-555591.32821850246</v>
      </c>
      <c r="AR11">
        <f>IF(ISBLANK(Conductance_Eeq!AR10),"",IF(Conductance_Eeq!AR10&lt;0,((LN(ABS(((Conductance_Eeq!AR10/MAX(Conductance_Eeq!AR$7:AR$27)))))*(1.88E-23)*(25+273.15))/(EXP($A11-AR$7))),((LN((Conductance_Eeq!AR10/MAX(Conductance_Eeq!AR$7:AR$27))))*(1.88E-23)*(25+273.15))/(EXP($A11-AR$7))))</f>
        <v>-214272.7356558762</v>
      </c>
      <c r="AS11">
        <f>IF(ISBLANK(Conductance_Eeq!AS10),"",IF(Conductance_Eeq!AS10&lt;0,((LN(ABS(((Conductance_Eeq!AS10/MAX(Conductance_Eeq!AS$7:AS$27)))))*(1.88E-23)*(25+273.15))/(EXP($A11-AS$7))),((LN((Conductance_Eeq!AS10/MAX(Conductance_Eeq!AS$7:AS$27))))*(1.88E-23)*(25+273.15))/(EXP($A11-AS$7))))</f>
        <v>-145267.49714361137</v>
      </c>
      <c r="AT11">
        <f>IF(ISBLANK(Conductance_Eeq!AT10),"",IF(Conductance_Eeq!AT10&lt;0,((LN(ABS(((Conductance_Eeq!AT10/MAX(Conductance_Eeq!AT$7:AT$27)))))*(1.88E-23)*(25+273.15))/(EXP($A11-AT$7))),((LN((Conductance_Eeq!AT10/MAX(Conductance_Eeq!AT$7:AT$27))))*(1.88E-23)*(25+273.15))/(EXP($A11-AT$7))))</f>
        <v>-712634.11867001047</v>
      </c>
      <c r="AU11">
        <f>IF(ISBLANK(Conductance_Eeq!AU10),"",IF(Conductance_Eeq!AU10&lt;0,((LN(ABS(((Conductance_Eeq!AU10/MAX(Conductance_Eeq!AU$7:AU$27)))))*(1.88E-23)*(25+273.15))/(EXP($A11-AU$7))),((LN((Conductance_Eeq!AU10/MAX(Conductance_Eeq!AU$7:AU$27))))*(1.88E-23)*(25+273.15))/(EXP($A11-AU$7))))</f>
        <v>-95677.571331129671</v>
      </c>
      <c r="AV11">
        <f>IF(ISBLANK(Conductance_Eeq!AV10),"",IF(Conductance_Eeq!AV10&lt;0,((LN(ABS(((Conductance_Eeq!AV10/MAX(Conductance_Eeq!AV$7:AV$27)))))*(1.88E-23)*(25+273.15))/(EXP($A11-AV$7))),((LN((Conductance_Eeq!AV10/MAX(Conductance_Eeq!AV$7:AV$27))))*(1.88E-23)*(25+273.15))/(EXP($A11-AV$7))))</f>
        <v>-218321.45664442281</v>
      </c>
      <c r="AW11">
        <f>IF(ISBLANK(Conductance_Eeq!AW10),"",IF(Conductance_Eeq!AW10&lt;0,((LN(ABS(((Conductance_Eeq!AW10/MAX(Conductance_Eeq!AW$7:AW$27)))))*(1.88E-23)*(25+273.15))/(EXP($A11-AW$7))),((LN((Conductance_Eeq!AW10/MAX(Conductance_Eeq!AW$7:AW$27))))*(1.88E-23)*(25+273.15))/(EXP($A11-AW$7))))</f>
        <v>-628050.09473802848</v>
      </c>
      <c r="AX11">
        <f>IF(ISBLANK(Conductance_Eeq!AX10),"",IF(Conductance_Eeq!AX10&lt;0,((LN(ABS(((Conductance_Eeq!AX10/MAX(Conductance_Eeq!AX$7:AX$27)))))*(1.88E-23)*(25+273.15))/(EXP($A11-AX$7))),((LN((Conductance_Eeq!AX10/MAX(Conductance_Eeq!AX$7:AX$27))))*(1.88E-23)*(25+273.15))/(EXP($A11-AX$7))))</f>
        <v>-1023689.3879961953</v>
      </c>
      <c r="AY11">
        <f>IF(ISBLANK(Conductance_Eeq!AY10),"",IF(Conductance_Eeq!AY10&lt;0,((LN(ABS(((Conductance_Eeq!AY10/MAX(Conductance_Eeq!AY$7:AY$27)))))*(1.88E-23)*(25+273.15))/(EXP($A11-AY$7))),((LN((Conductance_Eeq!AY10/MAX(Conductance_Eeq!AY$7:AY$27))))*(1.88E-23)*(25+273.15))/(EXP($A11-AY$7))))</f>
        <v>-552456.31631878286</v>
      </c>
      <c r="AZ11">
        <f>IF(ISBLANK(Conductance_Eeq!AZ10),"",IF(Conductance_Eeq!AZ10&lt;0,((LN(ABS(((Conductance_Eeq!AZ10/MAX(Conductance_Eeq!AZ$7:AZ$27)))))*(1.88E-23)*(25+273.15))/(EXP($A11-AZ$7))),((LN((Conductance_Eeq!AZ10/MAX(Conductance_Eeq!AZ$7:AZ$27))))*(1.88E-23)*(25+273.15))/(EXP($A11-AZ$7))))</f>
        <v>-1669017.1526179439</v>
      </c>
      <c r="BA11">
        <f>IF(ISBLANK(Conductance_Eeq!BA10),"",IF(Conductance_Eeq!BA10&lt;0,((LN(ABS(((Conductance_Eeq!BA10/MAX(Conductance_Eeq!BA$7:BA$27)))))*(1.88E-23)*(25+273.15))/(EXP($A11-BA$7))),((LN((Conductance_Eeq!BA10/MAX(Conductance_Eeq!BA$7:BA$27))))*(1.88E-23)*(25+273.15))/(EXP($A11-BA$7))))</f>
        <v>-1841741.6816540682</v>
      </c>
      <c r="BD11">
        <f>IF(ISBLANK(Conductance_Eeq!BD10),"",IF(Conductance_Eeq!BD10&lt;0,((LN(ABS(((Conductance_Eeq!BD10/MAX(Conductance_Eeq!BD$7:BD$27)))))*(1.88E-23)*(25+273.15))/(EXP($A11-BD$7))),((LN((Conductance_Eeq!BD10/MAX(Conductance_Eeq!BD$7:BD$27))))*(1.88E-23)*(25+273.15))/(EXP($A11-BD$7))))</f>
        <v>-86629.883460448778</v>
      </c>
      <c r="BE11">
        <f>IF(ISBLANK(Conductance_Eeq!BE10),"",IF(Conductance_Eeq!BE10&lt;0,((LN(ABS(((Conductance_Eeq!BE10/MAX(Conductance_Eeq!BE$7:BE$27)))))*(1.88E-23)*(25+273.15))/(EXP($A11-BE$7))),((LN((Conductance_Eeq!BE10/MAX(Conductance_Eeq!BE$7:BE$27))))*(1.88E-23)*(25+273.15))/(EXP($A11-BE$7))))</f>
        <v>-378889.32224248489</v>
      </c>
      <c r="BF11">
        <f>IF(ISBLANK(Conductance_Eeq!BF10),"",IF(Conductance_Eeq!BF10&lt;0,((LN(ABS(((Conductance_Eeq!BF10/MAX(Conductance_Eeq!BF$7:BF$27)))))*(1.88E-23)*(25+273.15))/(EXP($A11-BF$7))),((LN((Conductance_Eeq!BF10/MAX(Conductance_Eeq!BF$7:BF$27))))*(1.88E-23)*(25+273.15))/(EXP($A11-BF$7))))</f>
        <v>-227425.32235553119</v>
      </c>
      <c r="BG11">
        <f>IF(ISBLANK(Conductance_Eeq!BG10),"",IF(Conductance_Eeq!BG10&lt;0,((LN(ABS(((Conductance_Eeq!BG10/MAX(Conductance_Eeq!BG$7:BG$27)))))*(1.88E-23)*(25+273.15))/(EXP($A11-BG$7))),((LN((Conductance_Eeq!BG10/MAX(Conductance_Eeq!BG$7:BG$27))))*(1.88E-23)*(25+273.15))/(EXP($A11-BG$7))))</f>
        <v>-5872062.6913551055</v>
      </c>
      <c r="BH11">
        <f>IF(ISBLANK(Conductance_Eeq!BH10),"",IF(Conductance_Eeq!BH10&lt;0,((LN(ABS(((Conductance_Eeq!BH10/MAX(Conductance_Eeq!BH$7:BH$27)))))*(1.88E-23)*(25+273.15))/(EXP($A11-BH$7))),((LN((Conductance_Eeq!BH10/MAX(Conductance_Eeq!BH$7:BH$27))))*(1.88E-23)*(25+273.15))/(EXP($A11-BH$7))))</f>
        <v>-35616.490077195805</v>
      </c>
      <c r="BI11">
        <f>IF(ISBLANK(Conductance_Eeq!BI10),"",IF(Conductance_Eeq!BI10&lt;0,((LN(ABS(((Conductance_Eeq!BI10/MAX(Conductance_Eeq!BI$7:BI$27)))))*(1.88E-23)*(25+273.15))/(EXP($A11-BI$7))),((LN((Conductance_Eeq!BI10/MAX(Conductance_Eeq!BI$7:BI$27))))*(1.88E-23)*(25+273.15))/(EXP($A11-BI$7))))</f>
        <v>-63247.871845659327</v>
      </c>
      <c r="BK11">
        <f>IF(ISBLANK(Conductance_Eeq!BK10),"",IF(Conductance_Eeq!BK10&lt;0,((LN(ABS(((Conductance_Eeq!BK10/MAX(Conductance_Eeq!BK$7:BK$27)))))*(1.88E-23)*(25+273.15))/(EXP($A11-BK$7))),((LN((Conductance_Eeq!BK10/MAX(Conductance_Eeq!BK$7:BK$27))))*(1.88E-23)*(25+273.15))/(EXP($A11-BK$7))))</f>
        <v>-490438.83750965417</v>
      </c>
      <c r="BL11">
        <f>IF(ISBLANK(Conductance_Eeq!BL10),"",IF(Conductance_Eeq!BL10&lt;0,((LN(ABS(((Conductance_Eeq!BL10/MAX(Conductance_Eeq!BL$7:BL$27)))))*(1.88E-23)*(25+273.15))/(EXP($A11-BL$7))),((LN((Conductance_Eeq!BL10/MAX(Conductance_Eeq!BL$7:BL$27))))*(1.88E-23)*(25+273.15))/(EXP($A11-BL$7))))</f>
        <v>-283293.5269820292</v>
      </c>
      <c r="BM11">
        <f>IF(ISBLANK(Conductance_Eeq!BM10),"",IF(Conductance_Eeq!BM10&lt;0,((LN(ABS(((Conductance_Eeq!BM10/MAX(Conductance_Eeq!BM$7:BM$27)))))*(1.88E-23)*(25+273.15))/(EXP($A11-BM$7))),((LN((Conductance_Eeq!BM10/MAX(Conductance_Eeq!BM$7:BM$27))))*(1.88E-23)*(25+273.15))/(EXP($A11-BM$7))))</f>
        <v>-736698.54009145277</v>
      </c>
      <c r="BN11">
        <f>IF(ISBLANK(Conductance_Eeq!BN10),"",IF(Conductance_Eeq!BN10&lt;0,((LN(ABS(((Conductance_Eeq!BN10/MAX(Conductance_Eeq!BN$7:BN$27)))))*(1.88E-23)*(25+273.15))/(EXP($A11-BN$7))),((LN((Conductance_Eeq!BN10/MAX(Conductance_Eeq!BN$7:BN$27))))*(1.88E-23)*(25+273.15))/(EXP($A11-BN$7))))</f>
        <v>-8990.9917048257594</v>
      </c>
      <c r="BO11">
        <f>IF(ISBLANK(Conductance_Eeq!BO10),"",IF(Conductance_Eeq!BO10&lt;0,((LN(ABS(((Conductance_Eeq!BO10/MAX(Conductance_Eeq!BO$7:BO$27)))))*(1.88E-23)*(25+273.15))/(EXP($A11-BO$7))),((LN((Conductance_Eeq!BO10/MAX(Conductance_Eeq!BO$7:BO$27))))*(1.88E-23)*(25+273.15))/(EXP($A11-BO$7))))</f>
        <v>-17301.634983153341</v>
      </c>
      <c r="BP11">
        <f>IF(ISBLANK(Conductance_Eeq!BP10),"",IF(Conductance_Eeq!BP10&lt;0,((LN(ABS(((Conductance_Eeq!BP10/MAX(Conductance_Eeq!BP$7:BP$27)))))*(1.88E-23)*(25+273.15))/(EXP($A11-BP$7))),((LN((Conductance_Eeq!BP10/MAX(Conductance_Eeq!BP$7:BP$27))))*(1.88E-23)*(25+273.15))/(EXP($A11-BP$7))))</f>
        <v>-131285.35600277651</v>
      </c>
      <c r="BQ11">
        <f>IF(ISBLANK(Conductance_Eeq!BQ10),"",IF(Conductance_Eeq!BQ10&lt;0,((LN(ABS(((Conductance_Eeq!BQ10/MAX(Conductance_Eeq!BQ$7:BQ$27)))))*(1.88E-23)*(25+273.15))/(EXP($A11-BQ$7))),((LN((Conductance_Eeq!BQ10/MAX(Conductance_Eeq!BQ$7:BQ$27))))*(1.88E-23)*(25+273.15))/(EXP($A11-BQ$7))))</f>
        <v>-742433.08151868719</v>
      </c>
      <c r="BR11">
        <f>IF(ISBLANK(Conductance_Eeq!BR10),"",IF(Conductance_Eeq!BR10&lt;0,((LN(ABS(((Conductance_Eeq!BR10/MAX(Conductance_Eeq!BR$7:BR$27)))))*(1.88E-23)*(25+273.15))/(EXP($A11-BR$7))),((LN((Conductance_Eeq!BR10/MAX(Conductance_Eeq!BR$7:BR$27))))*(1.88E-23)*(25+273.15))/(EXP($A11-BR$7))))</f>
        <v>-58402.869410019179</v>
      </c>
      <c r="BS11">
        <f>IF(ISBLANK(Conductance_Eeq!BS10),"",IF(Conductance_Eeq!BS10&lt;0,((LN(ABS(((Conductance_Eeq!BS10/MAX(Conductance_Eeq!BS$7:BS$27)))))*(1.88E-23)*(25+273.15))/(EXP($A11-BS$7))),((LN((Conductance_Eeq!BS10/MAX(Conductance_Eeq!BS$7:BS$27))))*(1.88E-23)*(25+273.15))/(EXP($A11-BS$7))))</f>
        <v>-178476.92791777727</v>
      </c>
      <c r="BT11">
        <f>IF(ISBLANK(Conductance_Eeq!BT10),"",IF(Conductance_Eeq!BT10&lt;0,((LN(ABS(((Conductance_Eeq!BT10/MAX(Conductance_Eeq!BT$7:BT$27)))))*(1.88E-23)*(25+273.15))/(EXP($A11-BT$7))),((LN((Conductance_Eeq!BT10/MAX(Conductance_Eeq!BT$7:BT$27))))*(1.88E-23)*(25+273.15))/(EXP($A11-BT$7))))</f>
        <v>-506298.24759137328</v>
      </c>
      <c r="BV11">
        <f>IF(ISBLANK(Conductance_Eeq!BV10),"",IF(Conductance_Eeq!BV10&lt;0,((LN(ABS(((Conductance_Eeq!BV10/MAX(Conductance_Eeq!BV$7:BV$27)))))*(1.88E-23)*(25+273.15))/(EXP($A11-BV$7))),((LN((Conductance_Eeq!BV10/MAX(Conductance_Eeq!BV$7:BV$27))))*(1.88E-23)*(25+273.15))/(EXP($A11-BV$7))))</f>
        <v>-417499.95060735423</v>
      </c>
      <c r="BW11">
        <f>IF(ISBLANK(Conductance_Eeq!BW10),"",IF(Conductance_Eeq!BW10&lt;0,((LN(ABS(((Conductance_Eeq!BW10/MAX(Conductance_Eeq!BW$7:BW$27)))))*(1.88E-23)*(25+273.15))/(EXP($A11-BW$7))),((LN((Conductance_Eeq!BW10/MAX(Conductance_Eeq!BW$7:BW$27))))*(1.88E-23)*(25+273.15))/(EXP($A11-BW$7))))</f>
        <v>-563931.3452924327</v>
      </c>
      <c r="BX11">
        <f>IF(ISBLANK(Conductance_Eeq!BX10),"",IF(Conductance_Eeq!BX10&lt;0,((LN(ABS(((Conductance_Eeq!BX10/MAX(Conductance_Eeq!BX$7:BX$27)))))*(1.88E-23)*(25+273.15))/(EXP($A11-BX$7))),((LN((Conductance_Eeq!BX10/MAX(Conductance_Eeq!BX$7:BX$27))))*(1.88E-23)*(25+273.15))/(EXP($A11-BX$7))))</f>
        <v>-858147.88135648437</v>
      </c>
      <c r="BY11">
        <f>IF(ISBLANK(Conductance_Eeq!BY10),"",IF(Conductance_Eeq!BY10&lt;0,((LN(ABS(((Conductance_Eeq!BY10/MAX(Conductance_Eeq!BY$7:BY$27)))))*(1.88E-23)*(25+273.15))/(EXP($A11-BY$7))),((LN((Conductance_Eeq!BY10/MAX(Conductance_Eeq!BY$7:BY$27))))*(1.88E-23)*(25+273.15))/(EXP($A11-BY$7))))</f>
        <v>-55062.172555433739</v>
      </c>
      <c r="BZ11">
        <f>IF(ISBLANK(Conductance_Eeq!BZ10),"",IF(Conductance_Eeq!BZ10&lt;0,((LN(ABS(((Conductance_Eeq!BZ10/MAX(Conductance_Eeq!BZ$7:BZ$27)))))*(1.88E-23)*(25+273.15))/(EXP($A11-BZ$7))),((LN((Conductance_Eeq!BZ10/MAX(Conductance_Eeq!BZ$7:BZ$27))))*(1.88E-23)*(25+273.15))/(EXP($A11-BZ$7))))</f>
        <v>-59138.607618214228</v>
      </c>
      <c r="CA11">
        <f>IF(ISBLANK(Conductance_Eeq!CA10),"",IF(Conductance_Eeq!CA10&lt;0,((LN(ABS(((Conductance_Eeq!CA10/MAX(Conductance_Eeq!CA$7:CA$27)))))*(1.88E-23)*(25+273.15))/(EXP($A11-CA$7))),((LN((Conductance_Eeq!CA10/MAX(Conductance_Eeq!CA$7:CA$27))))*(1.88E-23)*(25+273.15))/(EXP($A11-CA$7))))</f>
        <v>-277373.41197709896</v>
      </c>
      <c r="CB11">
        <f>IF(ISBLANK(Conductance_Eeq!CB10),"",IF(Conductance_Eeq!CB10&lt;0,((LN(ABS(((Conductance_Eeq!CB10/MAX(Conductance_Eeq!CB$7:CB$27)))))*(1.88E-23)*(25+273.15))/(EXP($A11-CB$7))),((LN((Conductance_Eeq!CB10/MAX(Conductance_Eeq!CB$7:CB$27))))*(1.88E-23)*(25+273.15))/(EXP($A11-CB$7))))</f>
        <v>-1949999.1219705311</v>
      </c>
      <c r="CC11">
        <f>IF(ISBLANK(Conductance_Eeq!CC10),"",IF(Conductance_Eeq!CC10&lt;0,((LN(ABS(((Conductance_Eeq!CC10/MAX(Conductance_Eeq!CC$7:CC$27)))))*(1.88E-23)*(25+273.15))/(EXP($A11-CC$7))),((LN((Conductance_Eeq!CC10/MAX(Conductance_Eeq!CC$7:CC$27))))*(1.88E-23)*(25+273.15))/(EXP($A11-CC$7))))</f>
        <v>-58441444.684115119</v>
      </c>
      <c r="CD11">
        <f>IF(ISBLANK(Conductance_Eeq!CD10),"",IF(Conductance_Eeq!CD10&lt;0,((LN(ABS(((Conductance_Eeq!CD10/MAX(Conductance_Eeq!CD$7:CD$27)))))*(1.88E-23)*(25+273.15))/(EXP($A11-CD$7))),((LN((Conductance_Eeq!CD10/MAX(Conductance_Eeq!CD$7:CD$27))))*(1.88E-23)*(25+273.15))/(EXP($A11-CD$7))))</f>
        <v>-1592429.1455759855</v>
      </c>
      <c r="CL11" s="6"/>
      <c r="CM11" s="9"/>
      <c r="CN11" s="9"/>
      <c r="CO11" s="9"/>
      <c r="CP11" s="9"/>
      <c r="CR11" s="8"/>
    </row>
    <row r="12" spans="1:96" x14ac:dyDescent="0.2">
      <c r="A12" s="3">
        <f t="shared" si="0"/>
        <v>-40</v>
      </c>
      <c r="B12">
        <f>IF(ISBLANK(Conductance_Eeq!B11),"",IF(Conductance_Eeq!B11&lt;0,((LN(ABS(((Conductance_Eeq!B11/MAX(Conductance_Eeq!B$7:B$27)))))*(1.88E-23)*(25+273.15))/(EXP($A12-B$7))),((LN((Conductance_Eeq!B11/MAX(Conductance_Eeq!B$7:B$27))))*(1.88E-23)*(25+273.15))/(EXP($A12-B$7))))</f>
        <v>-82.006440225913437</v>
      </c>
      <c r="C12">
        <f>IF(ISBLANK(Conductance_Eeq!C11),"",IF(Conductance_Eeq!C11&lt;0,((LN(ABS(((Conductance_Eeq!C11/MAX(Conductance_Eeq!C$7:C$27)))))*(1.88E-23)*(25+273.15))/(EXP($A12-C$7))),((LN((Conductance_Eeq!C11/MAX(Conductance_Eeq!C$7:C$27))))*(1.88E-23)*(25+273.15))/(EXP($A12-C$7))))</f>
        <v>-24.959000948988336</v>
      </c>
      <c r="D12">
        <f>IF(ISBLANK(Conductance_Eeq!D11),"",IF(Conductance_Eeq!D11&lt;0,((LN(ABS(((Conductance_Eeq!D11/MAX(Conductance_Eeq!D$7:D$27)))))*(1.88E-23)*(25+273.15))/(EXP($A12-D$7))),((LN((Conductance_Eeq!D11/MAX(Conductance_Eeq!D$7:D$27))))*(1.88E-23)*(25+273.15))/(EXP($A12-D$7))))</f>
        <v>-5.2041533608773936</v>
      </c>
      <c r="E12">
        <f>IF(ISBLANK(Conductance_Eeq!E11),"",IF(Conductance_Eeq!E11&lt;0,((LN(ABS(((Conductance_Eeq!E11/MAX(Conductance_Eeq!E$7:E$27)))))*(1.88E-23)*(25+273.15))/(EXP($A12-E$7))),((LN((Conductance_Eeq!E11/MAX(Conductance_Eeq!E$7:E$27))))*(1.88E-23)*(25+273.15))/(EXP($A12-E$7))))</f>
        <v>-1.8683472787406628</v>
      </c>
      <c r="F12">
        <f>IF(ISBLANK(Conductance_Eeq!F11),"",IF(Conductance_Eeq!F11&lt;0,((LN(ABS(((Conductance_Eeq!F11/MAX(Conductance_Eeq!F$7:F$27)))))*(1.88E-23)*(25+273.15))/(EXP($A12-F$7))),((LN((Conductance_Eeq!F11/MAX(Conductance_Eeq!F$7:F$27))))*(1.88E-23)*(25+273.15))/(EXP($A12-F$7))))</f>
        <v>-109.13702543439882</v>
      </c>
      <c r="G12">
        <f>IF(ISBLANK(Conductance_Eeq!G11),"",IF(Conductance_Eeq!G11&lt;0,((LN(ABS(((Conductance_Eeq!G11/MAX(Conductance_Eeq!G$7:G$27)))))*(1.88E-23)*(25+273.15))/(EXP($A12-G$7))),((LN((Conductance_Eeq!G11/MAX(Conductance_Eeq!G$7:G$27))))*(1.88E-23)*(25+273.15))/(EXP($A12-G$7))))</f>
        <v>-109.13702543439882</v>
      </c>
      <c r="H12">
        <f>IF(ISBLANK(Conductance_Eeq!H11),"",IF(Conductance_Eeq!H11&lt;0,((LN(ABS(((Conductance_Eeq!H11/MAX(Conductance_Eeq!H$7:H$27)))))*(1.88E-23)*(25+273.15))/(EXP($A12-H$7))),((LN((Conductance_Eeq!H11/MAX(Conductance_Eeq!H$7:H$27))))*(1.88E-23)*(25+273.15))/(EXP($A12-H$7))))</f>
        <v>-69.521273180648564</v>
      </c>
      <c r="I12">
        <f>IF(ISBLANK(Conductance_Eeq!I11),"",IF(Conductance_Eeq!I11&lt;0,((LN(ABS(((Conductance_Eeq!I11/MAX(Conductance_Eeq!I$7:I$27)))))*(1.88E-23)*(25+273.15))/(EXP($A12-I$7))),((LN((Conductance_Eeq!I11/MAX(Conductance_Eeq!I$7:I$27))))*(1.88E-23)*(25+273.15))/(EXP($A12-I$7))))</f>
        <v>-0.20776322112128881</v>
      </c>
      <c r="J12">
        <f>IF(ISBLANK(Conductance_Eeq!J11),"",IF(Conductance_Eeq!J11&lt;0,((LN(ABS(((Conductance_Eeq!J11/MAX(Conductance_Eeq!J$7:J$27)))))*(1.88E-23)*(25+273.15))/(EXP($A12-J$7))),((LN((Conductance_Eeq!J11/MAX(Conductance_Eeq!J$7:J$27))))*(1.88E-23)*(25+273.15))/(EXP($A12-J$7))))</f>
        <v>-0.38537367902062175</v>
      </c>
      <c r="K12">
        <f>IF(ISBLANK(Conductance_Eeq!K11),"",IF(Conductance_Eeq!K11&lt;0,((LN(ABS(((Conductance_Eeq!K11/MAX(Conductance_Eeq!K$7:K$27)))))*(1.88E-23)*(25+273.15))/(EXP($A12-K$7))),((LN((Conductance_Eeq!K11/MAX(Conductance_Eeq!K$7:K$27))))*(1.88E-23)*(25+273.15))/(EXP($A12-K$7))))</f>
        <v>-31.920074475774516</v>
      </c>
      <c r="L12">
        <f>IF(ISBLANK(Conductance_Eeq!L11),"",IF(Conductance_Eeq!L11&lt;0,((LN(ABS(((Conductance_Eeq!L11/MAX(Conductance_Eeq!L$7:L$27)))))*(1.88E-23)*(25+273.15))/(EXP($A12-L$7))),((LN((Conductance_Eeq!L11/MAX(Conductance_Eeq!L$7:L$27))))*(1.88E-23)*(25+273.15))/(EXP($A12-L$7))))</f>
        <v>-4.1683556582507482</v>
      </c>
      <c r="M12">
        <f>IF(ISBLANK(Conductance_Eeq!M11),"",IF(Conductance_Eeq!M11&lt;0,((LN(ABS(((Conductance_Eeq!M11/MAX(Conductance_Eeq!M$7:M$27)))))*(1.88E-23)*(25+273.15))/(EXP($A12-M$7))),((LN((Conductance_Eeq!M11/MAX(Conductance_Eeq!M$7:M$27))))*(1.88E-23)*(25+273.15))/(EXP($A12-M$7))))</f>
        <v>-1.2290170972353047</v>
      </c>
      <c r="N12">
        <f>IF(ISBLANK(Conductance_Eeq!N11),"",IF(Conductance_Eeq!N11&lt;0,((LN(ABS(((Conductance_Eeq!N11/MAX(Conductance_Eeq!N$7:N$27)))))*(1.88E-23)*(25+273.15))/(EXP($A12-N$7))),((LN((Conductance_Eeq!N11/MAX(Conductance_Eeq!N$7:N$27))))*(1.88E-23)*(25+273.15))/(EXP($A12-N$7))))</f>
        <v>-0.14388235561447568</v>
      </c>
      <c r="O12">
        <f>IF(ISBLANK(Conductance_Eeq!O11),"",IF(Conductance_Eeq!O11&lt;0,((LN(ABS(((Conductance_Eeq!O11/MAX(Conductance_Eeq!O$7:O$27)))))*(1.88E-23)*(25+273.15))/(EXP($A12-O$7))),((LN((Conductance_Eeq!O11/MAX(Conductance_Eeq!O$7:O$27))))*(1.88E-23)*(25+273.15))/(EXP($A12-O$7))))</f>
        <v>-1.1338454123890005</v>
      </c>
      <c r="P12">
        <f>IF(ISBLANK(Conductance_Eeq!P11),"",IF(Conductance_Eeq!P11&lt;0,((LN(ABS(((Conductance_Eeq!P11/MAX(Conductance_Eeq!P$7:P$27)))))*(1.88E-23)*(25+273.15))/(EXP($A12-P$7))),((LN((Conductance_Eeq!P11/MAX(Conductance_Eeq!P$7:P$27))))*(1.88E-23)*(25+273.15))/(EXP($A12-P$7))))</f>
        <v>-0.99429527601608647</v>
      </c>
      <c r="Q12">
        <f>IF(ISBLANK(Conductance_Eeq!Q11),"",IF(Conductance_Eeq!Q11&lt;0,((LN(ABS(((Conductance_Eeq!Q11/MAX(Conductance_Eeq!Q$7:Q$27)))))*(1.88E-23)*(25+273.15))/(EXP($A12-Q$7))),((LN((Conductance_Eeq!Q11/MAX(Conductance_Eeq!Q$7:Q$27))))*(1.88E-23)*(25+273.15))/(EXP($A12-Q$7))))</f>
        <v>-8.8167558426569954</v>
      </c>
      <c r="R12">
        <f>IF(ISBLANK(Conductance_Eeq!R11),"",IF(Conductance_Eeq!R11&lt;0,((LN(ABS(((Conductance_Eeq!R11/MAX(Conductance_Eeq!R$7:R$27)))))*(1.88E-23)*(25+273.15))/(EXP($A12-R$7))),((LN((Conductance_Eeq!R11/MAX(Conductance_Eeq!R$7:R$27))))*(1.88E-23)*(25+273.15))/(EXP($A12-R$7))))</f>
        <v>-7.2549786609950324</v>
      </c>
      <c r="S12">
        <f>IF(ISBLANK(Conductance_Eeq!S11),"",IF(Conductance_Eeq!S11&lt;0,((LN(ABS(((Conductance_Eeq!S11/MAX(Conductance_Eeq!S$7:S$27)))))*(1.88E-23)*(25+273.15))/(EXP($A12-S$7))),((LN((Conductance_Eeq!S11/MAX(Conductance_Eeq!S$7:S$27))))*(1.88E-23)*(25+273.15))/(EXP($A12-S$7))))</f>
        <v>-16.181907427802621</v>
      </c>
      <c r="T12">
        <f>IF(ISBLANK(Conductance_Eeq!T11),"",IF(Conductance_Eeq!T11&lt;0,((LN(ABS(((Conductance_Eeq!T11/MAX(Conductance_Eeq!T$7:T$27)))))*(1.88E-23)*(25+273.15))/(EXP($A12-T$7))),((LN((Conductance_Eeq!T11/MAX(Conductance_Eeq!T$7:T$27))))*(1.88E-23)*(25+273.15))/(EXP($A12-T$7))))</f>
        <v>-7.509256274313227</v>
      </c>
      <c r="U12">
        <f>IF(ISBLANK(Conductance_Eeq!U11),"",IF(Conductance_Eeq!U11&lt;0,((LN(ABS(((Conductance_Eeq!U11/MAX(Conductance_Eeq!U$7:U$27)))))*(1.88E-23)*(25+273.15))/(EXP($A12-U$7))),((LN((Conductance_Eeq!U11/MAX(Conductance_Eeq!U$7:U$27))))*(1.88E-23)*(25+273.15))/(EXP($A12-U$7))))</f>
        <v>-0.97935328900719265</v>
      </c>
      <c r="V12">
        <f>IF(ISBLANK(Conductance_Eeq!V11),"",IF(Conductance_Eeq!V11&lt;0,((LN(ABS(((Conductance_Eeq!V11/MAX(Conductance_Eeq!V$7:V$27)))))*(1.88E-23)*(25+273.15))/(EXP($A12-V$7))),((LN((Conductance_Eeq!V11/MAX(Conductance_Eeq!V$7:V$27))))*(1.88E-23)*(25+273.15))/(EXP($A12-V$7))))</f>
        <v>-23.800835383267053</v>
      </c>
      <c r="W12">
        <f>IF(ISBLANK(Conductance_Eeq!W11),"",IF(Conductance_Eeq!W11&lt;0,((LN(ABS(((Conductance_Eeq!W11/MAX(Conductance_Eeq!W$7:W$27)))))*(1.88E-23)*(25+273.15))/(EXP($A12-W$7))),((LN((Conductance_Eeq!W11/MAX(Conductance_Eeq!W$7:W$27))))*(1.88E-23)*(25+273.15))/(EXP($A12-W$7))))</f>
        <v>-0.87102389168122152</v>
      </c>
      <c r="X12">
        <f>IF(ISBLANK(Conductance_Eeq!X11),"",IF(Conductance_Eeq!X11&lt;0,((LN(ABS(((Conductance_Eeq!X11/MAX(Conductance_Eeq!X$7:X$27)))))*(1.88E-23)*(25+273.15))/(EXP($A12-X$7))),((LN((Conductance_Eeq!X11/MAX(Conductance_Eeq!X$7:X$27))))*(1.88E-23)*(25+273.15))/(EXP($A12-X$7))))</f>
        <v>-4.4345521704883142</v>
      </c>
      <c r="Y12">
        <f>IF(ISBLANK(Conductance_Eeq!Y11),"",IF(Conductance_Eeq!Y11&lt;0,((LN(ABS(((Conductance_Eeq!Y11/MAX(Conductance_Eeq!Y$7:Y$27)))))*(1.88E-23)*(25+273.15))/(EXP($A12-Y$7))),((LN((Conductance_Eeq!Y11/MAX(Conductance_Eeq!Y$7:Y$27))))*(1.88E-23)*(25+273.15))/(EXP($A12-Y$7))))</f>
        <v>-6.0541639879952882</v>
      </c>
      <c r="Z12">
        <f>IF(ISBLANK(Conductance_Eeq!Z11),"",IF(Conductance_Eeq!Z11&lt;0,((LN(ABS(((Conductance_Eeq!Z11/MAX(Conductance_Eeq!Z$7:Z$27)))))*(1.88E-23)*(25+273.15))/(EXP($A12-Z$7))),((LN((Conductance_Eeq!Z11/MAX(Conductance_Eeq!Z$7:Z$27))))*(1.88E-23)*(25+273.15))/(EXP($A12-Z$7))))</f>
        <v>-46.750409953345823</v>
      </c>
      <c r="AA12">
        <f>IF(ISBLANK(Conductance_Eeq!AA11),"",IF(Conductance_Eeq!AA11&lt;0,((LN(ABS(((Conductance_Eeq!AA11/MAX(Conductance_Eeq!AA$7:AA$27)))))*(1.88E-23)*(25+273.15))/(EXP($A12-AA$7))),((LN((Conductance_Eeq!AA11/MAX(Conductance_Eeq!AA$7:AA$27))))*(1.88E-23)*(25+273.15))/(EXP($A12-AA$7))))</f>
        <v>-28.767628043185724</v>
      </c>
      <c r="AB12">
        <f>IF(ISBLANK(Conductance_Eeq!AB11),"",IF(Conductance_Eeq!AB11&lt;0,((LN(ABS(((Conductance_Eeq!AB11/MAX(Conductance_Eeq!AB$7:AB$27)))))*(1.88E-23)*(25+273.15))/(EXP($A12-AB$7))),((LN((Conductance_Eeq!AB11/MAX(Conductance_Eeq!AB$7:AB$27))))*(1.88E-23)*(25+273.15))/(EXP($A12-AB$7))))</f>
        <v>-3.5054767019734245</v>
      </c>
      <c r="AC12">
        <f>IF(ISBLANK(Conductance_Eeq!AC11),"",IF(Conductance_Eeq!AC11&lt;0,((LN(ABS(((Conductance_Eeq!AC11/MAX(Conductance_Eeq!AC$7:AC$27)))))*(1.88E-23)*(25+273.15))/(EXP($A12-AC$7))),((LN((Conductance_Eeq!AC11/MAX(Conductance_Eeq!AC$7:AC$27))))*(1.88E-23)*(25+273.15))/(EXP($A12-AC$7))))</f>
        <v>-9.1678767273245878</v>
      </c>
      <c r="AD12">
        <f>IF(ISBLANK(Conductance_Eeq!AD11),"",IF(Conductance_Eeq!AD11&lt;0,((LN(ABS(((Conductance_Eeq!AD11/MAX(Conductance_Eeq!AD$7:AD$27)))))*(1.88E-23)*(25+273.15))/(EXP($A12-AD$7))),((LN((Conductance_Eeq!AD11/MAX(Conductance_Eeq!AD$7:AD$27))))*(1.88E-23)*(25+273.15))/(EXP($A12-AD$7))))</f>
        <v>-6.2770137160413766</v>
      </c>
      <c r="AE12">
        <f>IF(ISBLANK(Conductance_Eeq!AE11),"",IF(Conductance_Eeq!AE11&lt;0,((LN(ABS(((Conductance_Eeq!AE11/MAX(Conductance_Eeq!AE$7:AE$27)))))*(1.88E-23)*(25+273.15))/(EXP($A12-AE$7))),((LN((Conductance_Eeq!AE11/MAX(Conductance_Eeq!AE$7:AE$27))))*(1.88E-23)*(25+273.15))/(EXP($A12-AE$7))))</f>
        <v>-997.04600687806624</v>
      </c>
      <c r="AF12">
        <f>IF(ISBLANK(Conductance_Eeq!AF11),"",IF(Conductance_Eeq!AF11&lt;0,((LN(ABS(((Conductance_Eeq!AF11/MAX(Conductance_Eeq!AF$7:AF$27)))))*(1.88E-23)*(25+273.15))/(EXP($A12-AF$7))),((LN((Conductance_Eeq!AF11/MAX(Conductance_Eeq!AF$7:AF$27))))*(1.88E-23)*(25+273.15))/(EXP($A12-AF$7))))</f>
        <v>-35.669861644885174</v>
      </c>
      <c r="AG12">
        <f>IF(ISBLANK(Conductance_Eeq!AG11),"",IF(Conductance_Eeq!AG11&lt;0,((LN(ABS(((Conductance_Eeq!AG11/MAX(Conductance_Eeq!AG$7:AG$27)))))*(1.88E-23)*(25+273.15))/(EXP($A12-AG$7))),((LN((Conductance_Eeq!AG11/MAX(Conductance_Eeq!AG$7:AG$27))))*(1.88E-23)*(25+273.15))/(EXP($A12-AG$7))))</f>
        <v>-17.806153962483119</v>
      </c>
      <c r="AH12">
        <f>IF(ISBLANK(Conductance_Eeq!AH11),"",IF(Conductance_Eeq!AH11&lt;0,((LN(ABS(((Conductance_Eeq!AH11/MAX(Conductance_Eeq!AH$7:AH$27)))))*(1.88E-23)*(25+273.15))/(EXP($A12-AH$7))),((LN((Conductance_Eeq!AH11/MAX(Conductance_Eeq!AH$7:AH$27))))*(1.88E-23)*(25+273.15))/(EXP($A12-AH$7))))</f>
        <v>-11.057473147061859</v>
      </c>
      <c r="AI12">
        <f>IF(ISBLANK(Conductance_Eeq!AI11),"",IF(Conductance_Eeq!AI11&lt;0,((LN(ABS(((Conductance_Eeq!AI11/MAX(Conductance_Eeq!AI$7:AI$27)))))*(1.88E-23)*(25+273.15))/(EXP($A12-AI$7))),((LN((Conductance_Eeq!AI11/MAX(Conductance_Eeq!AI$7:AI$27))))*(1.88E-23)*(25+273.15))/(EXP($A12-AI$7))))</f>
        <v>-6.5794977735701501</v>
      </c>
      <c r="AJ12">
        <f>IF(ISBLANK(Conductance_Eeq!AJ11),"",IF(Conductance_Eeq!AJ11&lt;0,((LN(ABS(((Conductance_Eeq!AJ11/MAX(Conductance_Eeq!AJ$7:AJ$27)))))*(1.88E-23)*(25+273.15))/(EXP($A12-AJ$7))),((LN((Conductance_Eeq!AJ11/MAX(Conductance_Eeq!AJ$7:AJ$27))))*(1.88E-23)*(25+273.15))/(EXP($A12-AJ$7))))</f>
        <v>-29.47306125659269</v>
      </c>
      <c r="AK12">
        <f>IF(ISBLANK(Conductance_Eeq!AK11),"",IF(Conductance_Eeq!AK11&lt;0,((LN(ABS(((Conductance_Eeq!AK11/MAX(Conductance_Eeq!AK$7:AK$27)))))*(1.88E-23)*(25+273.15))/(EXP($A12-AK$7))),((LN((Conductance_Eeq!AK11/MAX(Conductance_Eeq!AK$7:AK$27))))*(1.88E-23)*(25+273.15))/(EXP($A12-AK$7))))</f>
        <v>-11.354348816570068</v>
      </c>
      <c r="AL12">
        <f>IF(ISBLANK(Conductance_Eeq!AL11),"",IF(Conductance_Eeq!AL11&lt;0,((LN(ABS(((Conductance_Eeq!AL11/MAX(Conductance_Eeq!AL$7:AL$27)))))*(1.88E-23)*(25+273.15))/(EXP($A12-AL$7))),((LN((Conductance_Eeq!AL11/MAX(Conductance_Eeq!AL$7:AL$27))))*(1.88E-23)*(25+273.15))/(EXP($A12-AL$7))))</f>
        <v>-1.993776731848572</v>
      </c>
      <c r="AM12">
        <f>IF(ISBLANK(Conductance_Eeq!AM11),"",IF(Conductance_Eeq!AM11&lt;0,((LN(ABS(((Conductance_Eeq!AM11/MAX(Conductance_Eeq!AM$7:AM$27)))))*(1.88E-23)*(25+273.15))/(EXP($A12-AM$7))),((LN((Conductance_Eeq!AM11/MAX(Conductance_Eeq!AM$7:AM$27))))*(1.88E-23)*(25+273.15))/(EXP($A12-AM$7))))</f>
        <v>-6.9559311219072253</v>
      </c>
      <c r="AN12">
        <f>IF(ISBLANK(Conductance_Eeq!AN11),"",IF(Conductance_Eeq!AN11&lt;0,((LN(ABS(((Conductance_Eeq!AN11/MAX(Conductance_Eeq!AN$7:AN$27)))))*(1.88E-23)*(25+273.15))/(EXP($A12-AN$7))),((LN((Conductance_Eeq!AN11/MAX(Conductance_Eeq!AN$7:AN$27))))*(1.88E-23)*(25+273.15))/(EXP($A12-AN$7))))</f>
        <v>-104.07964924190341</v>
      </c>
      <c r="AO12">
        <f>IF(ISBLANK(Conductance_Eeq!AO11),"",IF(Conductance_Eeq!AO11&lt;0,((LN(ABS(((Conductance_Eeq!AO11/MAX(Conductance_Eeq!AO$7:AO$27)))))*(1.88E-23)*(25+273.15))/(EXP($A12-AO$7))),((LN((Conductance_Eeq!AO11/MAX(Conductance_Eeq!AO$7:AO$27))))*(1.88E-23)*(25+273.15))/(EXP($A12-AO$7))))</f>
        <v>-29.874081015742568</v>
      </c>
      <c r="AP12">
        <f>IF(ISBLANK(Conductance_Eeq!AP11),"",IF(Conductance_Eeq!AP11&lt;0,((LN(ABS(((Conductance_Eeq!AP11/MAX(Conductance_Eeq!AP$7:AP$27)))))*(1.88E-23)*(25+273.15))/(EXP($A12-AP$7))),((LN((Conductance_Eeq!AP11/MAX(Conductance_Eeq!AP$7:AP$27))))*(1.88E-23)*(25+273.15))/(EXP($A12-AP$7))))</f>
        <v>-1.62817224969442</v>
      </c>
      <c r="AQ12">
        <f>IF(ISBLANK(Conductance_Eeq!AQ11),"",IF(Conductance_Eeq!AQ11&lt;0,((LN(ABS(((Conductance_Eeq!AQ11/MAX(Conductance_Eeq!AQ$7:AQ$27)))))*(1.88E-23)*(25+273.15))/(EXP($A12-AQ$7))),((LN((Conductance_Eeq!AQ11/MAX(Conductance_Eeq!AQ$7:AQ$27))))*(1.88E-23)*(25+273.15))/(EXP($A12-AQ$7))))</f>
        <v>-24.597944826287478</v>
      </c>
      <c r="AR12">
        <f>IF(ISBLANK(Conductance_Eeq!AR11),"",IF(Conductance_Eeq!AR11&lt;0,((LN(ABS(((Conductance_Eeq!AR11/MAX(Conductance_Eeq!AR$7:AR$27)))))*(1.88E-23)*(25+273.15))/(EXP($A12-AR$7))),((LN((Conductance_Eeq!AR11/MAX(Conductance_Eeq!AR$7:AR$27))))*(1.88E-23)*(25+273.15))/(EXP($A12-AR$7))))</f>
        <v>-3.8679690333100081</v>
      </c>
      <c r="AS12">
        <f>IF(ISBLANK(Conductance_Eeq!AS11),"",IF(Conductance_Eeq!AS11&lt;0,((LN(ABS(((Conductance_Eeq!AS11/MAX(Conductance_Eeq!AS$7:AS$27)))))*(1.88E-23)*(25+273.15))/(EXP($A12-AS$7))),((LN((Conductance_Eeq!AS11/MAX(Conductance_Eeq!AS$7:AS$27))))*(1.88E-23)*(25+273.15))/(EXP($A12-AS$7))))</f>
        <v>-6.0746740744910461</v>
      </c>
      <c r="AT12">
        <f>IF(ISBLANK(Conductance_Eeq!AT11),"",IF(Conductance_Eeq!AT11&lt;0,((LN(ABS(((Conductance_Eeq!AT11/MAX(Conductance_Eeq!AT$7:AT$27)))))*(1.88E-23)*(25+273.15))/(EXP($A12-AT$7))),((LN((Conductance_Eeq!AT11/MAX(Conductance_Eeq!AT$7:AT$27))))*(1.88E-23)*(25+273.15))/(EXP($A12-AT$7))))</f>
        <v>-29.619185906432104</v>
      </c>
      <c r="AU12">
        <f>IF(ISBLANK(Conductance_Eeq!AU11),"",IF(Conductance_Eeq!AU11&lt;0,((LN(ABS(((Conductance_Eeq!AU11/MAX(Conductance_Eeq!AU$7:AU$27)))))*(1.88E-23)*(25+273.15))/(EXP($A12-AU$7))),((LN((Conductance_Eeq!AU11/MAX(Conductance_Eeq!AU$7:AU$27))))*(1.88E-23)*(25+273.15))/(EXP($A12-AU$7))))</f>
        <v>-4.2720618266003596</v>
      </c>
      <c r="AV12">
        <f>IF(ISBLANK(Conductance_Eeq!AV11),"",IF(Conductance_Eeq!AV11&lt;0,((LN(ABS(((Conductance_Eeq!AV11/MAX(Conductance_Eeq!AV$7:AV$27)))))*(1.88E-23)*(25+273.15))/(EXP($A12-AV$7))),((LN((Conductance_Eeq!AV11/MAX(Conductance_Eeq!AV$7:AV$27))))*(1.88E-23)*(25+273.15))/(EXP($A12-AV$7))))</f>
        <v>-10.145906864149314</v>
      </c>
      <c r="AW12">
        <f>IF(ISBLANK(Conductance_Eeq!AW11),"",IF(Conductance_Eeq!AW11&lt;0,((LN(ABS(((Conductance_Eeq!AW11/MAX(Conductance_Eeq!AW$7:AW$27)))))*(1.88E-23)*(25+273.15))/(EXP($A12-AW$7))),((LN((Conductance_Eeq!AW11/MAX(Conductance_Eeq!AW$7:AW$27))))*(1.88E-23)*(25+273.15))/(EXP($A12-AW$7))))</f>
        <v>-27.055665004322588</v>
      </c>
      <c r="AX12">
        <f>IF(ISBLANK(Conductance_Eeq!AX11),"",IF(Conductance_Eeq!AX11&lt;0,((LN(ABS(((Conductance_Eeq!AX11/MAX(Conductance_Eeq!AX$7:AX$27)))))*(1.88E-23)*(25+273.15))/(EXP($A12-AX$7))),((LN((Conductance_Eeq!AX11/MAX(Conductance_Eeq!AX$7:AX$27))))*(1.88E-23)*(25+273.15))/(EXP($A12-AX$7))))</f>
        <v>-38.777390659427276</v>
      </c>
      <c r="AY12">
        <f>IF(ISBLANK(Conductance_Eeq!AY11),"",IF(Conductance_Eeq!AY11&lt;0,((LN(ABS(((Conductance_Eeq!AY11/MAX(Conductance_Eeq!AY$7:AY$27)))))*(1.88E-23)*(25+273.15))/(EXP($A12-AY$7))),((LN((Conductance_Eeq!AY11/MAX(Conductance_Eeq!AY$7:AY$27))))*(1.88E-23)*(25+273.15))/(EXP($A12-AY$7))))</f>
        <v>-24.009185649586854</v>
      </c>
      <c r="AZ12">
        <f>IF(ISBLANK(Conductance_Eeq!AZ11),"",IF(Conductance_Eeq!AZ11&lt;0,((LN(ABS(((Conductance_Eeq!AZ11/MAX(Conductance_Eeq!AZ$7:AZ$27)))))*(1.88E-23)*(25+273.15))/(EXP($A12-AZ$7))),((LN((Conductance_Eeq!AZ11/MAX(Conductance_Eeq!AZ$7:AZ$27))))*(1.88E-23)*(25+273.15))/(EXP($A12-AZ$7))))</f>
        <v>-71.700214063088183</v>
      </c>
      <c r="BA12">
        <f>IF(ISBLANK(Conductance_Eeq!BA11),"",IF(Conductance_Eeq!BA11&lt;0,((LN(ABS(((Conductance_Eeq!BA11/MAX(Conductance_Eeq!BA$7:BA$27)))))*(1.88E-23)*(25+273.15))/(EXP($A12-BA$7))),((LN((Conductance_Eeq!BA11/MAX(Conductance_Eeq!BA$7:BA$27))))*(1.88E-23)*(25+273.15))/(EXP($A12-BA$7))))</f>
        <v>-54.285162352473698</v>
      </c>
      <c r="BB12">
        <f>IF(ISBLANK(Conductance_Eeq!BB11),"",IF(Conductance_Eeq!BB11&lt;0,((LN(ABS(((Conductance_Eeq!BB11/MAX(Conductance_Eeq!BB$7:BB$27)))))*(1.88E-23)*(25+273.15))/(EXP($A12-BB$7))),((LN((Conductance_Eeq!BB11/MAX(Conductance_Eeq!BB$7:BB$27))))*(1.88E-23)*(25+273.15))/(EXP($A12-BB$7))))</f>
        <v>-88.420871305669834</v>
      </c>
      <c r="BC12">
        <f>IF(ISBLANK(Conductance_Eeq!BC11),"",IF(Conductance_Eeq!BC11&lt;0,((LN(ABS(((Conductance_Eeq!BC11/MAX(Conductance_Eeq!BC$7:BC$27)))))*(1.88E-23)*(25+273.15))/(EXP($A12-BC$7))),((LN((Conductance_Eeq!BC11/MAX(Conductance_Eeq!BC$7:BC$27))))*(1.88E-23)*(25+273.15))/(EXP($A12-BC$7))))</f>
        <v>-5.1779026251484925</v>
      </c>
      <c r="BD12">
        <f>IF(ISBLANK(Conductance_Eeq!BD11),"",IF(Conductance_Eeq!BD11&lt;0,((LN(ABS(((Conductance_Eeq!BD11/MAX(Conductance_Eeq!BD$7:BD$27)))))*(1.88E-23)*(25+273.15))/(EXP($A12-BD$7))),((LN((Conductance_Eeq!BD11/MAX(Conductance_Eeq!BD$7:BD$27))))*(1.88E-23)*(25+273.15))/(EXP($A12-BD$7))))</f>
        <v>-3.7125218468798131</v>
      </c>
      <c r="BE12">
        <f>IF(ISBLANK(Conductance_Eeq!BE11),"",IF(Conductance_Eeq!BE11&lt;0,((LN(ABS(((Conductance_Eeq!BE11/MAX(Conductance_Eeq!BE$7:BE$27)))))*(1.88E-23)*(25+273.15))/(EXP($A12-BE$7))),((LN((Conductance_Eeq!BE11/MAX(Conductance_Eeq!BE$7:BE$27))))*(1.88E-23)*(25+273.15))/(EXP($A12-BE$7))))</f>
        <v>-27.05516155455696</v>
      </c>
      <c r="BF12">
        <f>IF(ISBLANK(Conductance_Eeq!BF11),"",IF(Conductance_Eeq!BF11&lt;0,((LN(ABS(((Conductance_Eeq!BF11/MAX(Conductance_Eeq!BF$7:BF$27)))))*(1.88E-23)*(25+273.15))/(EXP($A12-BF$7))),((LN((Conductance_Eeq!BF11/MAX(Conductance_Eeq!BF$7:BF$27))))*(1.88E-23)*(25+273.15))/(EXP($A12-BF$7))))</f>
        <v>-10.161541742777535</v>
      </c>
      <c r="BG12">
        <f>IF(ISBLANK(Conductance_Eeq!BG11),"",IF(Conductance_Eeq!BG11&lt;0,((LN(ABS(((Conductance_Eeq!BG11/MAX(Conductance_Eeq!BG$7:BG$27)))))*(1.88E-23)*(25+273.15))/(EXP($A12-BG$7))),((LN((Conductance_Eeq!BG11/MAX(Conductance_Eeq!BG$7:BG$27))))*(1.88E-23)*(25+273.15))/(EXP($A12-BG$7))))</f>
        <v>-148.94133217474976</v>
      </c>
      <c r="BH12">
        <f>IF(ISBLANK(Conductance_Eeq!BH11),"",IF(Conductance_Eeq!BH11&lt;0,((LN(ABS(((Conductance_Eeq!BH11/MAX(Conductance_Eeq!BH$7:BH$27)))))*(1.88E-23)*(25+273.15))/(EXP($A12-BH$7))),((LN((Conductance_Eeq!BH11/MAX(Conductance_Eeq!BH$7:BH$27))))*(1.88E-23)*(25+273.15))/(EXP($A12-BH$7))))</f>
        <v>-3.0676193858502558</v>
      </c>
      <c r="BI12">
        <f>IF(ISBLANK(Conductance_Eeq!BI11),"",IF(Conductance_Eeq!BI11&lt;0,((LN(ABS(((Conductance_Eeq!BI11/MAX(Conductance_Eeq!BI$7:BI$27)))))*(1.88E-23)*(25+273.15))/(EXP($A12-BI$7))),((LN((Conductance_Eeq!BI11/MAX(Conductance_Eeq!BI$7:BI$27))))*(1.88E-23)*(25+273.15))/(EXP($A12-BI$7))))</f>
        <v>-2.878841574702466</v>
      </c>
      <c r="BJ12">
        <f>IF(ISBLANK(Conductance_Eeq!BJ11),"",IF(Conductance_Eeq!BJ11&lt;0,((LN(ABS(((Conductance_Eeq!BJ11/MAX(Conductance_Eeq!BJ$7:BJ$27)))))*(1.88E-23)*(25+273.15))/(EXP($A12-BJ$7))),((LN((Conductance_Eeq!BJ11/MAX(Conductance_Eeq!BJ$7:BJ$27))))*(1.88E-23)*(25+273.15))/(EXP($A12-BJ$7))))</f>
        <v>-32.29503859830178</v>
      </c>
      <c r="BK12">
        <f>IF(ISBLANK(Conductance_Eeq!BK11),"",IF(Conductance_Eeq!BK11&lt;0,((LN(ABS(((Conductance_Eeq!BK11/MAX(Conductance_Eeq!BK$7:BK$27)))))*(1.88E-23)*(25+273.15))/(EXP($A12-BK$7))),((LN((Conductance_Eeq!BK11/MAX(Conductance_Eeq!BK$7:BK$27))))*(1.88E-23)*(25+273.15))/(EXP($A12-BK$7))))</f>
        <v>-19.597787177052993</v>
      </c>
      <c r="BL12">
        <f>IF(ISBLANK(Conductance_Eeq!BL11),"",IF(Conductance_Eeq!BL11&lt;0,((LN(ABS(((Conductance_Eeq!BL11/MAX(Conductance_Eeq!BL$7:BL$27)))))*(1.88E-23)*(25+273.15))/(EXP($A12-BL$7))),((LN((Conductance_Eeq!BL11/MAX(Conductance_Eeq!BL$7:BL$27))))*(1.88E-23)*(25+273.15))/(EXP($A12-BL$7))))</f>
        <v>-16.413426363852803</v>
      </c>
      <c r="BM12">
        <f>IF(ISBLANK(Conductance_Eeq!BM11),"",IF(Conductance_Eeq!BM11&lt;0,((LN(ABS(((Conductance_Eeq!BM11/MAX(Conductance_Eeq!BM$7:BM$27)))))*(1.88E-23)*(25+273.15))/(EXP($A12-BM$7))),((LN((Conductance_Eeq!BM11/MAX(Conductance_Eeq!BM$7:BM$27))))*(1.88E-23)*(25+273.15))/(EXP($A12-BM$7))))</f>
        <v>-31.884079528252776</v>
      </c>
      <c r="BN12">
        <f>IF(ISBLANK(Conductance_Eeq!BN11),"",IF(Conductance_Eeq!BN11&lt;0,((LN(ABS(((Conductance_Eeq!BN11/MAX(Conductance_Eeq!BN$7:BN$27)))))*(1.88E-23)*(25+273.15))/(EXP($A12-BN$7))),((LN((Conductance_Eeq!BN11/MAX(Conductance_Eeq!BN$7:BN$27))))*(1.88E-23)*(25+273.15))/(EXP($A12-BN$7))))</f>
        <v>-0.37442848084773361</v>
      </c>
      <c r="BO12">
        <f>IF(ISBLANK(Conductance_Eeq!BO11),"",IF(Conductance_Eeq!BO11&lt;0,((LN(ABS(((Conductance_Eeq!BO11/MAX(Conductance_Eeq!BO$7:BO$27)))))*(1.88E-23)*(25+273.15))/(EXP($A12-BO$7))),((LN((Conductance_Eeq!BO11/MAX(Conductance_Eeq!BO$7:BO$27))))*(1.88E-23)*(25+273.15))/(EXP($A12-BO$7))))</f>
        <v>-0.71684401831159572</v>
      </c>
      <c r="BP12">
        <f>IF(ISBLANK(Conductance_Eeq!BP11),"",IF(Conductance_Eeq!BP11&lt;0,((LN(ABS(((Conductance_Eeq!BP11/MAX(Conductance_Eeq!BP$7:BP$27)))))*(1.88E-23)*(25+273.15))/(EXP($A12-BP$7))),((LN((Conductance_Eeq!BP11/MAX(Conductance_Eeq!BP$7:BP$27))))*(1.88E-23)*(25+273.15))/(EXP($A12-BP$7))))</f>
        <v>-5.999756777720437</v>
      </c>
      <c r="BQ12">
        <f>IF(ISBLANK(Conductance_Eeq!BQ11),"",IF(Conductance_Eeq!BQ11&lt;0,((LN(ABS(((Conductance_Eeq!BQ11/MAX(Conductance_Eeq!BQ$7:BQ$27)))))*(1.88E-23)*(25+273.15))/(EXP($A12-BQ$7))),((LN((Conductance_Eeq!BQ11/MAX(Conductance_Eeq!BQ$7:BQ$27))))*(1.88E-23)*(25+273.15))/(EXP($A12-BQ$7))))</f>
        <v>-37.336902512982014</v>
      </c>
      <c r="BR12">
        <f>IF(ISBLANK(Conductance_Eeq!BR11),"",IF(Conductance_Eeq!BR11&lt;0,((LN(ABS(((Conductance_Eeq!BR11/MAX(Conductance_Eeq!BR$7:BR$27)))))*(1.88E-23)*(25+273.15))/(EXP($A12-BR$7))),((LN((Conductance_Eeq!BR11/MAX(Conductance_Eeq!BR$7:BR$27))))*(1.88E-23)*(25+273.15))/(EXP($A12-BR$7))))</f>
        <v>-2.6184702942257987</v>
      </c>
      <c r="BS12">
        <f>IF(ISBLANK(Conductance_Eeq!BS11),"",IF(Conductance_Eeq!BS11&lt;0,((LN(ABS(((Conductance_Eeq!BS11/MAX(Conductance_Eeq!BS$7:BS$27)))))*(1.88E-23)*(25+273.15))/(EXP($A12-BS$7))),((LN((Conductance_Eeq!BS11/MAX(Conductance_Eeq!BS$7:BS$27))))*(1.88E-23)*(25+273.15))/(EXP($A12-BS$7))))</f>
        <v>-5.2256159280049355</v>
      </c>
      <c r="BT12">
        <f>IF(ISBLANK(Conductance_Eeq!BT11),"",IF(Conductance_Eeq!BT11&lt;0,((LN(ABS(((Conductance_Eeq!BT11/MAX(Conductance_Eeq!BT$7:BT$27)))))*(1.88E-23)*(25+273.15))/(EXP($A12-BT$7))),((LN((Conductance_Eeq!BT11/MAX(Conductance_Eeq!BT$7:BT$27))))*(1.88E-23)*(25+273.15))/(EXP($A12-BT$7))))</f>
        <v>-17.252521642235529</v>
      </c>
      <c r="BU12">
        <f>IF(ISBLANK(Conductance_Eeq!BU11),"",IF(Conductance_Eeq!BU11&lt;0,((LN(ABS(((Conductance_Eeq!BU11/MAX(Conductance_Eeq!BU$7:BU$27)))))*(1.88E-23)*(25+273.15))/(EXP($A12-BU$7))),((LN((Conductance_Eeq!BU11/MAX(Conductance_Eeq!BU$7:BU$27))))*(1.88E-23)*(25+273.15))/(EXP($A12-BU$7))))</f>
        <v>-81.204096223417892</v>
      </c>
      <c r="BV12">
        <f>IF(ISBLANK(Conductance_Eeq!BV11),"",IF(Conductance_Eeq!BV11&lt;0,((LN(ABS(((Conductance_Eeq!BV11/MAX(Conductance_Eeq!BV$7:BV$27)))))*(1.88E-23)*(25+273.15))/(EXP($A12-BV$7))),((LN((Conductance_Eeq!BV11/MAX(Conductance_Eeq!BV$7:BV$27))))*(1.88E-23)*(25+273.15))/(EXP($A12-BV$7))))</f>
        <v>-11.455726599490154</v>
      </c>
      <c r="BW12">
        <f>IF(ISBLANK(Conductance_Eeq!BW11),"",IF(Conductance_Eeq!BW11&lt;0,((LN(ABS(((Conductance_Eeq!BW11/MAX(Conductance_Eeq!BW$7:BW$27)))))*(1.88E-23)*(25+273.15))/(EXP($A12-BW$7))),((LN((Conductance_Eeq!BW11/MAX(Conductance_Eeq!BW$7:BW$27))))*(1.88E-23)*(25+273.15))/(EXP($A12-BW$7))))</f>
        <v>-44.776723425617348</v>
      </c>
      <c r="BX12">
        <f>IF(ISBLANK(Conductance_Eeq!BX11),"",IF(Conductance_Eeq!BX11&lt;0,((LN(ABS(((Conductance_Eeq!BX11/MAX(Conductance_Eeq!BX$7:BX$27)))))*(1.88E-23)*(25+273.15))/(EXP($A12-BX$7))),((LN((Conductance_Eeq!BX11/MAX(Conductance_Eeq!BX$7:BX$27))))*(1.88E-23)*(25+273.15))/(EXP($A12-BX$7))))</f>
        <v>-44.88644482585002</v>
      </c>
      <c r="BY12">
        <f>IF(ISBLANK(Conductance_Eeq!BY11),"",IF(Conductance_Eeq!BY11&lt;0,((LN(ABS(((Conductance_Eeq!BY11/MAX(Conductance_Eeq!BY$7:BY$27)))))*(1.88E-23)*(25+273.15))/(EXP($A12-BY$7))),((LN((Conductance_Eeq!BY11/MAX(Conductance_Eeq!BY$7:BY$27))))*(1.88E-23)*(25+273.15))/(EXP($A12-BY$7))))</f>
        <v>-0.99711292540314045</v>
      </c>
      <c r="BZ12">
        <f>IF(ISBLANK(Conductance_Eeq!BZ11),"",IF(Conductance_Eeq!BZ11&lt;0,((LN(ABS(((Conductance_Eeq!BZ11/MAX(Conductance_Eeq!BZ$7:BZ$27)))))*(1.88E-23)*(25+273.15))/(EXP($A12-BZ$7))),((LN((Conductance_Eeq!BZ11/MAX(Conductance_Eeq!BZ$7:BZ$27))))*(1.88E-23)*(25+273.15))/(EXP($A12-BZ$7))))</f>
        <v>-2.5408161330048804</v>
      </c>
      <c r="CA12">
        <f>IF(ISBLANK(Conductance_Eeq!CA11),"",IF(Conductance_Eeq!CA11&lt;0,((LN(ABS(((Conductance_Eeq!CA11/MAX(Conductance_Eeq!CA$7:CA$27)))))*(1.88E-23)*(25+273.15))/(EXP($A12-CA$7))),((LN((Conductance_Eeq!CA11/MAX(Conductance_Eeq!CA$7:CA$27))))*(1.88E-23)*(25+273.15))/(EXP($A12-CA$7))))</f>
        <v>-17.378937230775161</v>
      </c>
      <c r="CB12">
        <f>IF(ISBLANK(Conductance_Eeq!CB11),"",IF(Conductance_Eeq!CB11&lt;0,((LN(ABS(((Conductance_Eeq!CB11/MAX(Conductance_Eeq!CB$7:CB$27)))))*(1.88E-23)*(25+273.15))/(EXP($A12-CB$7))),((LN((Conductance_Eeq!CB11/MAX(Conductance_Eeq!CB$7:CB$27))))*(1.88E-23)*(25+273.15))/(EXP($A12-CB$7))))</f>
        <v>-54.875246801533883</v>
      </c>
      <c r="CC12">
        <f>IF(ISBLANK(Conductance_Eeq!CC11),"",IF(Conductance_Eeq!CC11&lt;0,((LN(ABS(((Conductance_Eeq!CC11/MAX(Conductance_Eeq!CC$7:CC$27)))))*(1.88E-23)*(25+273.15))/(EXP($A12-CC$7))),((LN((Conductance_Eeq!CC11/MAX(Conductance_Eeq!CC$7:CC$27))))*(1.88E-23)*(25+273.15))/(EXP($A12-CC$7))))</f>
        <v>-2544.8926775829209</v>
      </c>
      <c r="CD12">
        <f>IF(ISBLANK(Conductance_Eeq!CD11),"",IF(Conductance_Eeq!CD11&lt;0,((LN(ABS(((Conductance_Eeq!CD11/MAX(Conductance_Eeq!CD$7:CD$27)))))*(1.88E-23)*(25+273.15))/(EXP($A12-CD$7))),((LN((Conductance_Eeq!CD11/MAX(Conductance_Eeq!CD$7:CD$27))))*(1.88E-23)*(25+273.15))/(EXP($A12-CD$7))))</f>
        <v>-64.19826213388265</v>
      </c>
    </row>
    <row r="13" spans="1:96" x14ac:dyDescent="0.2">
      <c r="A13" s="3">
        <f t="shared" si="0"/>
        <v>-30</v>
      </c>
      <c r="B13">
        <f>IF(ISBLANK(Conductance_Eeq!B12),"",IF(Conductance_Eeq!B12&lt;0,((LN(ABS(((Conductance_Eeq!B12/MAX(Conductance_Eeq!B$7:B$27)))))*(1.88E-23)*(25+273.15))/(EXP($A13-B$7))),((LN((Conductance_Eeq!B12/MAX(Conductance_Eeq!B$7:B$27))))*(1.88E-23)*(25+273.15))/(EXP($A13-B$7))))</f>
        <v>-2.4556854629618169E-3</v>
      </c>
      <c r="C13">
        <f>IF(ISBLANK(Conductance_Eeq!C12),"",IF(Conductance_Eeq!C12&lt;0,((LN(ABS(((Conductance_Eeq!C12/MAX(Conductance_Eeq!C$7:C$27)))))*(1.88E-23)*(25+273.15))/(EXP($A13-C$7))),((LN((Conductance_Eeq!C12/MAX(Conductance_Eeq!C$7:C$27))))*(1.88E-23)*(25+273.15))/(EXP($A13-C$7))))</f>
        <v>-5.8328481069665E-4</v>
      </c>
      <c r="D13">
        <f>IF(ISBLANK(Conductance_Eeq!D12),"",IF(Conductance_Eeq!D12&lt;0,((LN(ABS(((Conductance_Eeq!D12/MAX(Conductance_Eeq!D$7:D$27)))))*(1.88E-23)*(25+273.15))/(EXP($A13-D$7))),((LN((Conductance_Eeq!D12/MAX(Conductance_Eeq!D$7:D$27))))*(1.88E-23)*(25+273.15))/(EXP($A13-D$7))))</f>
        <v>-2.3991492011296196E-4</v>
      </c>
      <c r="E13">
        <f>IF(ISBLANK(Conductance_Eeq!E12),"",IF(Conductance_Eeq!E12&lt;0,((LN(ABS(((Conductance_Eeq!E12/MAX(Conductance_Eeq!E$7:E$27)))))*(1.88E-23)*(25+273.15))/(EXP($A13-E$7))),((LN((Conductance_Eeq!E12/MAX(Conductance_Eeq!E$7:E$27))))*(1.88E-23)*(25+273.15))/(EXP($A13-E$7))))</f>
        <v>-7.8291339938527088E-5</v>
      </c>
      <c r="F13">
        <f>IF(ISBLANK(Conductance_Eeq!F12),"",IF(Conductance_Eeq!F12&lt;0,((LN(ABS(((Conductance_Eeq!F12/MAX(Conductance_Eeq!F$7:F$27)))))*(1.88E-23)*(25+273.15))/(EXP($A13-F$7))),((LN((Conductance_Eeq!F12/MAX(Conductance_Eeq!F$7:F$27))))*(1.88E-23)*(25+273.15))/(EXP($A13-F$7))))</f>
        <v>-2.8814735779033648E-3</v>
      </c>
      <c r="G13">
        <f>IF(ISBLANK(Conductance_Eeq!G12),"",IF(Conductance_Eeq!G12&lt;0,((LN(ABS(((Conductance_Eeq!G12/MAX(Conductance_Eeq!G$7:G$27)))))*(1.88E-23)*(25+273.15))/(EXP($A13-G$7))),((LN((Conductance_Eeq!G12/MAX(Conductance_Eeq!G$7:G$27))))*(1.88E-23)*(25+273.15))/(EXP($A13-G$7))))</f>
        <v>-2.8814735779033648E-3</v>
      </c>
      <c r="H13">
        <f>IF(ISBLANK(Conductance_Eeq!H12),"",IF(Conductance_Eeq!H12&lt;0,((LN(ABS(((Conductance_Eeq!H12/MAX(Conductance_Eeq!H$7:H$27)))))*(1.88E-23)*(25+273.15))/(EXP($A13-H$7))),((LN((Conductance_Eeq!H12/MAX(Conductance_Eeq!H$7:H$27))))*(1.88E-23)*(25+273.15))/(EXP($A13-H$7))))</f>
        <v>-1.8129727494282798E-3</v>
      </c>
      <c r="I13">
        <f>IF(ISBLANK(Conductance_Eeq!I12),"",IF(Conductance_Eeq!I12&lt;0,((LN(ABS(((Conductance_Eeq!I12/MAX(Conductance_Eeq!I$7:I$27)))))*(1.88E-23)*(25+273.15))/(EXP($A13-I$7))),((LN((Conductance_Eeq!I12/MAX(Conductance_Eeq!I$7:I$27))))*(1.88E-23)*(25+273.15))/(EXP($A13-I$7))))</f>
        <v>-5.6367327105897637E-6</v>
      </c>
      <c r="J13">
        <f>IF(ISBLANK(Conductance_Eeq!J12),"",IF(Conductance_Eeq!J12&lt;0,((LN(ABS(((Conductance_Eeq!J12/MAX(Conductance_Eeq!J$7:J$27)))))*(1.88E-23)*(25+273.15))/(EXP($A13-J$7))),((LN((Conductance_Eeq!J12/MAX(Conductance_Eeq!J$7:J$27))))*(1.88E-23)*(25+273.15))/(EXP($A13-J$7))))</f>
        <v>-2.140278413173747E-5</v>
      </c>
      <c r="K13">
        <f>IF(ISBLANK(Conductance_Eeq!K12),"",IF(Conductance_Eeq!K12&lt;0,((LN(ABS(((Conductance_Eeq!K12/MAX(Conductance_Eeq!K$7:K$27)))))*(1.88E-23)*(25+273.15))/(EXP($A13-K$7))),((LN((Conductance_Eeq!K12/MAX(Conductance_Eeq!K$7:K$27))))*(1.88E-23)*(25+273.15))/(EXP($A13-K$7))))</f>
        <v>-8.5787152540732459E-4</v>
      </c>
      <c r="L13">
        <f>IF(ISBLANK(Conductance_Eeq!L12),"",IF(Conductance_Eeq!L12&lt;0,((LN(ABS(((Conductance_Eeq!L12/MAX(Conductance_Eeq!L$7:L$27)))))*(1.88E-23)*(25+273.15))/(EXP($A13-L$7))),((LN((Conductance_Eeq!L12/MAX(Conductance_Eeq!L$7:L$27))))*(1.88E-23)*(25+273.15))/(EXP($A13-L$7))))</f>
        <v>-1.8087779844934879E-4</v>
      </c>
      <c r="M13">
        <f>IF(ISBLANK(Conductance_Eeq!M12),"",IF(Conductance_Eeq!M12&lt;0,((LN(ABS(((Conductance_Eeq!M12/MAX(Conductance_Eeq!M$7:M$27)))))*(1.88E-23)*(25+273.15))/(EXP($A13-M$7))),((LN((Conductance_Eeq!M12/MAX(Conductance_Eeq!M$7:M$27))))*(1.88E-23)*(25+273.15))/(EXP($A13-M$7))))</f>
        <v>-6.5263344957241959E-5</v>
      </c>
      <c r="N13">
        <f>IF(ISBLANK(Conductance_Eeq!N12),"",IF(Conductance_Eeq!N12&lt;0,((LN(ABS(((Conductance_Eeq!N12/MAX(Conductance_Eeq!N$7:N$27)))))*(1.88E-23)*(25+273.15))/(EXP($A13-N$7))),((LN((Conductance_Eeq!N12/MAX(Conductance_Eeq!N$7:N$27))))*(1.88E-23)*(25+273.15))/(EXP($A13-N$7))))</f>
        <v>-5.4275315794463538E-6</v>
      </c>
      <c r="O13">
        <f>IF(ISBLANK(Conductance_Eeq!O12),"",IF(Conductance_Eeq!O12&lt;0,((LN(ABS(((Conductance_Eeq!O12/MAX(Conductance_Eeq!O$7:O$27)))))*(1.88E-23)*(25+273.15))/(EXP($A13-O$7))),((LN((Conductance_Eeq!O12/MAX(Conductance_Eeq!O$7:O$27))))*(1.88E-23)*(25+273.15))/(EXP($A13-O$7))))</f>
        <v>-4.184850270666776E-5</v>
      </c>
      <c r="P13">
        <f>IF(ISBLANK(Conductance_Eeq!P12),"",IF(Conductance_Eeq!P12&lt;0,((LN(ABS(((Conductance_Eeq!P12/MAX(Conductance_Eeq!P$7:P$27)))))*(1.88E-23)*(25+273.15))/(EXP($A13-P$7))),((LN((Conductance_Eeq!P12/MAX(Conductance_Eeq!P$7:P$27))))*(1.88E-23)*(25+273.15))/(EXP($A13-P$7))))</f>
        <v>-4.4342952883105811E-5</v>
      </c>
      <c r="Q13">
        <f>IF(ISBLANK(Conductance_Eeq!Q12),"",IF(Conductance_Eeq!Q12&lt;0,((LN(ABS(((Conductance_Eeq!Q12/MAX(Conductance_Eeq!Q$7:Q$27)))))*(1.88E-23)*(25+273.15))/(EXP($A13-Q$7))),((LN((Conductance_Eeq!Q12/MAX(Conductance_Eeq!Q$7:Q$27))))*(1.88E-23)*(25+273.15))/(EXP($A13-Q$7))))</f>
        <v>-3.805730255576692E-4</v>
      </c>
      <c r="R13">
        <f>IF(ISBLANK(Conductance_Eeq!R12),"",IF(Conductance_Eeq!R12&lt;0,((LN(ABS(((Conductance_Eeq!R12/MAX(Conductance_Eeq!R$7:R$27)))))*(1.88E-23)*(25+273.15))/(EXP($A13-R$7))),((LN((Conductance_Eeq!R12/MAX(Conductance_Eeq!R$7:R$27))))*(1.88E-23)*(25+273.15))/(EXP($A13-R$7))))</f>
        <v>-5.0500841245323296E-4</v>
      </c>
      <c r="S13">
        <f>IF(ISBLANK(Conductance_Eeq!S12),"",IF(Conductance_Eeq!S12&lt;0,((LN(ABS(((Conductance_Eeq!S12/MAX(Conductance_Eeq!S$7:S$27)))))*(1.88E-23)*(25+273.15))/(EXP($A13-S$7))),((LN((Conductance_Eeq!S12/MAX(Conductance_Eeq!S$7:S$27))))*(1.88E-23)*(25+273.15))/(EXP($A13-S$7))))</f>
        <v>-3.5251214656391126E-4</v>
      </c>
      <c r="T13">
        <f>IF(ISBLANK(Conductance_Eeq!T12),"",IF(Conductance_Eeq!T12&lt;0,((LN(ABS(((Conductance_Eeq!T12/MAX(Conductance_Eeq!T$7:T$27)))))*(1.88E-23)*(25+273.15))/(EXP($A13-T$7))),((LN((Conductance_Eeq!T12/MAX(Conductance_Eeq!T$7:T$27))))*(1.88E-23)*(25+273.15))/(EXP($A13-T$7))))</f>
        <v>-1.3942027526708472E-4</v>
      </c>
      <c r="U13">
        <f>IF(ISBLANK(Conductance_Eeq!U12),"",IF(Conductance_Eeq!U12&lt;0,((LN(ABS(((Conductance_Eeq!U12/MAX(Conductance_Eeq!U$7:U$27)))))*(1.88E-23)*(25+273.15))/(EXP($A13-U$7))),((LN((Conductance_Eeq!U12/MAX(Conductance_Eeq!U$7:U$27))))*(1.88E-23)*(25+273.15))/(EXP($A13-U$7))))</f>
        <v>-4.0549134002280376E-5</v>
      </c>
      <c r="V13">
        <f>IF(ISBLANK(Conductance_Eeq!V12),"",IF(Conductance_Eeq!V12&lt;0,((LN(ABS(((Conductance_Eeq!V12/MAX(Conductance_Eeq!V$7:V$27)))))*(1.88E-23)*(25+273.15))/(EXP($A13-V$7))),((LN((Conductance_Eeq!V12/MAX(Conductance_Eeq!V$7:V$27))))*(1.88E-23)*(25+273.15))/(EXP($A13-V$7))))</f>
        <v>-1.1690814331253175E-3</v>
      </c>
      <c r="W13">
        <f>IF(ISBLANK(Conductance_Eeq!W12),"",IF(Conductance_Eeq!W12&lt;0,((LN(ABS(((Conductance_Eeq!W12/MAX(Conductance_Eeq!W$7:W$27)))))*(1.88E-23)*(25+273.15))/(EXP($A13-W$7))),((LN((Conductance_Eeq!W12/MAX(Conductance_Eeq!W$7:W$27))))*(1.88E-23)*(25+273.15))/(EXP($A13-W$7))))</f>
        <v>-3.357868792523837E-5</v>
      </c>
      <c r="X13">
        <f>IF(ISBLANK(Conductance_Eeq!X12),"",IF(Conductance_Eeq!X12&lt;0,((LN(ABS(((Conductance_Eeq!X12/MAX(Conductance_Eeq!X$7:X$27)))))*(1.88E-23)*(25+273.15))/(EXP($A13-X$7))),((LN((Conductance_Eeq!X12/MAX(Conductance_Eeq!X$7:X$27))))*(1.88E-23)*(25+273.15))/(EXP($A13-X$7))))</f>
        <v>-1.8993048858732757E-4</v>
      </c>
      <c r="Y13">
        <f>IF(ISBLANK(Conductance_Eeq!Y12),"",IF(Conductance_Eeq!Y12&lt;0,((LN(ABS(((Conductance_Eeq!Y12/MAX(Conductance_Eeq!Y$7:Y$27)))))*(1.88E-23)*(25+273.15))/(EXP($A13-Y$7))),((LN((Conductance_Eeq!Y12/MAX(Conductance_Eeq!Y$7:Y$27))))*(1.88E-23)*(25+273.15))/(EXP($A13-Y$7))))</f>
        <v>-2.031846567064962E-4</v>
      </c>
      <c r="Z13">
        <f>IF(ISBLANK(Conductance_Eeq!Z12),"",IF(Conductance_Eeq!Z12&lt;0,((LN(ABS(((Conductance_Eeq!Z12/MAX(Conductance_Eeq!Z$7:Z$27)))))*(1.88E-23)*(25+273.15))/(EXP($A13-Z$7))),((LN((Conductance_Eeq!Z12/MAX(Conductance_Eeq!Z$7:Z$27))))*(1.88E-23)*(25+273.15))/(EXP($A13-Z$7))))</f>
        <v>-1.4333445675361824E-3</v>
      </c>
      <c r="AA13">
        <f>IF(ISBLANK(Conductance_Eeq!AA12),"",IF(Conductance_Eeq!AA12&lt;0,((LN(ABS(((Conductance_Eeq!AA12/MAX(Conductance_Eeq!AA$7:AA$27)))))*(1.88E-23)*(25+273.15))/(EXP($A13-AA$7))),((LN((Conductance_Eeq!AA12/MAX(Conductance_Eeq!AA$7:AA$27))))*(1.88E-23)*(25+273.15))/(EXP($A13-AA$7))))</f>
        <v>-8.6975702038877951E-4</v>
      </c>
      <c r="AB13">
        <f>IF(ISBLANK(Conductance_Eeq!AB12),"",IF(Conductance_Eeq!AB12&lt;0,((LN(ABS(((Conductance_Eeq!AB12/MAX(Conductance_Eeq!AB$7:AB$27)))))*(1.88E-23)*(25+273.15))/(EXP($A13-AB$7))),((LN((Conductance_Eeq!AB12/MAX(Conductance_Eeq!AB$7:AB$27))))*(1.88E-23)*(25+273.15))/(EXP($A13-AB$7))))</f>
        <v>-1.2708567998303302E-4</v>
      </c>
      <c r="AC13">
        <f>IF(ISBLANK(Conductance_Eeq!AC12),"",IF(Conductance_Eeq!AC12&lt;0,((LN(ABS(((Conductance_Eeq!AC12/MAX(Conductance_Eeq!AC$7:AC$27)))))*(1.88E-23)*(25+273.15))/(EXP($A13-AC$7))),((LN((Conductance_Eeq!AC12/MAX(Conductance_Eeq!AC$7:AC$27))))*(1.88E-23)*(25+273.15))/(EXP($A13-AC$7))))</f>
        <v>-2.0887382987924938E-4</v>
      </c>
      <c r="AD13">
        <f>IF(ISBLANK(Conductance_Eeq!AD12),"",IF(Conductance_Eeq!AD12&lt;0,((LN(ABS(((Conductance_Eeq!AD12/MAX(Conductance_Eeq!AD$7:AD$27)))))*(1.88E-23)*(25+273.15))/(EXP($A13-AD$7))),((LN((Conductance_Eeq!AD12/MAX(Conductance_Eeq!AD$7:AD$27))))*(1.88E-23)*(25+273.15))/(EXP($A13-AD$7))))</f>
        <v>-1.9723018161712434E-4</v>
      </c>
      <c r="AE13">
        <f>IF(ISBLANK(Conductance_Eeq!AE12),"",IF(Conductance_Eeq!AE12&lt;0,((LN(ABS(((Conductance_Eeq!AE12/MAX(Conductance_Eeq!AE$7:AE$27)))))*(1.88E-23)*(25+273.15))/(EXP($A13-AE$7))),((LN((Conductance_Eeq!AE12/MAX(Conductance_Eeq!AE$7:AE$27))))*(1.88E-23)*(25+273.15))/(EXP($A13-AE$7))))</f>
        <v>-3.4519020867737525E-2</v>
      </c>
      <c r="AF13">
        <f>IF(ISBLANK(Conductance_Eeq!AF12),"",IF(Conductance_Eeq!AF12&lt;0,((LN(ABS(((Conductance_Eeq!AF12/MAX(Conductance_Eeq!AF$7:AF$27)))))*(1.88E-23)*(25+273.15))/(EXP($A13-AF$7))),((LN((Conductance_Eeq!AF12/MAX(Conductance_Eeq!AF$7:AF$27))))*(1.88E-23)*(25+273.15))/(EXP($A13-AF$7))))</f>
        <v>-1.3753171270589866E-3</v>
      </c>
      <c r="AG13">
        <f>IF(ISBLANK(Conductance_Eeq!AG12),"",IF(Conductance_Eeq!AG12&lt;0,((LN(ABS(((Conductance_Eeq!AG12/MAX(Conductance_Eeq!AG$7:AG$27)))))*(1.88E-23)*(25+273.15))/(EXP($A13-AG$7))),((LN((Conductance_Eeq!AG12/MAX(Conductance_Eeq!AG$7:AG$27))))*(1.88E-23)*(25+273.15))/(EXP($A13-AG$7))))</f>
        <v>-8.6925740081957427E-4</v>
      </c>
      <c r="AH13">
        <f>IF(ISBLANK(Conductance_Eeq!AH12),"",IF(Conductance_Eeq!AH12&lt;0,((LN(ABS(((Conductance_Eeq!AH12/MAX(Conductance_Eeq!AH$7:AH$27)))))*(1.88E-23)*(25+273.15))/(EXP($A13-AH$7))),((LN((Conductance_Eeq!AH12/MAX(Conductance_Eeq!AH$7:AH$27))))*(1.88E-23)*(25+273.15))/(EXP($A13-AH$7))))</f>
        <v>-5.0214438629801413E-4</v>
      </c>
      <c r="AI13">
        <f>IF(ISBLANK(Conductance_Eeq!AI12),"",IF(Conductance_Eeq!AI12&lt;0,((LN(ABS(((Conductance_Eeq!AI12/MAX(Conductance_Eeq!AI$7:AI$27)))))*(1.88E-23)*(25+273.15))/(EXP($A13-AI$7))),((LN((Conductance_Eeq!AI12/MAX(Conductance_Eeq!AI$7:AI$27))))*(1.88E-23)*(25+273.15))/(EXP($A13-AI$7))))</f>
        <v>-1.9066831038594729E-4</v>
      </c>
      <c r="AJ13">
        <f>IF(ISBLANK(Conductance_Eeq!AJ12),"",IF(Conductance_Eeq!AJ12&lt;0,((LN(ABS(((Conductance_Eeq!AJ12/MAX(Conductance_Eeq!AJ$7:AJ$27)))))*(1.88E-23)*(25+273.15))/(EXP($A13-AJ$7))),((LN((Conductance_Eeq!AJ12/MAX(Conductance_Eeq!AJ$7:AJ$27))))*(1.88E-23)*(25+273.15))/(EXP($A13-AJ$7))))</f>
        <v>-6.8666920843779035E-4</v>
      </c>
      <c r="AK13">
        <f>IF(ISBLANK(Conductance_Eeq!AK12),"",IF(Conductance_Eeq!AK12&lt;0,((LN(ABS(((Conductance_Eeq!AK12/MAX(Conductance_Eeq!AK$7:AK$27)))))*(1.88E-23)*(25+273.15))/(EXP($A13-AK$7))),((LN((Conductance_Eeq!AK12/MAX(Conductance_Eeq!AK$7:AK$27))))*(1.88E-23)*(25+273.15))/(EXP($A13-AK$7))))</f>
        <v>-3.1275180224633956E-4</v>
      </c>
      <c r="AL13">
        <f>IF(ISBLANK(Conductance_Eeq!AL12),"",IF(Conductance_Eeq!AL12&lt;0,((LN(ABS(((Conductance_Eeq!AL12/MAX(Conductance_Eeq!AL$7:AL$27)))))*(1.88E-23)*(25+273.15))/(EXP($A13-AL$7))),((LN((Conductance_Eeq!AL12/MAX(Conductance_Eeq!AL$7:AL$27))))*(1.88E-23)*(25+273.15))/(EXP($A13-AL$7))))</f>
        <v>-8.785009854355207E-5</v>
      </c>
      <c r="AM13">
        <f>IF(ISBLANK(Conductance_Eeq!AM12),"",IF(Conductance_Eeq!AM12&lt;0,((LN(ABS(((Conductance_Eeq!AM12/MAX(Conductance_Eeq!AM$7:AM$27)))))*(1.88E-23)*(25+273.15))/(EXP($A13-AM$7))),((LN((Conductance_Eeq!AM12/MAX(Conductance_Eeq!AM$7:AM$27))))*(1.88E-23)*(25+273.15))/(EXP($A13-AM$7))))</f>
        <v>-2.9099731396504535E-4</v>
      </c>
      <c r="AN13">
        <f>IF(ISBLANK(Conductance_Eeq!AN12),"",IF(Conductance_Eeq!AN12&lt;0,((LN(ABS(((Conductance_Eeq!AN12/MAX(Conductance_Eeq!AN$7:AN$27)))))*(1.88E-23)*(25+273.15))/(EXP($A13-AN$7))),((LN((Conductance_Eeq!AN12/MAX(Conductance_Eeq!AN$7:AN$27))))*(1.88E-23)*(25+273.15))/(EXP($A13-AN$7))))</f>
        <v>-3.5575792458210596E-3</v>
      </c>
      <c r="AO13">
        <f>IF(ISBLANK(Conductance_Eeq!AO12),"",IF(Conductance_Eeq!AO12&lt;0,((LN(ABS(((Conductance_Eeq!AO12/MAX(Conductance_Eeq!AO$7:AO$27)))))*(1.88E-23)*(25+273.15))/(EXP($A13-AO$7))),((LN((Conductance_Eeq!AO12/MAX(Conductance_Eeq!AO$7:AO$27))))*(1.88E-23)*(25+273.15))/(EXP($A13-AO$7))))</f>
        <v>-1.2558153916306925E-3</v>
      </c>
      <c r="AP13">
        <f>IF(ISBLANK(Conductance_Eeq!AP12),"",IF(Conductance_Eeq!AP12&lt;0,((LN(ABS(((Conductance_Eeq!AP12/MAX(Conductance_Eeq!AP$7:AP$27)))))*(1.88E-23)*(25+273.15))/(EXP($A13-AP$7))),((LN((Conductance_Eeq!AP12/MAX(Conductance_Eeq!AP$7:AP$27))))*(1.88E-23)*(25+273.15))/(EXP($A13-AP$7))))</f>
        <v>-6.8725883345873719E-5</v>
      </c>
      <c r="AQ13">
        <f>IF(ISBLANK(Conductance_Eeq!AQ12),"",IF(Conductance_Eeq!AQ12&lt;0,((LN(ABS(((Conductance_Eeq!AQ12/MAX(Conductance_Eeq!AQ$7:AQ$27)))))*(1.88E-23)*(25+273.15))/(EXP($A13-AQ$7))),((LN((Conductance_Eeq!AQ12/MAX(Conductance_Eeq!AQ$7:AQ$27))))*(1.88E-23)*(25+273.15))/(EXP($A13-AQ$7))))</f>
        <v>-9.3444266847592767E-4</v>
      </c>
      <c r="AR13">
        <f>IF(ISBLANK(Conductance_Eeq!AR12),"",IF(Conductance_Eeq!AR12&lt;0,((LN(ABS(((Conductance_Eeq!AR12/MAX(Conductance_Eeq!AR$7:AR$27)))))*(1.88E-23)*(25+273.15))/(EXP($A13-AR$7))),((LN((Conductance_Eeq!AR12/MAX(Conductance_Eeq!AR$7:AR$27))))*(1.88E-23)*(25+273.15))/(EXP($A13-AR$7))))</f>
        <v>-3.6393641610621739E-4</v>
      </c>
      <c r="AS13">
        <f>IF(ISBLANK(Conductance_Eeq!AS12),"",IF(Conductance_Eeq!AS12&lt;0,((LN(ABS(((Conductance_Eeq!AS12/MAX(Conductance_Eeq!AS$7:AS$27)))))*(1.88E-23)*(25+273.15))/(EXP($A13-AS$7))),((LN((Conductance_Eeq!AS12/MAX(Conductance_Eeq!AS$7:AS$27))))*(1.88E-23)*(25+273.15))/(EXP($A13-AS$7))))</f>
        <v>-2.7842479341145149E-4</v>
      </c>
      <c r="AT13">
        <f>IF(ISBLANK(Conductance_Eeq!AT12),"",IF(Conductance_Eeq!AT12&lt;0,((LN(ABS(((Conductance_Eeq!AT12/MAX(Conductance_Eeq!AT$7:AT$27)))))*(1.88E-23)*(25+273.15))/(EXP($A13-AT$7))),((LN((Conductance_Eeq!AT12/MAX(Conductance_Eeq!AT$7:AT$27))))*(1.88E-23)*(25+273.15))/(EXP($A13-AT$7))))</f>
        <v>-1.4561358181942141E-3</v>
      </c>
      <c r="AU13">
        <f>IF(ISBLANK(Conductance_Eeq!AU12),"",IF(Conductance_Eeq!AU12&lt;0,((LN(ABS(((Conductance_Eeq!AU12/MAX(Conductance_Eeq!AU$7:AU$27)))))*(1.88E-23)*(25+273.15))/(EXP($A13-AU$7))),((LN((Conductance_Eeq!AU12/MAX(Conductance_Eeq!AU$7:AU$27))))*(1.88E-23)*(25+273.15))/(EXP($A13-AU$7))))</f>
        <v>-1.8206851283811235E-4</v>
      </c>
      <c r="AV13">
        <f>IF(ISBLANK(Conductance_Eeq!AV12),"",IF(Conductance_Eeq!AV12&lt;0,((LN(ABS(((Conductance_Eeq!AV12/MAX(Conductance_Eeq!AV$7:AV$27)))))*(1.88E-23)*(25+273.15))/(EXP($A13-AV$7))),((LN((Conductance_Eeq!AV12/MAX(Conductance_Eeq!AV$7:AV$27))))*(1.88E-23)*(25+273.15))/(EXP($A13-AV$7))))</f>
        <v>-5.1399655743319527E-4</v>
      </c>
      <c r="AW13">
        <f>IF(ISBLANK(Conductance_Eeq!AW12),"",IF(Conductance_Eeq!AW12&lt;0,((LN(ABS(((Conductance_Eeq!AW12/MAX(Conductance_Eeq!AW$7:AW$27)))))*(1.88E-23)*(25+273.15))/(EXP($A13-AW$7))),((LN((Conductance_Eeq!AW12/MAX(Conductance_Eeq!AW$7:AW$27))))*(1.88E-23)*(25+273.15))/(EXP($A13-AW$7))))</f>
        <v>-1.1982783473849046E-3</v>
      </c>
      <c r="AX13">
        <f>IF(ISBLANK(Conductance_Eeq!AX12),"",IF(Conductance_Eeq!AX12&lt;0,((LN(ABS(((Conductance_Eeq!AX12/MAX(Conductance_Eeq!AX$7:AX$27)))))*(1.88E-23)*(25+273.15))/(EXP($A13-AX$7))),((LN((Conductance_Eeq!AX12/MAX(Conductance_Eeq!AX$7:AX$27))))*(1.88E-23)*(25+273.15))/(EXP($A13-AX$7))))</f>
        <v>-1.4687275005491902E-3</v>
      </c>
      <c r="AY13">
        <f>IF(ISBLANK(Conductance_Eeq!AY12),"",IF(Conductance_Eeq!AY12&lt;0,((LN(ABS(((Conductance_Eeq!AY12/MAX(Conductance_Eeq!AY$7:AY$27)))))*(1.88E-23)*(25+273.15))/(EXP($A13-AY$7))),((LN((Conductance_Eeq!AY12/MAX(Conductance_Eeq!AY$7:AY$27))))*(1.88E-23)*(25+273.15))/(EXP($A13-AY$7))))</f>
        <v>-5.4724454338193082E-4</v>
      </c>
      <c r="AZ13">
        <f>IF(ISBLANK(Conductance_Eeq!AZ12),"",IF(Conductance_Eeq!AZ12&lt;0,((LN(ABS(((Conductance_Eeq!AZ12/MAX(Conductance_Eeq!AZ$7:AZ$27)))))*(1.88E-23)*(25+273.15))/(EXP($A13-AZ$7))),((LN((Conductance_Eeq!AZ12/MAX(Conductance_Eeq!AZ$7:AZ$27))))*(1.88E-23)*(25+273.15))/(EXP($A13-AZ$7))))</f>
        <v>-3.0835612772388389E-3</v>
      </c>
      <c r="BA13">
        <f>IF(ISBLANK(Conductance_Eeq!BA12),"",IF(Conductance_Eeq!BA12&lt;0,((LN(ABS(((Conductance_Eeq!BA12/MAX(Conductance_Eeq!BA$7:BA$27)))))*(1.88E-23)*(25+273.15))/(EXP($A13-BA$7))),((LN((Conductance_Eeq!BA12/MAX(Conductance_Eeq!BA$7:BA$27))))*(1.88E-23)*(25+273.15))/(EXP($A13-BA$7))))</f>
        <v>-2.738042886317891E-3</v>
      </c>
      <c r="BB13">
        <f>IF(ISBLANK(Conductance_Eeq!BB12),"",IF(Conductance_Eeq!BB12&lt;0,((LN(ABS(((Conductance_Eeq!BB12/MAX(Conductance_Eeq!BB$7:BB$27)))))*(1.88E-23)*(25+273.15))/(EXP($A13-BB$7))),((LN((Conductance_Eeq!BB12/MAX(Conductance_Eeq!BB$7:BB$27))))*(1.88E-23)*(25+273.15))/(EXP($A13-BB$7))))</f>
        <v>-4.3150266018452824E-3</v>
      </c>
      <c r="BC13">
        <f>IF(ISBLANK(Conductance_Eeq!BC12),"",IF(Conductance_Eeq!BC12&lt;0,((LN(ABS(((Conductance_Eeq!BC12/MAX(Conductance_Eeq!BC$7:BC$27)))))*(1.88E-23)*(25+273.15))/(EXP($A13-BC$7))),((LN((Conductance_Eeq!BC12/MAX(Conductance_Eeq!BC$7:BC$27))))*(1.88E-23)*(25+273.15))/(EXP($A13-BC$7))))</f>
        <v>-1.3427393826531242E-4</v>
      </c>
      <c r="BD13">
        <f>IF(ISBLANK(Conductance_Eeq!BD12),"",IF(Conductance_Eeq!BD12&lt;0,((LN(ABS(((Conductance_Eeq!BD12/MAX(Conductance_Eeq!BD$7:BD$27)))))*(1.88E-23)*(25+273.15))/(EXP($A13-BD$7))),((LN((Conductance_Eeq!BD12/MAX(Conductance_Eeq!BD$7:BD$27))))*(1.88E-23)*(25+273.15))/(EXP($A13-BD$7))))</f>
        <v>-1.3747279685740206E-4</v>
      </c>
      <c r="BE13">
        <f>IF(ISBLANK(Conductance_Eeq!BE12),"",IF(Conductance_Eeq!BE12&lt;0,((LN(ABS(((Conductance_Eeq!BE12/MAX(Conductance_Eeq!BE$7:BE$27)))))*(1.88E-23)*(25+273.15))/(EXP($A13-BE$7))),((LN((Conductance_Eeq!BE12/MAX(Conductance_Eeq!BE$7:BE$27))))*(1.88E-23)*(25+273.15))/(EXP($A13-BE$7))))</f>
        <v>-6.6498980882411136E-4</v>
      </c>
      <c r="BF13">
        <f>IF(ISBLANK(Conductance_Eeq!BF12),"",IF(Conductance_Eeq!BF12&lt;0,((LN(ABS(((Conductance_Eeq!BF12/MAX(Conductance_Eeq!BF$7:BF$27)))))*(1.88E-23)*(25+273.15))/(EXP($A13-BF$7))),((LN((Conductance_Eeq!BF12/MAX(Conductance_Eeq!BF$7:BF$27))))*(1.88E-23)*(25+273.15))/(EXP($A13-BF$7))))</f>
        <v>-4.5371633769608361E-4</v>
      </c>
      <c r="BG13">
        <f>IF(ISBLANK(Conductance_Eeq!BG12),"",IF(Conductance_Eeq!BG12&lt;0,((LN(ABS(((Conductance_Eeq!BG12/MAX(Conductance_Eeq!BG$7:BG$27)))))*(1.88E-23)*(25+273.15))/(EXP($A13-BG$7))),((LN((Conductance_Eeq!BG12/MAX(Conductance_Eeq!BG$7:BG$27))))*(1.88E-23)*(25+273.15))/(EXP($A13-BG$7))))</f>
        <v>-7.010513762604839E-3</v>
      </c>
      <c r="BH13">
        <f>IF(ISBLANK(Conductance_Eeq!BH12),"",IF(Conductance_Eeq!BH12&lt;0,((LN(ABS(((Conductance_Eeq!BH12/MAX(Conductance_Eeq!BH$7:BH$27)))))*(1.88E-23)*(25+273.15))/(EXP($A13-BH$7))),((LN((Conductance_Eeq!BH12/MAX(Conductance_Eeq!BH$7:BH$27))))*(1.88E-23)*(25+273.15))/(EXP($A13-BH$7))))</f>
        <v>-5.0906330149996538E-5</v>
      </c>
      <c r="BI13">
        <f>IF(ISBLANK(Conductance_Eeq!BI12),"",IF(Conductance_Eeq!BI12&lt;0,((LN(ABS(((Conductance_Eeq!BI12/MAX(Conductance_Eeq!BI$7:BI$27)))))*(1.88E-23)*(25+273.15))/(EXP($A13-BI$7))),((LN((Conductance_Eeq!BI12/MAX(Conductance_Eeq!BI$7:BI$27))))*(1.88E-23)*(25+273.15))/(EXP($A13-BI$7))))</f>
        <v>-1.2654026510233599E-4</v>
      </c>
      <c r="BJ13">
        <f>IF(ISBLANK(Conductance_Eeq!BJ12),"",IF(Conductance_Eeq!BJ12&lt;0,((LN(ABS(((Conductance_Eeq!BJ12/MAX(Conductance_Eeq!BJ$7:BJ$27)))))*(1.88E-23)*(25+273.15))/(EXP($A13-BJ$7))),((LN((Conductance_Eeq!BJ12/MAX(Conductance_Eeq!BJ$7:BJ$27))))*(1.88E-23)*(25+273.15))/(EXP($A13-BJ$7))))</f>
        <v>-1.0113324607460231E-3</v>
      </c>
      <c r="BK13">
        <f>IF(ISBLANK(Conductance_Eeq!BK12),"",IF(Conductance_Eeq!BK12&lt;0,((LN(ABS(((Conductance_Eeq!BK12/MAX(Conductance_Eeq!BK$7:BK$27)))))*(1.88E-23)*(25+273.15))/(EXP($A13-BK$7))),((LN((Conductance_Eeq!BK12/MAX(Conductance_Eeq!BK$7:BK$27))))*(1.88E-23)*(25+273.15))/(EXP($A13-BK$7))))</f>
        <v>-7.9256965744985001E-4</v>
      </c>
      <c r="BL13">
        <f>IF(ISBLANK(Conductance_Eeq!BL12),"",IF(Conductance_Eeq!BL12&lt;0,((LN(ABS(((Conductance_Eeq!BL12/MAX(Conductance_Eeq!BL$7:BL$27)))))*(1.88E-23)*(25+273.15))/(EXP($A13-BL$7))),((LN((Conductance_Eeq!BL12/MAX(Conductance_Eeq!BL$7:BL$27))))*(1.88E-23)*(25+273.15))/(EXP($A13-BL$7))))</f>
        <v>-4.033819012034887E-4</v>
      </c>
      <c r="BM13">
        <f>IF(ISBLANK(Conductance_Eeq!BM12),"",IF(Conductance_Eeq!BM12&lt;0,((LN(ABS(((Conductance_Eeq!BM12/MAX(Conductance_Eeq!BM$7:BM$27)))))*(1.88E-23)*(25+273.15))/(EXP($A13-BM$7))),((LN((Conductance_Eeq!BM12/MAX(Conductance_Eeq!BM$7:BM$27))))*(1.88E-23)*(25+273.15))/(EXP($A13-BM$7))))</f>
        <v>-1.4052293997883992E-3</v>
      </c>
      <c r="BN13">
        <f>IF(ISBLANK(Conductance_Eeq!BN12),"",IF(Conductance_Eeq!BN12&lt;0,((LN(ABS(((Conductance_Eeq!BN12/MAX(Conductance_Eeq!BN$7:BN$27)))))*(1.88E-23)*(25+273.15))/(EXP($A13-BN$7))),((LN((Conductance_Eeq!BN12/MAX(Conductance_Eeq!BN$7:BN$27))))*(1.88E-23)*(25+273.15))/(EXP($A13-BN$7))))</f>
        <v>-1.5808378669826075E-5</v>
      </c>
      <c r="BO13">
        <f>IF(ISBLANK(Conductance_Eeq!BO12),"",IF(Conductance_Eeq!BO12&lt;0,((LN(ABS(((Conductance_Eeq!BO12/MAX(Conductance_Eeq!BO$7:BO$27)))))*(1.88E-23)*(25+273.15))/(EXP($A13-BO$7))),((LN((Conductance_Eeq!BO12/MAX(Conductance_Eeq!BO$7:BO$27))))*(1.88E-23)*(25+273.15))/(EXP($A13-BO$7))))</f>
        <v>-4.3455914227613789E-5</v>
      </c>
      <c r="BP13">
        <f>IF(ISBLANK(Conductance_Eeq!BP12),"",IF(Conductance_Eeq!BP12&lt;0,((LN(ABS(((Conductance_Eeq!BP12/MAX(Conductance_Eeq!BP$7:BP$27)))))*(1.88E-23)*(25+273.15))/(EXP($A13-BP$7))),((LN((Conductance_Eeq!BP12/MAX(Conductance_Eeq!BP$7:BP$27))))*(1.88E-23)*(25+273.15))/(EXP($A13-BP$7))))</f>
        <v>-2.9367531841101134E-4</v>
      </c>
      <c r="BQ13">
        <f>IF(ISBLANK(Conductance_Eeq!BQ12),"",IF(Conductance_Eeq!BQ12&lt;0,((LN(ABS(((Conductance_Eeq!BQ12/MAX(Conductance_Eeq!BQ$7:BQ$27)))))*(1.88E-23)*(25+273.15))/(EXP($A13-BQ$7))),((LN((Conductance_Eeq!BQ12/MAX(Conductance_Eeq!BQ$7:BQ$27))))*(1.88E-23)*(25+273.15))/(EXP($A13-BQ$7))))</f>
        <v>-1.3148112654926497E-3</v>
      </c>
      <c r="BR13">
        <f>IF(ISBLANK(Conductance_Eeq!BR12),"",IF(Conductance_Eeq!BR12&lt;0,((LN(ABS(((Conductance_Eeq!BR12/MAX(Conductance_Eeq!BR$7:BR$27)))))*(1.88E-23)*(25+273.15))/(EXP($A13-BR$7))),((LN((Conductance_Eeq!BR12/MAX(Conductance_Eeq!BR$7:BR$27))))*(1.88E-23)*(25+273.15))/(EXP($A13-BR$7))))</f>
        <v>-1.1194540517910721E-4</v>
      </c>
      <c r="BS13">
        <f>IF(ISBLANK(Conductance_Eeq!BS12),"",IF(Conductance_Eeq!BS12&lt;0,((LN(ABS(((Conductance_Eeq!BS12/MAX(Conductance_Eeq!BS$7:BS$27)))))*(1.88E-23)*(25+273.15))/(EXP($A13-BS$7))),((LN((Conductance_Eeq!BS12/MAX(Conductance_Eeq!BS$7:BS$27))))*(1.88E-23)*(25+273.15))/(EXP($A13-BS$7))))</f>
        <v>-1.3358375601969596E-4</v>
      </c>
      <c r="BT13">
        <f>IF(ISBLANK(Conductance_Eeq!BT12),"",IF(Conductance_Eeq!BT12&lt;0,((LN(ABS(((Conductance_Eeq!BT12/MAX(Conductance_Eeq!BT$7:BT$27)))))*(1.88E-23)*(25+273.15))/(EXP($A13-BT$7))),((LN((Conductance_Eeq!BT12/MAX(Conductance_Eeq!BT$7:BT$27))))*(1.88E-23)*(25+273.15))/(EXP($A13-BT$7))))</f>
        <v>-1.1518993515750105E-3</v>
      </c>
      <c r="BU13">
        <f>IF(ISBLANK(Conductance_Eeq!BU12),"",IF(Conductance_Eeq!BU12&lt;0,((LN(ABS(((Conductance_Eeq!BU12/MAX(Conductance_Eeq!BU$7:BU$27)))))*(1.88E-23)*(25+273.15))/(EXP($A13-BU$7))),((LN((Conductance_Eeq!BU12/MAX(Conductance_Eeq!BU$7:BU$27))))*(1.88E-23)*(25+273.15))/(EXP($A13-BU$7))))</f>
        <v>-2.4218539594071616E-3</v>
      </c>
      <c r="BV13">
        <f>IF(ISBLANK(Conductance_Eeq!BV12),"",IF(Conductance_Eeq!BV12&lt;0,((LN(ABS(((Conductance_Eeq!BV12/MAX(Conductance_Eeq!BV$7:BV$27)))))*(1.88E-23)*(25+273.15))/(EXP($A13-BV$7))),((LN((Conductance_Eeq!BV12/MAX(Conductance_Eeq!BV$7:BV$27))))*(1.88E-23)*(25+273.15))/(EXP($A13-BV$7))))</f>
        <v>-4.8693961388827863E-4</v>
      </c>
      <c r="BW13">
        <f>IF(ISBLANK(Conductance_Eeq!BW12),"",IF(Conductance_Eeq!BW12&lt;0,((LN(ABS(((Conductance_Eeq!BW12/MAX(Conductance_Eeq!BW$7:BW$27)))))*(1.88E-23)*(25+273.15))/(EXP($A13-BW$7))),((LN((Conductance_Eeq!BW12/MAX(Conductance_Eeq!BW$7:BW$27))))*(1.88E-23)*(25+273.15))/(EXP($A13-BW$7))))</f>
        <v>-1.865007149163368E-3</v>
      </c>
      <c r="BX13">
        <f>IF(ISBLANK(Conductance_Eeq!BX12),"",IF(Conductance_Eeq!BX12&lt;0,((LN(ABS(((Conductance_Eeq!BX12/MAX(Conductance_Eeq!BX$7:BX$27)))))*(1.88E-23)*(25+273.15))/(EXP($A13-BX$7))),((LN((Conductance_Eeq!BX12/MAX(Conductance_Eeq!BX$7:BX$27))))*(1.88E-23)*(25+273.15))/(EXP($A13-BX$7))))</f>
        <v>-8.707079035538914E-4</v>
      </c>
      <c r="BY13">
        <f>IF(ISBLANK(Conductance_Eeq!BY12),"",IF(Conductance_Eeq!BY12&lt;0,((LN(ABS(((Conductance_Eeq!BY12/MAX(Conductance_Eeq!BY$7:BY$27)))))*(1.88E-23)*(25+273.15))/(EXP($A13-BY$7))),((LN((Conductance_Eeq!BY12/MAX(Conductance_Eeq!BY$7:BY$27))))*(1.88E-23)*(25+273.15))/(EXP($A13-BY$7))))</f>
        <v>-7.5221548408909081E-5</v>
      </c>
      <c r="BZ13">
        <f>IF(ISBLANK(Conductance_Eeq!BZ12),"",IF(Conductance_Eeq!BZ12&lt;0,((LN(ABS(((Conductance_Eeq!BZ12/MAX(Conductance_Eeq!BZ$7:BZ$27)))))*(1.88E-23)*(25+273.15))/(EXP($A13-BZ$7))),((LN((Conductance_Eeq!BZ12/MAX(Conductance_Eeq!BZ$7:BZ$27))))*(1.88E-23)*(25+273.15))/(EXP($A13-BZ$7))))</f>
        <v>-1.0268219344254055E-4</v>
      </c>
      <c r="CA13">
        <f>IF(ISBLANK(Conductance_Eeq!CA12),"",IF(Conductance_Eeq!CA12&lt;0,((LN(ABS(((Conductance_Eeq!CA12/MAX(Conductance_Eeq!CA$7:CA$27)))))*(1.88E-23)*(25+273.15))/(EXP($A13-CA$7))),((LN((Conductance_Eeq!CA12/MAX(Conductance_Eeq!CA$7:CA$27))))*(1.88E-23)*(25+273.15))/(EXP($A13-CA$7))))</f>
        <v>-5.0765870572985425E-4</v>
      </c>
      <c r="CB13">
        <f>IF(ISBLANK(Conductance_Eeq!CB12),"",IF(Conductance_Eeq!CB12&lt;0,((LN(ABS(((Conductance_Eeq!CB12/MAX(Conductance_Eeq!CB$7:CB$27)))))*(1.88E-23)*(25+273.15))/(EXP($A13-CB$7))),((LN((Conductance_Eeq!CB12/MAX(Conductance_Eeq!CB$7:CB$27))))*(1.88E-23)*(25+273.15))/(EXP($A13-CB$7))))</f>
        <v>-1.7785607893388128E-3</v>
      </c>
      <c r="CC13">
        <f>IF(ISBLANK(Conductance_Eeq!CC12),"",IF(Conductance_Eeq!CC12&lt;0,((LN(ABS(((Conductance_Eeq!CC12/MAX(Conductance_Eeq!CC$7:CC$27)))))*(1.88E-23)*(25+273.15))/(EXP($A13-CC$7))),((LN((Conductance_Eeq!CC12/MAX(Conductance_Eeq!CC$7:CC$27))))*(1.88E-23)*(25+273.15))/(EXP($A13-CC$7))))</f>
        <v>-0.14721143364122158</v>
      </c>
      <c r="CD13">
        <f>IF(ISBLANK(Conductance_Eeq!CD12),"",IF(Conductance_Eeq!CD12&lt;0,((LN(ABS(((Conductance_Eeq!CD12/MAX(Conductance_Eeq!CD$7:CD$27)))))*(1.88E-23)*(25+273.15))/(EXP($A13-CD$7))),((LN((Conductance_Eeq!CD12/MAX(Conductance_Eeq!CD$7:CD$27))))*(1.88E-23)*(25+273.15))/(EXP($A13-CD$7))))</f>
        <v>-2.8217000152440724E-3</v>
      </c>
    </row>
    <row r="14" spans="1:96" x14ac:dyDescent="0.2">
      <c r="A14" s="3">
        <f t="shared" si="0"/>
        <v>-20</v>
      </c>
      <c r="B14">
        <f>IF(ISBLANK(Conductance_Eeq!B13),"",IF(Conductance_Eeq!B13&lt;0,((LN(ABS(((Conductance_Eeq!B13/MAX(Conductance_Eeq!B$7:B$27)))))*(1.88E-23)*(25+273.15))/(EXP($A14-B$7))),((LN((Conductance_Eeq!B13/MAX(Conductance_Eeq!B$7:B$27))))*(1.88E-23)*(25+273.15))/(EXP($A14-B$7))))</f>
        <v>-5.5282845426144671E-8</v>
      </c>
      <c r="C14">
        <f>IF(ISBLANK(Conductance_Eeq!C13),"",IF(Conductance_Eeq!C13&lt;0,((LN(ABS(((Conductance_Eeq!C13/MAX(Conductance_Eeq!C$7:C$27)))))*(1.88E-23)*(25+273.15))/(EXP($A14-C$7))),((LN((Conductance_Eeq!C13/MAX(Conductance_Eeq!C$7:C$27))))*(1.88E-23)*(25+273.15))/(EXP($A14-C$7))))</f>
        <v>-1.1025775722706642E-8</v>
      </c>
      <c r="D14">
        <f>IF(ISBLANK(Conductance_Eeq!D13),"",IF(Conductance_Eeq!D13&lt;0,((LN(ABS(((Conductance_Eeq!D13/MAX(Conductance_Eeq!D$7:D$27)))))*(1.88E-23)*(25+273.15))/(EXP($A14-D$7))),((LN((Conductance_Eeq!D13/MAX(Conductance_Eeq!D$7:D$27))))*(1.88E-23)*(25+273.15))/(EXP($A14-D$7))))</f>
        <v>-5.3032552469018363E-9</v>
      </c>
      <c r="E14">
        <f>IF(ISBLANK(Conductance_Eeq!E13),"",IF(Conductance_Eeq!E13&lt;0,((LN(ABS(((Conductance_Eeq!E13/MAX(Conductance_Eeq!E$7:E$27)))))*(1.88E-23)*(25+273.15))/(EXP($A14-E$7))),((LN((Conductance_Eeq!E13/MAX(Conductance_Eeq!E$7:E$27))))*(1.88E-23)*(25+273.15))/(EXP($A14-E$7))))</f>
        <v>-1.3730061499552423E-9</v>
      </c>
      <c r="F14">
        <f>IF(ISBLANK(Conductance_Eeq!F13),"",IF(Conductance_Eeq!F13&lt;0,((LN(ABS(((Conductance_Eeq!F13/MAX(Conductance_Eeq!F$7:F$27)))))*(1.88E-23)*(25+273.15))/(EXP($A14-F$7))),((LN((Conductance_Eeq!F13/MAX(Conductance_Eeq!F$7:F$27))))*(1.88E-23)*(25+273.15))/(EXP($A14-F$7))))</f>
        <v>-5.7624492929184971E-8</v>
      </c>
      <c r="G14">
        <f>IF(ISBLANK(Conductance_Eeq!G13),"",IF(Conductance_Eeq!G13&lt;0,((LN(ABS(((Conductance_Eeq!G13/MAX(Conductance_Eeq!G$7:G$27)))))*(1.88E-23)*(25+273.15))/(EXP($A14-G$7))),((LN((Conductance_Eeq!G13/MAX(Conductance_Eeq!G$7:G$27))))*(1.88E-23)*(25+273.15))/(EXP($A14-G$7))))</f>
        <v>-5.7624492929184971E-8</v>
      </c>
      <c r="H14">
        <f>IF(ISBLANK(Conductance_Eeq!H13),"",IF(Conductance_Eeq!H13&lt;0,((LN(ABS(((Conductance_Eeq!H13/MAX(Conductance_Eeq!H$7:H$27)))))*(1.88E-23)*(25+273.15))/(EXP($A14-H$7))),((LN((Conductance_Eeq!H13/MAX(Conductance_Eeq!H$7:H$27))))*(1.88E-23)*(25+273.15))/(EXP($A14-H$7))))</f>
        <v>-4.6886842923802466E-8</v>
      </c>
      <c r="I14">
        <f>IF(ISBLANK(Conductance_Eeq!I13),"",IF(Conductance_Eeq!I13&lt;0,((LN(ABS(((Conductance_Eeq!I13/MAX(Conductance_Eeq!I$7:I$27)))))*(1.88E-23)*(25+273.15))/(EXP($A14-I$7))),((LN((Conductance_Eeq!I13/MAX(Conductance_Eeq!I$7:I$27))))*(1.88E-23)*(25+273.15))/(EXP($A14-I$7))))</f>
        <v>-4.2189999809101932E-11</v>
      </c>
      <c r="J14">
        <f>IF(ISBLANK(Conductance_Eeq!J13),"",IF(Conductance_Eeq!J13&lt;0,((LN(ABS(((Conductance_Eeq!J13/MAX(Conductance_Eeq!J$7:J$27)))))*(1.88E-23)*(25+273.15))/(EXP($A14-J$7))),((LN((Conductance_Eeq!J13/MAX(Conductance_Eeq!J$7:J$27))))*(1.88E-23)*(25+273.15))/(EXP($A14-J$7))))</f>
        <v>-4.3548517581346707E-10</v>
      </c>
      <c r="K14">
        <f>IF(ISBLANK(Conductance_Eeq!K13),"",IF(Conductance_Eeq!K13&lt;0,((LN(ABS(((Conductance_Eeq!K13/MAX(Conductance_Eeq!K$7:K$27)))))*(1.88E-23)*(25+273.15))/(EXP($A14-K$7))),((LN((Conductance_Eeq!K13/MAX(Conductance_Eeq!K$7:K$27))))*(1.88E-23)*(25+273.15))/(EXP($A14-K$7))))</f>
        <v>-1.7209916201568205E-8</v>
      </c>
      <c r="L14">
        <f>IF(ISBLANK(Conductance_Eeq!L13),"",IF(Conductance_Eeq!L13&lt;0,((LN(ABS(((Conductance_Eeq!L13/MAX(Conductance_Eeq!L$7:L$27)))))*(1.88E-23)*(25+273.15))/(EXP($A14-L$7))),((LN((Conductance_Eeq!L13/MAX(Conductance_Eeq!L$7:L$27))))*(1.88E-23)*(25+273.15))/(EXP($A14-L$7))))</f>
        <v>-3.9501994775782294E-9</v>
      </c>
      <c r="M14">
        <f>IF(ISBLANK(Conductance_Eeq!M13),"",IF(Conductance_Eeq!M13&lt;0,((LN(ABS(((Conductance_Eeq!M13/MAX(Conductance_Eeq!M$7:M$27)))))*(1.88E-23)*(25+273.15))/(EXP($A14-M$7))),((LN((Conductance_Eeq!M13/MAX(Conductance_Eeq!M$7:M$27))))*(1.88E-23)*(25+273.15))/(EXP($A14-M$7))))</f>
        <v>-8.8788270030028173E-10</v>
      </c>
      <c r="N14">
        <f>IF(ISBLANK(Conductance_Eeq!N13),"",IF(Conductance_Eeq!N13&lt;0,((LN(ABS(((Conductance_Eeq!N13/MAX(Conductance_Eeq!N$7:N$27)))))*(1.88E-23)*(25+273.15))/(EXP($A14-N$7))),((LN((Conductance_Eeq!N13/MAX(Conductance_Eeq!N$7:N$27))))*(1.88E-23)*(25+273.15))/(EXP($A14-N$7))))</f>
        <v>-3.5482569721116154E-11</v>
      </c>
      <c r="O14">
        <f>IF(ISBLANK(Conductance_Eeq!O13),"",IF(Conductance_Eeq!O13&lt;0,((LN(ABS(((Conductance_Eeq!O13/MAX(Conductance_Eeq!O$7:O$27)))))*(1.88E-23)*(25+273.15))/(EXP($A14-O$7))),((LN((Conductance_Eeq!O13/MAX(Conductance_Eeq!O$7:O$27))))*(1.88E-23)*(25+273.15))/(EXP($A14-O$7))))</f>
        <v>-7.8486932176796763E-10</v>
      </c>
      <c r="P14">
        <f>IF(ISBLANK(Conductance_Eeq!P13),"",IF(Conductance_Eeq!P13&lt;0,((LN(ABS(((Conductance_Eeq!P13/MAX(Conductance_Eeq!P$7:P$27)))))*(1.88E-23)*(25+273.15))/(EXP($A14-P$7))),((LN((Conductance_Eeq!P13/MAX(Conductance_Eeq!P$7:P$27))))*(1.88E-23)*(25+273.15))/(EXP($A14-P$7))))</f>
        <v>-1.1376429253813415E-9</v>
      </c>
      <c r="Q14">
        <f>IF(ISBLANK(Conductance_Eeq!Q13),"",IF(Conductance_Eeq!Q13&lt;0,((LN(ABS(((Conductance_Eeq!Q13/MAX(Conductance_Eeq!Q$7:Q$27)))))*(1.88E-23)*(25+273.15))/(EXP($A14-Q$7))),((LN((Conductance_Eeq!Q13/MAX(Conductance_Eeq!Q$7:Q$27))))*(1.88E-23)*(25+273.15))/(EXP($A14-Q$7))))</f>
        <v>-1.2953856139881018E-8</v>
      </c>
      <c r="R14">
        <f>IF(ISBLANK(Conductance_Eeq!R13),"",IF(Conductance_Eeq!R13&lt;0,((LN(ABS(((Conductance_Eeq!R13/MAX(Conductance_Eeq!R$7:R$27)))))*(1.88E-23)*(25+273.15))/(EXP($A14-R$7))),((LN((Conductance_Eeq!R13/MAX(Conductance_Eeq!R$7:R$27))))*(1.88E-23)*(25+273.15))/(EXP($A14-R$7))))</f>
        <v>-1.0577321396297031E-8</v>
      </c>
      <c r="S14">
        <f>IF(ISBLANK(Conductance_Eeq!S13),"",IF(Conductance_Eeq!S13&lt;0,((LN(ABS(((Conductance_Eeq!S13/MAX(Conductance_Eeq!S$7:S$27)))))*(1.88E-23)*(25+273.15))/(EXP($A14-S$7))),((LN((Conductance_Eeq!S13/MAX(Conductance_Eeq!S$7:S$27))))*(1.88E-23)*(25+273.15))/(EXP($A14-S$7))))</f>
        <v>-7.0693146572214337E-9</v>
      </c>
      <c r="T14">
        <f>IF(ISBLANK(Conductance_Eeq!T13),"",IF(Conductance_Eeq!T13&lt;0,((LN(ABS(((Conductance_Eeq!T13/MAX(Conductance_Eeq!T$7:T$27)))))*(1.88E-23)*(25+273.15))/(EXP($A14-T$7))),((LN((Conductance_Eeq!T13/MAX(Conductance_Eeq!T$7:T$27))))*(1.88E-23)*(25+273.15))/(EXP($A14-T$7))))</f>
        <v>-2.7722911177774544E-9</v>
      </c>
      <c r="U14">
        <f>IF(ISBLANK(Conductance_Eeq!U13),"",IF(Conductance_Eeq!U13&lt;0,((LN(ABS(((Conductance_Eeq!U13/MAX(Conductance_Eeq!U$7:U$27)))))*(1.88E-23)*(25+273.15))/(EXP($A14-U$7))),((LN((Conductance_Eeq!U13/MAX(Conductance_Eeq!U$7:U$27))))*(1.88E-23)*(25+273.15))/(EXP($A14-U$7))))</f>
        <v>-7.6970475375585773E-10</v>
      </c>
      <c r="V14">
        <f>IF(ISBLANK(Conductance_Eeq!V13),"",IF(Conductance_Eeq!V13&lt;0,((LN(ABS(((Conductance_Eeq!V13/MAX(Conductance_Eeq!V$7:V$27)))))*(1.88E-23)*(25+273.15))/(EXP($A14-V$7))),((LN((Conductance_Eeq!V13/MAX(Conductance_Eeq!V$7:V$27))))*(1.88E-23)*(25+273.15))/(EXP($A14-V$7))))</f>
        <v>-2.8585831642933018E-8</v>
      </c>
      <c r="W14">
        <f>IF(ISBLANK(Conductance_Eeq!W13),"",IF(Conductance_Eeq!W13&lt;0,((LN(ABS(((Conductance_Eeq!W13/MAX(Conductance_Eeq!W$7:W$27)))))*(1.88E-23)*(25+273.15))/(EXP($A14-W$7))),((LN((Conductance_Eeq!W13/MAX(Conductance_Eeq!W$7:W$27))))*(1.88E-23)*(25+273.15))/(EXP($A14-W$7))))</f>
        <v>-8.851463330109767E-10</v>
      </c>
      <c r="X14">
        <f>IF(ISBLANK(Conductance_Eeq!X13),"",IF(Conductance_Eeq!X13&lt;0,((LN(ABS(((Conductance_Eeq!X13/MAX(Conductance_Eeq!X$7:X$27)))))*(1.88E-23)*(25+273.15))/(EXP($A14-X$7))),((LN((Conductance_Eeq!X13/MAX(Conductance_Eeq!X$7:X$27))))*(1.88E-23)*(25+273.15))/(EXP($A14-X$7))))</f>
        <v>-4.1996644241100526E-9</v>
      </c>
      <c r="Y14">
        <f>IF(ISBLANK(Conductance_Eeq!Y13),"",IF(Conductance_Eeq!Y13&lt;0,((LN(ABS(((Conductance_Eeq!Y13/MAX(Conductance_Eeq!Y$7:Y$27)))))*(1.88E-23)*(25+273.15))/(EXP($A14-Y$7))),((LN((Conductance_Eeq!Y13/MAX(Conductance_Eeq!Y$7:Y$27))))*(1.88E-23)*(25+273.15))/(EXP($A14-Y$7))))</f>
        <v>-4.5765655477884721E-9</v>
      </c>
      <c r="Z14">
        <f>IF(ISBLANK(Conductance_Eeq!Z13),"",IF(Conductance_Eeq!Z13&lt;0,((LN(ABS(((Conductance_Eeq!Z13/MAX(Conductance_Eeq!Z$7:Z$27)))))*(1.88E-23)*(25+273.15))/(EXP($A14-Z$7))),((LN((Conductance_Eeq!Z13/MAX(Conductance_Eeq!Z$7:Z$27))))*(1.88E-23)*(25+273.15))/(EXP($A14-Z$7))))</f>
        <v>-3.9047840115940727E-8</v>
      </c>
      <c r="AA14">
        <f>IF(ISBLANK(Conductance_Eeq!AA13),"",IF(Conductance_Eeq!AA13&lt;0,((LN(ABS(((Conductance_Eeq!AA13/MAX(Conductance_Eeq!AA$7:AA$27)))))*(1.88E-23)*(25+273.15))/(EXP($A14-AA$7))),((LN((Conductance_Eeq!AA13/MAX(Conductance_Eeq!AA$7:AA$27))))*(1.88E-23)*(25+273.15))/(EXP($A14-AA$7))))</f>
        <v>-2.3508216563840343E-8</v>
      </c>
      <c r="AB14">
        <f>IF(ISBLANK(Conductance_Eeq!AB13),"",IF(Conductance_Eeq!AB13&lt;0,((LN(ABS(((Conductance_Eeq!AB13/MAX(Conductance_Eeq!AB$7:AB$27)))))*(1.88E-23)*(25+273.15))/(EXP($A14-AB$7))),((LN((Conductance_Eeq!AB13/MAX(Conductance_Eeq!AB$7:AB$27))))*(1.88E-23)*(25+273.15))/(EXP($A14-AB$7))))</f>
        <v>-3.1491816003869263E-9</v>
      </c>
      <c r="AC14">
        <f>IF(ISBLANK(Conductance_Eeq!AC13),"",IF(Conductance_Eeq!AC13&lt;0,((LN(ABS(((Conductance_Eeq!AC13/MAX(Conductance_Eeq!AC$7:AC$27)))))*(1.88E-23)*(25+273.15))/(EXP($A14-AC$7))),((LN((Conductance_Eeq!AC13/MAX(Conductance_Eeq!AC$7:AC$27))))*(1.88E-23)*(25+273.15))/(EXP($A14-AC$7))))</f>
        <v>-3.0102270962297602E-9</v>
      </c>
      <c r="AD14">
        <f>IF(ISBLANK(Conductance_Eeq!AD13),"",IF(Conductance_Eeq!AD13&lt;0,((LN(ABS(((Conductance_Eeq!AD13/MAX(Conductance_Eeq!AD$7:AD$27)))))*(1.88E-23)*(25+273.15))/(EXP($A14-AD$7))),((LN((Conductance_Eeq!AD13/MAX(Conductance_Eeq!AD$7:AD$27))))*(1.88E-23)*(25+273.15))/(EXP($A14-AD$7))))</f>
        <v>-1.5924731572956037E-8</v>
      </c>
      <c r="AE14">
        <f>IF(ISBLANK(Conductance_Eeq!AE13),"",IF(Conductance_Eeq!AE13&lt;0,((LN(ABS(((Conductance_Eeq!AE13/MAX(Conductance_Eeq!AE$7:AE$27)))))*(1.88E-23)*(25+273.15))/(EXP($A14-AE$7))),((LN((Conductance_Eeq!AE13/MAX(Conductance_Eeq!AE$7:AE$27))))*(1.88E-23)*(25+273.15))/(EXP($A14-AE$7))))</f>
        <v>-8.7147648509184386E-7</v>
      </c>
      <c r="AF14">
        <f>IF(ISBLANK(Conductance_Eeq!AF13),"",IF(Conductance_Eeq!AF13&lt;0,((LN(ABS(((Conductance_Eeq!AF13/MAX(Conductance_Eeq!AF$7:AF$27)))))*(1.88E-23)*(25+273.15))/(EXP($A14-AF$7))),((LN((Conductance_Eeq!AF13/MAX(Conductance_Eeq!AF$7:AF$27))))*(1.88E-23)*(25+273.15))/(EXP($A14-AF$7))))</f>
        <v>-3.8266517419409306E-8</v>
      </c>
      <c r="AG14">
        <f>IF(ISBLANK(Conductance_Eeq!AG13),"",IF(Conductance_Eeq!AG13&lt;0,((LN(ABS(((Conductance_Eeq!AG13/MAX(Conductance_Eeq!AG$7:AG$27)))))*(1.88E-23)*(25+273.15))/(EXP($A14-AG$7))),((LN((Conductance_Eeq!AG13/MAX(Conductance_Eeq!AG$7:AG$27))))*(1.88E-23)*(25+273.15))/(EXP($A14-AG$7))))</f>
        <v>-1.743369667735557E-8</v>
      </c>
      <c r="AH14">
        <f>IF(ISBLANK(Conductance_Eeq!AH13),"",IF(Conductance_Eeq!AH13&lt;0,((LN(ABS(((Conductance_Eeq!AH13/MAX(Conductance_Eeq!AH$7:AH$27)))))*(1.88E-23)*(25+273.15))/(EXP($A14-AH$7))),((LN((Conductance_Eeq!AH13/MAX(Conductance_Eeq!AH$7:AH$27))))*(1.88E-23)*(25+273.15))/(EXP($A14-AH$7))))</f>
        <v>-1.6986135290042257E-8</v>
      </c>
      <c r="AI14">
        <f>IF(ISBLANK(Conductance_Eeq!AI13),"",IF(Conductance_Eeq!AI13&lt;0,((LN(ABS(((Conductance_Eeq!AI13/MAX(Conductance_Eeq!AI$7:AI$27)))))*(1.88E-23)*(25+273.15))/(EXP($A14-AI$7))),((LN((Conductance_Eeq!AI13/MAX(Conductance_Eeq!AI$7:AI$27))))*(1.88E-23)*(25+273.15))/(EXP($A14-AI$7))))</f>
        <v>-4.5114490066312603E-9</v>
      </c>
      <c r="AJ14">
        <f>IF(ISBLANK(Conductance_Eeq!AJ13),"",IF(Conductance_Eeq!AJ13&lt;0,((LN(ABS(((Conductance_Eeq!AJ13/MAX(Conductance_Eeq!AJ$7:AJ$27)))))*(1.88E-23)*(25+273.15))/(EXP($A14-AJ$7))),((LN((Conductance_Eeq!AJ13/MAX(Conductance_Eeq!AJ$7:AJ$27))))*(1.88E-23)*(25+273.15))/(EXP($A14-AJ$7))))</f>
        <v>-1.8448753369198794E-8</v>
      </c>
      <c r="AK14">
        <f>IF(ISBLANK(Conductance_Eeq!AK13),"",IF(Conductance_Eeq!AK13&lt;0,((LN(ABS(((Conductance_Eeq!AK13/MAX(Conductance_Eeq!AK$7:AK$27)))))*(1.88E-23)*(25+273.15))/(EXP($A14-AK$7))),((LN((Conductance_Eeq!AK13/MAX(Conductance_Eeq!AK$7:AK$27))))*(1.88E-23)*(25+273.15))/(EXP($A14-AK$7))))</f>
        <v>-5.7698874960512617E-9</v>
      </c>
      <c r="AL14">
        <f>IF(ISBLANK(Conductance_Eeq!AL13),"",IF(Conductance_Eeq!AL13&lt;0,((LN(ABS(((Conductance_Eeq!AL13/MAX(Conductance_Eeq!AL$7:AL$27)))))*(1.88E-23)*(25+273.15))/(EXP($A14-AL$7))),((LN((Conductance_Eeq!AL13/MAX(Conductance_Eeq!AL$7:AL$27))))*(1.88E-23)*(25+273.15))/(EXP($A14-AL$7))))</f>
        <v>-3.4668987222802451E-9</v>
      </c>
      <c r="AM14">
        <f>IF(ISBLANK(Conductance_Eeq!AM13),"",IF(Conductance_Eeq!AM13&lt;0,((LN(ABS(((Conductance_Eeq!AM13/MAX(Conductance_Eeq!AM$7:AM$27)))))*(1.88E-23)*(25+273.15))/(EXP($A14-AM$7))),((LN((Conductance_Eeq!AM13/MAX(Conductance_Eeq!AM$7:AM$27))))*(1.88E-23)*(25+273.15))/(EXP($A14-AM$7))))</f>
        <v>-8.4167228564313114E-9</v>
      </c>
      <c r="AN14">
        <f>IF(ISBLANK(Conductance_Eeq!AN13),"",IF(Conductance_Eeq!AN13&lt;0,((LN(ABS(((Conductance_Eeq!AN13/MAX(Conductance_Eeq!AN$7:AN$27)))))*(1.88E-23)*(25+273.15))/(EXP($A14-AN$7))),((LN((Conductance_Eeq!AN13/MAX(Conductance_Eeq!AN$7:AN$27))))*(1.88E-23)*(25+273.15))/(EXP($A14-AN$7))))</f>
        <v>-7.8693512763469236E-8</v>
      </c>
      <c r="AO14">
        <f>IF(ISBLANK(Conductance_Eeq!AO13),"",IF(Conductance_Eeq!AO13&lt;0,((LN(ABS(((Conductance_Eeq!AO13/MAX(Conductance_Eeq!AO$7:AO$27)))))*(1.88E-23)*(25+273.15))/(EXP($A14-AO$7))),((LN((Conductance_Eeq!AO13/MAX(Conductance_Eeq!AO$7:AO$27))))*(1.88E-23)*(25+273.15))/(EXP($A14-AO$7))))</f>
        <v>-3.1123081649185509E-8</v>
      </c>
      <c r="AP14">
        <f>IF(ISBLANK(Conductance_Eeq!AP13),"",IF(Conductance_Eeq!AP13&lt;0,((LN(ABS(((Conductance_Eeq!AP13/MAX(Conductance_Eeq!AP$7:AP$27)))))*(1.88E-23)*(25+273.15))/(EXP($A14-AP$7))),((LN((Conductance_Eeq!AP13/MAX(Conductance_Eeq!AP$7:AP$27))))*(1.88E-23)*(25+273.15))/(EXP($A14-AP$7))))</f>
        <v>-3.3264307842461334E-9</v>
      </c>
      <c r="AQ14">
        <f>IF(ISBLANK(Conductance_Eeq!AQ13),"",IF(Conductance_Eeq!AQ13&lt;0,((LN(ABS(((Conductance_Eeq!AQ13/MAX(Conductance_Eeq!AQ$7:AQ$27)))))*(1.88E-23)*(25+273.15))/(EXP($A14-AQ$7))),((LN((Conductance_Eeq!AQ13/MAX(Conductance_Eeq!AQ$7:AQ$27))))*(1.88E-23)*(25+273.15))/(EXP($A14-AQ$7))))</f>
        <v>-2.5450487234186732E-8</v>
      </c>
      <c r="AR14">
        <f>IF(ISBLANK(Conductance_Eeq!AR13),"",IF(Conductance_Eeq!AR13&lt;0,((LN(ABS(((Conductance_Eeq!AR13/MAX(Conductance_Eeq!AR$7:AR$27)))))*(1.88E-23)*(25+273.15))/(EXP($A14-AR$7))),((LN((Conductance_Eeq!AR13/MAX(Conductance_Eeq!AR$7:AR$27))))*(1.88E-23)*(25+273.15))/(EXP($A14-AR$7))))</f>
        <v>-6.1716614906671505E-9</v>
      </c>
      <c r="AS14">
        <f>IF(ISBLANK(Conductance_Eeq!AS13),"",IF(Conductance_Eeq!AS13&lt;0,((LN(ABS(((Conductance_Eeq!AS13/MAX(Conductance_Eeq!AS$7:AS$27)))))*(1.88E-23)*(25+273.15))/(EXP($A14-AS$7))),((LN((Conductance_Eeq!AS13/MAX(Conductance_Eeq!AS$7:AS$27))))*(1.88E-23)*(25+273.15))/(EXP($A14-AS$7))))</f>
        <v>-6.2536837473217921E-9</v>
      </c>
      <c r="AT14">
        <f>IF(ISBLANK(Conductance_Eeq!AT13),"",IF(Conductance_Eeq!AT13&lt;0,((LN(ABS(((Conductance_Eeq!AT13/MAX(Conductance_Eeq!AT$7:AT$27)))))*(1.88E-23)*(25+273.15))/(EXP($A14-AT$7))),((LN((Conductance_Eeq!AT13/MAX(Conductance_Eeq!AT$7:AT$27))))*(1.88E-23)*(25+273.15))/(EXP($A14-AT$7))))</f>
        <v>-4.5357835313625488E-8</v>
      </c>
      <c r="AU14">
        <f>IF(ISBLANK(Conductance_Eeq!AU13),"",IF(Conductance_Eeq!AU13&lt;0,((LN(ABS(((Conductance_Eeq!AU13/MAX(Conductance_Eeq!AU$7:AU$27)))))*(1.88E-23)*(25+273.15))/(EXP($A14-AU$7))),((LN((Conductance_Eeq!AU13/MAX(Conductance_Eeq!AU$7:AU$27))))*(1.88E-23)*(25+273.15))/(EXP($A14-AU$7))))</f>
        <v>-5.8897589317024813E-9</v>
      </c>
      <c r="AV14">
        <f>IF(ISBLANK(Conductance_Eeq!AV13),"",IF(Conductance_Eeq!AV13&lt;0,((LN(ABS(((Conductance_Eeq!AV13/MAX(Conductance_Eeq!AV$7:AV$27)))))*(1.88E-23)*(25+273.15))/(EXP($A14-AV$7))),((LN((Conductance_Eeq!AV13/MAX(Conductance_Eeq!AV$7:AV$27))))*(1.88E-23)*(25+273.15))/(EXP($A14-AV$7))))</f>
        <v>-1.8281654766452248E-8</v>
      </c>
      <c r="AW14">
        <f>IF(ISBLANK(Conductance_Eeq!AW13),"",IF(Conductance_Eeq!AW13&lt;0,((LN(ABS(((Conductance_Eeq!AW13/MAX(Conductance_Eeq!AW$7:AW$27)))))*(1.88E-23)*(25+273.15))/(EXP($A14-AW$7))),((LN((Conductance_Eeq!AW13/MAX(Conductance_Eeq!AW$7:AW$27))))*(1.88E-23)*(25+273.15))/(EXP($A14-AW$7))))</f>
        <v>-5.0347983647144937E-8</v>
      </c>
      <c r="AX14">
        <f>IF(ISBLANK(Conductance_Eeq!AX13),"",IF(Conductance_Eeq!AX13&lt;0,((LN(ABS(((Conductance_Eeq!AX13/MAX(Conductance_Eeq!AX$7:AX$27)))))*(1.88E-23)*(25+273.15))/(EXP($A14-AX$7))),((LN((Conductance_Eeq!AX13/MAX(Conductance_Eeq!AX$7:AX$27))))*(1.88E-23)*(25+273.15))/(EXP($A14-AX$7))))</f>
        <v>-2.5099577578327032E-8</v>
      </c>
      <c r="AY14">
        <f>IF(ISBLANK(Conductance_Eeq!AY13),"",IF(Conductance_Eeq!AY13&lt;0,((LN(ABS(((Conductance_Eeq!AY13/MAX(Conductance_Eeq!AY$7:AY$27)))))*(1.88E-23)*(25+273.15))/(EXP($A14-AY$7))),((LN((Conductance_Eeq!AY13/MAX(Conductance_Eeq!AY$7:AY$27))))*(1.88E-23)*(25+273.15))/(EXP($A14-AY$7))))</f>
        <v>-1.1602295200799397E-8</v>
      </c>
      <c r="AZ14">
        <f>IF(ISBLANK(Conductance_Eeq!AZ13),"",IF(Conductance_Eeq!AZ13&lt;0,((LN(ABS(((Conductance_Eeq!AZ13/MAX(Conductance_Eeq!AZ$7:AZ$27)))))*(1.88E-23)*(25+273.15))/(EXP($A14-AZ$7))),((LN((Conductance_Eeq!AZ13/MAX(Conductance_Eeq!AZ$7:AZ$27))))*(1.88E-23)*(25+273.15))/(EXP($A14-AZ$7))))</f>
        <v>-9.5929540690021175E-8</v>
      </c>
      <c r="BA14">
        <f>IF(ISBLANK(Conductance_Eeq!BA13),"",IF(Conductance_Eeq!BA13&lt;0,((LN(ABS(((Conductance_Eeq!BA13/MAX(Conductance_Eeq!BA$7:BA$27)))))*(1.88E-23)*(25+273.15))/(EXP($A14-BA$7))),((LN((Conductance_Eeq!BA13/MAX(Conductance_Eeq!BA$7:BA$27))))*(1.88E-23)*(25+273.15))/(EXP($A14-BA$7))))</f>
        <v>-6.1831834689808506E-8</v>
      </c>
      <c r="BB14">
        <f>IF(ISBLANK(Conductance_Eeq!BB13),"",IF(Conductance_Eeq!BB13&lt;0,((LN(ABS(((Conductance_Eeq!BB13/MAX(Conductance_Eeq!BB$7:BB$27)))))*(1.88E-23)*(25+273.15))/(EXP($A14-BB$7))),((LN((Conductance_Eeq!BB13/MAX(Conductance_Eeq!BB$7:BB$27))))*(1.88E-23)*(25+273.15))/(EXP($A14-BB$7))))</f>
        <v>-1.2730978785179244E-7</v>
      </c>
      <c r="BC14">
        <f>IF(ISBLANK(Conductance_Eeq!BC13),"",IF(Conductance_Eeq!BC13&lt;0,((LN(ABS(((Conductance_Eeq!BC13/MAX(Conductance_Eeq!BC$7:BC$27)))))*(1.88E-23)*(25+273.15))/(EXP($A14-BC$7))),((LN((Conductance_Eeq!BC13/MAX(Conductance_Eeq!BC$7:BC$27))))*(1.88E-23)*(25+273.15))/(EXP($A14-BC$7))))</f>
        <v>-2.4488308306063692E-9</v>
      </c>
      <c r="BD14">
        <f>IF(ISBLANK(Conductance_Eeq!BD13),"",IF(Conductance_Eeq!BD13&lt;0,((LN(ABS(((Conductance_Eeq!BD13/MAX(Conductance_Eeq!BD$7:BD$27)))))*(1.88E-23)*(25+273.15))/(EXP($A14-BD$7))),((LN((Conductance_Eeq!BD13/MAX(Conductance_Eeq!BD$7:BD$27))))*(1.88E-23)*(25+273.15))/(EXP($A14-BD$7))))</f>
        <v>-5.1116547311996617E-9</v>
      </c>
      <c r="BE14">
        <f>IF(ISBLANK(Conductance_Eeq!BE13),"",IF(Conductance_Eeq!BE13&lt;0,((LN(ABS(((Conductance_Eeq!BE13/MAX(Conductance_Eeq!BE$7:BE$27)))))*(1.88E-23)*(25+273.15))/(EXP($A14-BE$7))),((LN((Conductance_Eeq!BE13/MAX(Conductance_Eeq!BE$7:BE$27))))*(1.88E-23)*(25+273.15))/(EXP($A14-BE$7))))</f>
        <v>-1.6604717622098131E-8</v>
      </c>
      <c r="BF14">
        <f>IF(ISBLANK(Conductance_Eeq!BF13),"",IF(Conductance_Eeq!BF13&lt;0,((LN(ABS(((Conductance_Eeq!BF13/MAX(Conductance_Eeq!BF$7:BF$27)))))*(1.88E-23)*(25+273.15))/(EXP($A14-BF$7))),((LN((Conductance_Eeq!BF13/MAX(Conductance_Eeq!BF$7:BF$27))))*(1.88E-23)*(25+273.15))/(EXP($A14-BF$7))))</f>
        <v>-3.1684943583549804E-8</v>
      </c>
      <c r="BG14">
        <f>IF(ISBLANK(Conductance_Eeq!BG13),"",IF(Conductance_Eeq!BG13&lt;0,((LN(ABS(((Conductance_Eeq!BG13/MAX(Conductance_Eeq!BG$7:BG$27)))))*(1.88E-23)*(25+273.15))/(EXP($A14-BG$7))),((LN((Conductance_Eeq!BG13/MAX(Conductance_Eeq!BG$7:BG$27))))*(1.88E-23)*(25+273.15))/(EXP($A14-BG$7))))</f>
        <v>-2.0897155178502485E-7</v>
      </c>
      <c r="BH14">
        <f>IF(ISBLANK(Conductance_Eeq!BH13),"",IF(Conductance_Eeq!BH13&lt;0,((LN(ABS(((Conductance_Eeq!BH13/MAX(Conductance_Eeq!BH$7:BH$27)))))*(1.88E-23)*(25+273.15))/(EXP($A14-BH$7))),((LN((Conductance_Eeq!BH13/MAX(Conductance_Eeq!BH$7:BH$27))))*(1.88E-23)*(25+273.15))/(EXP($A14-BH$7))))</f>
        <v>-1.443788532460187E-9</v>
      </c>
      <c r="BI14">
        <f>IF(ISBLANK(Conductance_Eeq!BI13),"",IF(Conductance_Eeq!BI13&lt;0,((LN(ABS(((Conductance_Eeq!BI13/MAX(Conductance_Eeq!BI$7:BI$27)))))*(1.88E-23)*(25+273.15))/(EXP($A14-BI$7))),((LN((Conductance_Eeq!BI13/MAX(Conductance_Eeq!BI$7:BI$27))))*(1.88E-23)*(25+273.15))/(EXP($A14-BI$7))))</f>
        <v>-7.3192428687262397E-9</v>
      </c>
      <c r="BJ14">
        <f>IF(ISBLANK(Conductance_Eeq!BJ13),"",IF(Conductance_Eeq!BJ13&lt;0,((LN(ABS(((Conductance_Eeq!BJ13/MAX(Conductance_Eeq!BJ$7:BJ$27)))))*(1.88E-23)*(25+273.15))/(EXP($A14-BJ$7))),((LN((Conductance_Eeq!BJ13/MAX(Conductance_Eeq!BJ$7:BJ$27))))*(1.88E-23)*(25+273.15))/(EXP($A14-BJ$7))))</f>
        <v>-2.1164042033392358E-8</v>
      </c>
      <c r="BK14">
        <f>IF(ISBLANK(Conductance_Eeq!BK13),"",IF(Conductance_Eeq!BK13&lt;0,((LN(ABS(((Conductance_Eeq!BK13/MAX(Conductance_Eeq!BK$7:BK$27)))))*(1.88E-23)*(25+273.15))/(EXP($A14-BK$7))),((LN((Conductance_Eeq!BK13/MAX(Conductance_Eeq!BK$7:BK$27))))*(1.88E-23)*(25+273.15))/(EXP($A14-BK$7))))</f>
        <v>-2.6086690178069134E-8</v>
      </c>
      <c r="BL14">
        <f>IF(ISBLANK(Conductance_Eeq!BL13),"",IF(Conductance_Eeq!BL13&lt;0,((LN(ABS(((Conductance_Eeq!BL13/MAX(Conductance_Eeq!BL$7:BL$27)))))*(1.88E-23)*(25+273.15))/(EXP($A14-BL$7))),((LN((Conductance_Eeq!BL13/MAX(Conductance_Eeq!BL$7:BL$27))))*(1.88E-23)*(25+273.15))/(EXP($A14-BL$7))))</f>
        <v>-8.113487945186873E-9</v>
      </c>
      <c r="BM14">
        <f>IF(ISBLANK(Conductance_Eeq!BM13),"",IF(Conductance_Eeq!BM13&lt;0,((LN(ABS(((Conductance_Eeq!BM13/MAX(Conductance_Eeq!BM$7:BM$27)))))*(1.88E-23)*(25+273.15))/(EXP($A14-BM$7))),((LN((Conductance_Eeq!BM13/MAX(Conductance_Eeq!BM$7:BM$27))))*(1.88E-23)*(25+273.15))/(EXP($A14-BM$7))))</f>
        <v>-3.5464235152568618E-8</v>
      </c>
      <c r="BN14">
        <f>IF(ISBLANK(Conductance_Eeq!BN13),"",IF(Conductance_Eeq!BN13&lt;0,((LN(ABS(((Conductance_Eeq!BN13/MAX(Conductance_Eeq!BN$7:BN$27)))))*(1.88E-23)*(25+273.15))/(EXP($A14-BN$7))),((LN((Conductance_Eeq!BN13/MAX(Conductance_Eeq!BN$7:BN$27))))*(1.88E-23)*(25+273.15))/(EXP($A14-BN$7))))</f>
        <v>-6.1898081291424483E-10</v>
      </c>
      <c r="BO14">
        <f>IF(ISBLANK(Conductance_Eeq!BO13),"",IF(Conductance_Eeq!BO13&lt;0,((LN(ABS(((Conductance_Eeq!BO13/MAX(Conductance_Eeq!BO$7:BO$27)))))*(1.88E-23)*(25+273.15))/(EXP($A14-BO$7))),((LN((Conductance_Eeq!BO13/MAX(Conductance_Eeq!BO$7:BO$27))))*(1.88E-23)*(25+273.15))/(EXP($A14-BO$7))))</f>
        <v>-7.885797500852238E-10</v>
      </c>
      <c r="BP14">
        <f>IF(ISBLANK(Conductance_Eeq!BP13),"",IF(Conductance_Eeq!BP13&lt;0,((LN(ABS(((Conductance_Eeq!BP13/MAX(Conductance_Eeq!BP$7:BP$27)))))*(1.88E-23)*(25+273.15))/(EXP($A14-BP$7))),((LN((Conductance_Eeq!BP13/MAX(Conductance_Eeq!BP$7:BP$27))))*(1.88E-23)*(25+273.15))/(EXP($A14-BP$7))))</f>
        <v>-5.9811515016884272E-9</v>
      </c>
      <c r="BQ14">
        <f>IF(ISBLANK(Conductance_Eeq!BQ13),"",IF(Conductance_Eeq!BQ13&lt;0,((LN(ABS(((Conductance_Eeq!BQ13/MAX(Conductance_Eeq!BQ$7:BQ$27)))))*(1.88E-23)*(25+273.15))/(EXP($A14-BQ$7))),((LN((Conductance_Eeq!BQ13/MAX(Conductance_Eeq!BQ$7:BQ$27))))*(1.88E-23)*(25+273.15))/(EXP($A14-BQ$7))))</f>
        <v>-3.2790991901773516E-8</v>
      </c>
      <c r="BR14">
        <f>IF(ISBLANK(Conductance_Eeq!BR13),"",IF(Conductance_Eeq!BR13&lt;0,((LN(ABS(((Conductance_Eeq!BR13/MAX(Conductance_Eeq!BR$7:BR$27)))))*(1.88E-23)*(25+273.15))/(EXP($A14-BR$7))),((LN((Conductance_Eeq!BR13/MAX(Conductance_Eeq!BR$7:BR$27))))*(1.88E-23)*(25+273.15))/(EXP($A14-BR$7))))</f>
        <v>-2.7755811225170639E-9</v>
      </c>
      <c r="BS14">
        <f>IF(ISBLANK(Conductance_Eeq!BS13),"",IF(Conductance_Eeq!BS13&lt;0,((LN(ABS(((Conductance_Eeq!BS13/MAX(Conductance_Eeq!BS$7:BS$27)))))*(1.88E-23)*(25+273.15))/(EXP($A14-BS$7))),((LN((Conductance_Eeq!BS13/MAX(Conductance_Eeq!BS$7:BS$27))))*(1.88E-23)*(25+273.15))/(EXP($A14-BS$7))))</f>
        <v>-2.6038877860874747E-9</v>
      </c>
      <c r="BT14">
        <f>IF(ISBLANK(Conductance_Eeq!BT13),"",IF(Conductance_Eeq!BT13&lt;0,((LN(ABS(((Conductance_Eeq!BT13/MAX(Conductance_Eeq!BT$7:BT$27)))))*(1.88E-23)*(25+273.15))/(EXP($A14-BT$7))),((LN((Conductance_Eeq!BT13/MAX(Conductance_Eeq!BT$7:BT$27))))*(1.88E-23)*(25+273.15))/(EXP($A14-BT$7))))</f>
        <v>-2.4941781019789604E-8</v>
      </c>
      <c r="BU14">
        <f>IF(ISBLANK(Conductance_Eeq!BU13),"",IF(Conductance_Eeq!BU13&lt;0,((LN(ABS(((Conductance_Eeq!BU13/MAX(Conductance_Eeq!BU$7:BU$27)))))*(1.88E-23)*(25+273.15))/(EXP($A14-BU$7))),((LN((Conductance_Eeq!BU13/MAX(Conductance_Eeq!BU$7:BU$27))))*(1.88E-23)*(25+273.15))/(EXP($A14-BU$7))))</f>
        <v>-7.4372967683708398E-8</v>
      </c>
      <c r="BV14">
        <f>IF(ISBLANK(Conductance_Eeq!BV13),"",IF(Conductance_Eeq!BV13&lt;0,((LN(ABS(((Conductance_Eeq!BV13/MAX(Conductance_Eeq!BV$7:BV$27)))))*(1.88E-23)*(25+273.15))/(EXP($A14-BV$7))),((LN((Conductance_Eeq!BV13/MAX(Conductance_Eeq!BV$7:BV$27))))*(1.88E-23)*(25+273.15))/(EXP($A14-BV$7))))</f>
        <v>-1.1533337428105003E-8</v>
      </c>
      <c r="BW14">
        <f>IF(ISBLANK(Conductance_Eeq!BW13),"",IF(Conductance_Eeq!BW13&lt;0,((LN(ABS(((Conductance_Eeq!BW13/MAX(Conductance_Eeq!BW$7:BW$27)))))*(1.88E-23)*(25+273.15))/(EXP($A14-BW$7))),((LN((Conductance_Eeq!BW13/MAX(Conductance_Eeq!BW$7:BW$27))))*(1.88E-23)*(25+273.15))/(EXP($A14-BW$7))))</f>
        <v>-6.4262666207803629E-8</v>
      </c>
      <c r="BX14">
        <f>IF(ISBLANK(Conductance_Eeq!BX13),"",IF(Conductance_Eeq!BX13&lt;0,((LN(ABS(((Conductance_Eeq!BX13/MAX(Conductance_Eeq!BX$7:BX$27)))))*(1.88E-23)*(25+273.15))/(EXP($A14-BX$7))),((LN((Conductance_Eeq!BX13/MAX(Conductance_Eeq!BX$7:BX$27))))*(1.88E-23)*(25+273.15))/(EXP($A14-BX$7))))</f>
        <v>-1.5096746871817219E-8</v>
      </c>
      <c r="BY14">
        <f>IF(ISBLANK(Conductance_Eeq!BY13),"",IF(Conductance_Eeq!BY13&lt;0,((LN(ABS(((Conductance_Eeq!BY13/MAX(Conductance_Eeq!BY$7:BY$27)))))*(1.88E-23)*(25+273.15))/(EXP($A14-BY$7))),((LN((Conductance_Eeq!BY13/MAX(Conductance_Eeq!BY$7:BY$27))))*(1.88E-23)*(25+273.15))/(EXP($A14-BY$7))))</f>
        <v>-2.2436396411949931E-9</v>
      </c>
      <c r="BZ14">
        <f>IF(ISBLANK(Conductance_Eeq!BZ13),"",IF(Conductance_Eeq!BZ13&lt;0,((LN(ABS(((Conductance_Eeq!BZ13/MAX(Conductance_Eeq!BZ$7:BZ$27)))))*(1.88E-23)*(25+273.15))/(EXP($A14-BZ$7))),((LN((Conductance_Eeq!BZ13/MAX(Conductance_Eeq!BZ$7:BZ$27))))*(1.88E-23)*(25+273.15))/(EXP($A14-BZ$7))))</f>
        <v>-4.8219608040745718E-9</v>
      </c>
      <c r="CA14">
        <f>IF(ISBLANK(Conductance_Eeq!CA13),"",IF(Conductance_Eeq!CA13&lt;0,((LN(ABS(((Conductance_Eeq!CA13/MAX(Conductance_Eeq!CA$7:CA$27)))))*(1.88E-23)*(25+273.15))/(EXP($A14-CA$7))),((LN((Conductance_Eeq!CA13/MAX(Conductance_Eeq!CA$7:CA$27))))*(1.88E-23)*(25+273.15))/(EXP($A14-CA$7))))</f>
        <v>-1.5675620023462345E-8</v>
      </c>
      <c r="CB14">
        <f>IF(ISBLANK(Conductance_Eeq!CB13),"",IF(Conductance_Eeq!CB13&lt;0,((LN(ABS(((Conductance_Eeq!CB13/MAX(Conductance_Eeq!CB$7:CB$27)))))*(1.88E-23)*(25+273.15))/(EXP($A14-CB$7))),((LN((Conductance_Eeq!CB13/MAX(Conductance_Eeq!CB$7:CB$27))))*(1.88E-23)*(25+273.15))/(EXP($A14-CB$7))))</f>
        <v>-5.0436180497300667E-8</v>
      </c>
      <c r="CC14">
        <f>IF(ISBLANK(Conductance_Eeq!CC13),"",IF(Conductance_Eeq!CC13&lt;0,((LN(ABS(((Conductance_Eeq!CC13/MAX(Conductance_Eeq!CC$7:CC$27)))))*(1.88E-23)*(25+273.15))/(EXP($A14-CC$7))),((LN((Conductance_Eeq!CC13/MAX(Conductance_Eeq!CC$7:CC$27))))*(1.88E-23)*(25+273.15))/(EXP($A14-CC$7))))</f>
        <v>-4.974435267102681E-6</v>
      </c>
      <c r="CD14">
        <f>IF(ISBLANK(Conductance_Eeq!CD13),"",IF(Conductance_Eeq!CD13&lt;0,((LN(ABS(((Conductance_Eeq!CD13/MAX(Conductance_Eeq!CD$7:CD$27)))))*(1.88E-23)*(25+273.15))/(EXP($A14-CD$7))),((LN((Conductance_Eeq!CD13/MAX(Conductance_Eeq!CD$7:CD$27))))*(1.88E-23)*(25+273.15))/(EXP($A14-CD$7))))</f>
        <v>-7.8157195067825682E-8</v>
      </c>
    </row>
    <row r="15" spans="1:96" x14ac:dyDescent="0.2">
      <c r="A15" s="3">
        <f t="shared" si="0"/>
        <v>-10</v>
      </c>
      <c r="B15">
        <f>IF(ISBLANK(Conductance_Eeq!B14),"",IF(Conductance_Eeq!B14&lt;0,((LN(ABS(((Conductance_Eeq!B14/MAX(Conductance_Eeq!B$7:B$27)))))*(1.88E-23)*(25+273.15))/(EXP($A15-B$7))),((LN((Conductance_Eeq!B14/MAX(Conductance_Eeq!B$7:B$27))))*(1.88E-23)*(25+273.15))/(EXP($A15-B$7))))</f>
        <v>-1.2250688581837072E-12</v>
      </c>
      <c r="C15">
        <f>IF(ISBLANK(Conductance_Eeq!C14),"",IF(Conductance_Eeq!C14&lt;0,((LN(ABS(((Conductance_Eeq!C14/MAX(Conductance_Eeq!C$7:C$27)))))*(1.88E-23)*(25+273.15))/(EXP($A15-C$7))),((LN((Conductance_Eeq!C14/MAX(Conductance_Eeq!C$7:C$27))))*(1.88E-23)*(25+273.15))/(EXP($A15-C$7))))</f>
        <v>-2.4958924105665087E-13</v>
      </c>
      <c r="D15">
        <f>IF(ISBLANK(Conductance_Eeq!D14),"",IF(Conductance_Eeq!D14&lt;0,((LN(ABS(((Conductance_Eeq!D14/MAX(Conductance_Eeq!D$7:D$27)))))*(1.88E-23)*(25+273.15))/(EXP($A15-D$7))),((LN((Conductance_Eeq!D14/MAX(Conductance_Eeq!D$7:D$27))))*(1.88E-23)*(25+273.15))/(EXP($A15-D$7))))</f>
        <v>-7.5014256675552842E-14</v>
      </c>
      <c r="E15">
        <f>IF(ISBLANK(Conductance_Eeq!E14),"",IF(Conductance_Eeq!E14&lt;0,((LN(ABS(((Conductance_Eeq!E14/MAX(Conductance_Eeq!E$7:E$27)))))*(1.88E-23)*(25+273.15))/(EXP($A15-E$7))),((LN((Conductance_Eeq!E14/MAX(Conductance_Eeq!E$7:E$27))))*(1.88E-23)*(25+273.15))/(EXP($A15-E$7))))</f>
        <v>-2.0324669043645478E-14</v>
      </c>
      <c r="F15">
        <f>IF(ISBLANK(Conductance_Eeq!F14),"",IF(Conductance_Eeq!F14&lt;0,((LN(ABS(((Conductance_Eeq!F14/MAX(Conductance_Eeq!F$7:F$27)))))*(1.88E-23)*(25+273.15))/(EXP($A15-F$7))),((LN((Conductance_Eeq!F14/MAX(Conductance_Eeq!F$7:F$27))))*(1.88E-23)*(25+273.15))/(EXP($A15-F$7))))</f>
        <v>-1.0371495895696875E-12</v>
      </c>
      <c r="G15">
        <f>IF(ISBLANK(Conductance_Eeq!G14),"",IF(Conductance_Eeq!G14&lt;0,((LN(ABS(((Conductance_Eeq!G14/MAX(Conductance_Eeq!G$7:G$27)))))*(1.88E-23)*(25+273.15))/(EXP($A15-G$7))),((LN((Conductance_Eeq!G14/MAX(Conductance_Eeq!G$7:G$27))))*(1.88E-23)*(25+273.15))/(EXP($A15-G$7))))</f>
        <v>-1.0371495895696875E-12</v>
      </c>
      <c r="H15">
        <f>IF(ISBLANK(Conductance_Eeq!H14),"",IF(Conductance_Eeq!H14&lt;0,((LN(ABS(((Conductance_Eeq!H14/MAX(Conductance_Eeq!H$7:H$27)))))*(1.88E-23)*(25+273.15))/(EXP($A15-H$7))),((LN((Conductance_Eeq!H14/MAX(Conductance_Eeq!H$7:H$27))))*(1.88E-23)*(25+273.15))/(EXP($A15-H$7))))</f>
        <v>-9.3272349895390641E-13</v>
      </c>
      <c r="I15">
        <f>IF(ISBLANK(Conductance_Eeq!I14),"",IF(Conductance_Eeq!I14&lt;0,((LN(ABS(((Conductance_Eeq!I14/MAX(Conductance_Eeq!I$7:I$27)))))*(1.88E-23)*(25+273.15))/(EXP($A15-I$7))),((LN((Conductance_Eeq!I14/MAX(Conductance_Eeq!I$7:I$27))))*(1.88E-23)*(25+273.15))/(EXP($A15-I$7))))</f>
        <v>-8.133650948798226E-16</v>
      </c>
      <c r="J15">
        <f>IF(ISBLANK(Conductance_Eeq!J14),"",IF(Conductance_Eeq!J14&lt;0,((LN(ABS(((Conductance_Eeq!J14/MAX(Conductance_Eeq!J$7:J$27)))))*(1.88E-23)*(25+273.15))/(EXP($A15-J$7))),((LN((Conductance_Eeq!J14/MAX(Conductance_Eeq!J$7:J$27))))*(1.88E-23)*(25+273.15))/(EXP($A15-J$7))))</f>
        <v>-5.4607491851345548E-15</v>
      </c>
      <c r="K15">
        <f>IF(ISBLANK(Conductance_Eeq!K14),"",IF(Conductance_Eeq!K14&lt;0,((LN(ABS(((Conductance_Eeq!K14/MAX(Conductance_Eeq!K$7:K$27)))))*(1.88E-23)*(25+273.15))/(EXP($A15-K$7))),((LN((Conductance_Eeq!K14/MAX(Conductance_Eeq!K$7:K$27))))*(1.88E-23)*(25+273.15))/(EXP($A15-K$7))))</f>
        <v>-3.2835182491354822E-13</v>
      </c>
      <c r="L15">
        <f>IF(ISBLANK(Conductance_Eeq!L14),"",IF(Conductance_Eeq!L14&lt;0,((LN(ABS(((Conductance_Eeq!L14/MAX(Conductance_Eeq!L$7:L$27)))))*(1.88E-23)*(25+273.15))/(EXP($A15-L$7))),((LN((Conductance_Eeq!L14/MAX(Conductance_Eeq!L$7:L$27))))*(1.88E-23)*(25+273.15))/(EXP($A15-L$7))))</f>
        <v>-6.8323847273590519E-14</v>
      </c>
      <c r="M15">
        <f>IF(ISBLANK(Conductance_Eeq!M14),"",IF(Conductance_Eeq!M14&lt;0,((LN(ABS(((Conductance_Eeq!M14/MAX(Conductance_Eeq!M$7:M$27)))))*(1.88E-23)*(25+273.15))/(EXP($A15-M$7))),((LN((Conductance_Eeq!M14/MAX(Conductance_Eeq!M$7:M$27))))*(1.88E-23)*(25+273.15))/(EXP($A15-M$7))))</f>
        <v>-1.1833929249636956E-14</v>
      </c>
      <c r="N15">
        <f>IF(ISBLANK(Conductance_Eeq!N14),"",IF(Conductance_Eeq!N14&lt;0,((LN(ABS(((Conductance_Eeq!N14/MAX(Conductance_Eeq!N$7:N$27)))))*(1.88E-23)*(25+273.15))/(EXP($A15-N$7))),((LN((Conductance_Eeq!N14/MAX(Conductance_Eeq!N$7:N$27))))*(1.88E-23)*(25+273.15))/(EXP($A15-N$7))))</f>
        <v>-9.4543587466632741E-16</v>
      </c>
      <c r="O15">
        <f>IF(ISBLANK(Conductance_Eeq!O14),"",IF(Conductance_Eeq!O14&lt;0,((LN(ABS(((Conductance_Eeq!O14/MAX(Conductance_Eeq!O$7:O$27)))))*(1.88E-23)*(25+273.15))/(EXP($A15-O$7))),((LN((Conductance_Eeq!O14/MAX(Conductance_Eeq!O$7:O$27))))*(1.88E-23)*(25+273.15))/(EXP($A15-O$7))))</f>
        <v>-9.8683243137374023E-15</v>
      </c>
      <c r="P15">
        <f>IF(ISBLANK(Conductance_Eeq!P14),"",IF(Conductance_Eeq!P14&lt;0,((LN(ABS(((Conductance_Eeq!P14/MAX(Conductance_Eeq!P$7:P$27)))))*(1.88E-23)*(25+273.15))/(EXP($A15-P$7))),((LN((Conductance_Eeq!P14/MAX(Conductance_Eeq!P$7:P$27))))*(1.88E-23)*(25+273.15))/(EXP($A15-P$7))))</f>
        <v>-3.538630868376215E-14</v>
      </c>
      <c r="Q15">
        <f>IF(ISBLANK(Conductance_Eeq!Q14),"",IF(Conductance_Eeq!Q14&lt;0,((LN(ABS(((Conductance_Eeq!Q14/MAX(Conductance_Eeq!Q$7:Q$27)))))*(1.88E-23)*(25+273.15))/(EXP($A15-Q$7))),((LN((Conductance_Eeq!Q14/MAX(Conductance_Eeq!Q$7:Q$27))))*(1.88E-23)*(25+273.15))/(EXP($A15-Q$7))))</f>
        <v>-2.36830954121805E-13</v>
      </c>
      <c r="R15">
        <f>IF(ISBLANK(Conductance_Eeq!R14),"",IF(Conductance_Eeq!R14&lt;0,((LN(ABS(((Conductance_Eeq!R14/MAX(Conductance_Eeq!R$7:R$27)))))*(1.88E-23)*(25+273.15))/(EXP($A15-R$7))),((LN((Conductance_Eeq!R14/MAX(Conductance_Eeq!R$7:R$27))))*(1.88E-23)*(25+273.15))/(EXP($A15-R$7))))</f>
        <v>-2.0892457042374289E-13</v>
      </c>
      <c r="S15">
        <f>IF(ISBLANK(Conductance_Eeq!S14),"",IF(Conductance_Eeq!S14&lt;0,((LN(ABS(((Conductance_Eeq!S14/MAX(Conductance_Eeq!S$7:S$27)))))*(1.88E-23)*(25+273.15))/(EXP($A15-S$7))),((LN((Conductance_Eeq!S14/MAX(Conductance_Eeq!S$7:S$27))))*(1.88E-23)*(25+273.15))/(EXP($A15-S$7))))</f>
        <v>-1.529173878457149E-13</v>
      </c>
      <c r="T15">
        <f>IF(ISBLANK(Conductance_Eeq!T14),"",IF(Conductance_Eeq!T14&lt;0,((LN(ABS(((Conductance_Eeq!T14/MAX(Conductance_Eeq!T$7:T$27)))))*(1.88E-23)*(25+273.15))/(EXP($A15-T$7))),((LN((Conductance_Eeq!T14/MAX(Conductance_Eeq!T$7:T$27))))*(1.88E-23)*(25+273.15))/(EXP($A15-T$7))))</f>
        <v>-4.5938518278163683E-14</v>
      </c>
      <c r="U15">
        <f>IF(ISBLANK(Conductance_Eeq!U14),"",IF(Conductance_Eeq!U14&lt;0,((LN(ABS(((Conductance_Eeq!U14/MAX(Conductance_Eeq!U$7:U$27)))))*(1.88E-23)*(25+273.15))/(EXP($A15-U$7))),((LN((Conductance_Eeq!U14/MAX(Conductance_Eeq!U$7:U$27))))*(1.88E-23)*(25+273.15))/(EXP($A15-U$7))))</f>
        <v>-9.1323493215997763E-15</v>
      </c>
      <c r="V15">
        <f>IF(ISBLANK(Conductance_Eeq!V14),"",IF(Conductance_Eeq!V14&lt;0,((LN(ABS(((Conductance_Eeq!V14/MAX(Conductance_Eeq!V$7:V$27)))))*(1.88E-23)*(25+273.15))/(EXP($A15-V$7))),((LN((Conductance_Eeq!V14/MAX(Conductance_Eeq!V$7:V$27))))*(1.88E-23)*(25+273.15))/(EXP($A15-V$7))))</f>
        <v>-5.5569990536477244E-13</v>
      </c>
      <c r="W15">
        <f>IF(ISBLANK(Conductance_Eeq!W14),"",IF(Conductance_Eeq!W14&lt;0,((LN(ABS(((Conductance_Eeq!W14/MAX(Conductance_Eeq!W$7:W$27)))))*(1.88E-23)*(25+273.15))/(EXP($A15-W$7))),((LN((Conductance_Eeq!W14/MAX(Conductance_Eeq!W$7:W$27))))*(1.88E-23)*(25+273.15))/(EXP($A15-W$7))))</f>
        <v>-1.9674759746968164E-14</v>
      </c>
      <c r="X15">
        <f>IF(ISBLANK(Conductance_Eeq!X14),"",IF(Conductance_Eeq!X14&lt;0,((LN(ABS(((Conductance_Eeq!X14/MAX(Conductance_Eeq!X$7:X$27)))))*(1.88E-23)*(25+273.15))/(EXP($A15-X$7))),((LN((Conductance_Eeq!X14/MAX(Conductance_Eeq!X$7:X$27))))*(1.88E-23)*(25+273.15))/(EXP($A15-X$7))))</f>
        <v>-7.99783320582026E-14</v>
      </c>
      <c r="Y15">
        <f>IF(ISBLANK(Conductance_Eeq!Y14),"",IF(Conductance_Eeq!Y14&lt;0,((LN(ABS(((Conductance_Eeq!Y14/MAX(Conductance_Eeq!Y$7:Y$27)))))*(1.88E-23)*(25+273.15))/(EXP($A15-Y$7))),((LN((Conductance_Eeq!Y14/MAX(Conductance_Eeq!Y$7:Y$27))))*(1.88E-23)*(25+273.15))/(EXP($A15-Y$7))))</f>
        <v>-9.6805562500675221E-14</v>
      </c>
      <c r="Z15">
        <f>IF(ISBLANK(Conductance_Eeq!Z14),"",IF(Conductance_Eeq!Z14&lt;0,((LN(ABS(((Conductance_Eeq!Z14/MAX(Conductance_Eeq!Z$7:Z$27)))))*(1.88E-23)*(25+273.15))/(EXP($A15-Z$7))),((LN((Conductance_Eeq!Z14/MAX(Conductance_Eeq!Z$7:Z$27))))*(1.88E-23)*(25+273.15))/(EXP($A15-Z$7))))</f>
        <v>-9.4230881877483135E-13</v>
      </c>
      <c r="AA15">
        <f>IF(ISBLANK(Conductance_Eeq!AA14),"",IF(Conductance_Eeq!AA14&lt;0,((LN(ABS(((Conductance_Eeq!AA14/MAX(Conductance_Eeq!AA$7:AA$27)))))*(1.88E-23)*(25+273.15))/(EXP($A15-AA$7))),((LN((Conductance_Eeq!AA14/MAX(Conductance_Eeq!AA$7:AA$27))))*(1.88E-23)*(25+273.15))/(EXP($A15-AA$7))))</f>
        <v>-5.5467144362573381E-13</v>
      </c>
      <c r="AB15">
        <f>IF(ISBLANK(Conductance_Eeq!AB14),"",IF(Conductance_Eeq!AB14&lt;0,((LN(ABS(((Conductance_Eeq!AB14/MAX(Conductance_Eeq!AB$7:AB$27)))))*(1.88E-23)*(25+273.15))/(EXP($A15-AB$7))),((LN((Conductance_Eeq!AB14/MAX(Conductance_Eeq!AB$7:AB$27))))*(1.88E-23)*(25+273.15))/(EXP($A15-AB$7))))</f>
        <v>-4.8605694761755486E-14</v>
      </c>
      <c r="AC15">
        <f>IF(ISBLANK(Conductance_Eeq!AC14),"",IF(Conductance_Eeq!AC14&lt;0,((LN(ABS(((Conductance_Eeq!AC14/MAX(Conductance_Eeq!AC$7:AC$27)))))*(1.88E-23)*(25+273.15))/(EXP($A15-AC$7))),((LN((Conductance_Eeq!AC14/MAX(Conductance_Eeq!AC$7:AC$27))))*(1.88E-23)*(25+273.15))/(EXP($A15-AC$7))))</f>
        <v>-6.0367101941063877E-14</v>
      </c>
      <c r="AD15">
        <f>IF(ISBLANK(Conductance_Eeq!AD14),"",IF(Conductance_Eeq!AD14&lt;0,((LN(ABS(((Conductance_Eeq!AD14/MAX(Conductance_Eeq!AD$7:AD$27)))))*(1.88E-23)*(25+273.15))/(EXP($A15-AD$7))),((LN((Conductance_Eeq!AD14/MAX(Conductance_Eeq!AD$7:AD$27))))*(1.88E-23)*(25+273.15))/(EXP($A15-AD$7))))</f>
        <v>-3.503780016852693E-13</v>
      </c>
      <c r="AE15">
        <f>IF(ISBLANK(Conductance_Eeq!AE14),"",IF(Conductance_Eeq!AE14&lt;0,((LN(ABS(((Conductance_Eeq!AE14/MAX(Conductance_Eeq!AE$7:AE$27)))))*(1.88E-23)*(25+273.15))/(EXP($A15-AE$7))),((LN((Conductance_Eeq!AE14/MAX(Conductance_Eeq!AE$7:AE$27))))*(1.88E-23)*(25+273.15))/(EXP($A15-AE$7))))</f>
        <v>-2.7784419248613917E-11</v>
      </c>
      <c r="AF15">
        <f>IF(ISBLANK(Conductance_Eeq!AF14),"",IF(Conductance_Eeq!AF14&lt;0,((LN(ABS(((Conductance_Eeq!AF14/MAX(Conductance_Eeq!AF$7:AF$27)))))*(1.88E-23)*(25+273.15))/(EXP($A15-AF$7))),((LN((Conductance_Eeq!AF14/MAX(Conductance_Eeq!AF$7:AF$27))))*(1.88E-23)*(25+273.15))/(EXP($A15-AF$7))))</f>
        <v>-7.5744981124420903E-13</v>
      </c>
      <c r="AG15">
        <f>IF(ISBLANK(Conductance_Eeq!AG14),"",IF(Conductance_Eeq!AG14&lt;0,((LN(ABS(((Conductance_Eeq!AG14/MAX(Conductance_Eeq!AG$7:AG$27)))))*(1.88E-23)*(25+273.15))/(EXP($A15-AG$7))),((LN((Conductance_Eeq!AG14/MAX(Conductance_Eeq!AG$7:AG$27))))*(1.88E-23)*(25+273.15))/(EXP($A15-AG$7))))</f>
        <v>-3.4566927045953122E-13</v>
      </c>
      <c r="AH15">
        <f>IF(ISBLANK(Conductance_Eeq!AH14),"",IF(Conductance_Eeq!AH14&lt;0,((LN(ABS(((Conductance_Eeq!AH14/MAX(Conductance_Eeq!AH$7:AH$27)))))*(1.88E-23)*(25+273.15))/(EXP($A15-AH$7))),((LN((Conductance_Eeq!AH14/MAX(Conductance_Eeq!AH$7:AH$27))))*(1.88E-23)*(25+273.15))/(EXP($A15-AH$7))))</f>
        <v>-3.6120654757391174E-13</v>
      </c>
      <c r="AI15">
        <f>IF(ISBLANK(Conductance_Eeq!AI14),"",IF(Conductance_Eeq!AI14&lt;0,((LN(ABS(((Conductance_Eeq!AI14/MAX(Conductance_Eeq!AI$7:AI$27)))))*(1.88E-23)*(25+273.15))/(EXP($A15-AI$7))),((LN((Conductance_Eeq!AI14/MAX(Conductance_Eeq!AI$7:AI$27))))*(1.88E-23)*(25+273.15))/(EXP($A15-AI$7))))</f>
        <v>-1.0095845932285742E-13</v>
      </c>
      <c r="AJ15">
        <f>IF(ISBLANK(Conductance_Eeq!AJ14),"",IF(Conductance_Eeq!AJ14&lt;0,((LN(ABS(((Conductance_Eeq!AJ14/MAX(Conductance_Eeq!AJ$7:AJ$27)))))*(1.88E-23)*(25+273.15))/(EXP($A15-AJ$7))),((LN((Conductance_Eeq!AJ14/MAX(Conductance_Eeq!AJ$7:AJ$27))))*(1.88E-23)*(25+273.15))/(EXP($A15-AJ$7))))</f>
        <v>-3.4609897229261284E-13</v>
      </c>
      <c r="AK15">
        <f>IF(ISBLANK(Conductance_Eeq!AK14),"",IF(Conductance_Eeq!AK14&lt;0,((LN(ABS(((Conductance_Eeq!AK14/MAX(Conductance_Eeq!AK$7:AK$27)))))*(1.88E-23)*(25+273.15))/(EXP($A15-AK$7))),((LN((Conductance_Eeq!AK14/MAX(Conductance_Eeq!AK$7:AK$27))))*(1.88E-23)*(25+273.15))/(EXP($A15-AK$7))))</f>
        <v>-1.0508196629191538E-13</v>
      </c>
      <c r="AL15">
        <f>IF(ISBLANK(Conductance_Eeq!AL14),"",IF(Conductance_Eeq!AL14&lt;0,((LN(ABS(((Conductance_Eeq!AL14/MAX(Conductance_Eeq!AL$7:AL$27)))))*(1.88E-23)*(25+273.15))/(EXP($A15-AL$7))),((LN((Conductance_Eeq!AL14/MAX(Conductance_Eeq!AL$7:AL$27))))*(1.88E-23)*(25+273.15))/(EXP($A15-AL$7))))</f>
        <v>-9.0270777699691952E-14</v>
      </c>
      <c r="AM15">
        <f>IF(ISBLANK(Conductance_Eeq!AM14),"",IF(Conductance_Eeq!AM14&lt;0,((LN(ABS(((Conductance_Eeq!AM14/MAX(Conductance_Eeq!AM$7:AM$27)))))*(1.88E-23)*(25+273.15))/(EXP($A15-AM$7))),((LN((Conductance_Eeq!AM14/MAX(Conductance_Eeq!AM$7:AM$27))))*(1.88E-23)*(25+273.15))/(EXP($A15-AM$7))))</f>
        <v>-1.5110689464033078E-13</v>
      </c>
      <c r="AN15">
        <f>IF(ISBLANK(Conductance_Eeq!AN14),"",IF(Conductance_Eeq!AN14&lt;0,((LN(ABS(((Conductance_Eeq!AN14/MAX(Conductance_Eeq!AN$7:AN$27)))))*(1.88E-23)*(25+273.15))/(EXP($A15-AN$7))),((LN((Conductance_Eeq!AN14/MAX(Conductance_Eeq!AN$7:AN$27))))*(1.88E-23)*(25+273.15))/(EXP($A15-AN$7))))</f>
        <v>-1.4346793679245783E-12</v>
      </c>
      <c r="AO15">
        <f>IF(ISBLANK(Conductance_Eeq!AO14),"",IF(Conductance_Eeq!AO14&lt;0,((LN(ABS(((Conductance_Eeq!AO14/MAX(Conductance_Eeq!AO$7:AO$27)))))*(1.88E-23)*(25+273.15))/(EXP($A15-AO$7))),((LN((Conductance_Eeq!AO14/MAX(Conductance_Eeq!AO$7:AO$27))))*(1.88E-23)*(25+273.15))/(EXP($A15-AO$7))))</f>
        <v>-7.4758736200925707E-13</v>
      </c>
      <c r="AP15">
        <f>IF(ISBLANK(Conductance_Eeq!AP14),"",IF(Conductance_Eeq!AP14&lt;0,((LN(ABS(((Conductance_Eeq!AP14/MAX(Conductance_Eeq!AP$7:AP$27)))))*(1.88E-23)*(25+273.15))/(EXP($A15-AP$7))),((LN((Conductance_Eeq!AP14/MAX(Conductance_Eeq!AP$7:AP$27))))*(1.88E-23)*(25+273.15))/(EXP($A15-AP$7))))</f>
        <v>-6.4574765735781336E-14</v>
      </c>
      <c r="AQ15">
        <f>IF(ISBLANK(Conductance_Eeq!AQ14),"",IF(Conductance_Eeq!AQ14&lt;0,((LN(ABS(((Conductance_Eeq!AQ14/MAX(Conductance_Eeq!AQ$7:AQ$27)))))*(1.88E-23)*(25+273.15))/(EXP($A15-AQ$7))),((LN((Conductance_Eeq!AQ14/MAX(Conductance_Eeq!AQ$7:AQ$27))))*(1.88E-23)*(25+273.15))/(EXP($A15-AQ$7))))</f>
        <v>-6.6501328277702386E-13</v>
      </c>
      <c r="AR15">
        <f>IF(ISBLANK(Conductance_Eeq!AR14),"",IF(Conductance_Eeq!AR14&lt;0,((LN(ABS(((Conductance_Eeq!AR14/MAX(Conductance_Eeq!AR$7:AR$27)))))*(1.88E-23)*(25+273.15))/(EXP($A15-AR$7))),((LN((Conductance_Eeq!AR14/MAX(Conductance_Eeq!AR$7:AR$27))))*(1.88E-23)*(25+273.15))/(EXP($A15-AR$7))))</f>
        <v>-1.3832133127308537E-13</v>
      </c>
      <c r="AS15">
        <f>IF(ISBLANK(Conductance_Eeq!AS14),"",IF(Conductance_Eeq!AS14&lt;0,((LN(ABS(((Conductance_Eeq!AS14/MAX(Conductance_Eeq!AS$7:AS$27)))))*(1.88E-23)*(25+273.15))/(EXP($A15-AS$7))),((LN((Conductance_Eeq!AS14/MAX(Conductance_Eeq!AS$7:AS$27))))*(1.88E-23)*(25+273.15))/(EXP($A15-AS$7))))</f>
        <v>-1.3599497178245316E-13</v>
      </c>
      <c r="AT15">
        <f>IF(ISBLANK(Conductance_Eeq!AT14),"",IF(Conductance_Eeq!AT14&lt;0,((LN(ABS(((Conductance_Eeq!AT14/MAX(Conductance_Eeq!AT$7:AT$27)))))*(1.88E-23)*(25+273.15))/(EXP($A15-AT$7))),((LN((Conductance_Eeq!AT14/MAX(Conductance_Eeq!AT$7:AT$27))))*(1.88E-23)*(25+273.15))/(EXP($A15-AT$7))))</f>
        <v>-7.9677580016074997E-13</v>
      </c>
      <c r="AU15">
        <f>IF(ISBLANK(Conductance_Eeq!AU14),"",IF(Conductance_Eeq!AU14&lt;0,((LN(ABS(((Conductance_Eeq!AU14/MAX(Conductance_Eeq!AU$7:AU$27)))))*(1.88E-23)*(25+273.15))/(EXP($A15-AU$7))),((LN((Conductance_Eeq!AU14/MAX(Conductance_Eeq!AU$7:AU$27))))*(1.88E-23)*(25+273.15))/(EXP($A15-AU$7))))</f>
        <v>-1.043014668376039E-13</v>
      </c>
      <c r="AV15">
        <f>IF(ISBLANK(Conductance_Eeq!AV14),"",IF(Conductance_Eeq!AV14&lt;0,((LN(ABS(((Conductance_Eeq!AV14/MAX(Conductance_Eeq!AV$7:AV$27)))))*(1.88E-23)*(25+273.15))/(EXP($A15-AV$7))),((LN((Conductance_Eeq!AV14/MAX(Conductance_Eeq!AV$7:AV$27))))*(1.88E-23)*(25+273.15))/(EXP($A15-AV$7))))</f>
        <v>-3.790023238232929E-13</v>
      </c>
      <c r="AW15">
        <f>IF(ISBLANK(Conductance_Eeq!AW14),"",IF(Conductance_Eeq!AW14&lt;0,((LN(ABS(((Conductance_Eeq!AW14/MAX(Conductance_Eeq!AW$7:AW$27)))))*(1.88E-23)*(25+273.15))/(EXP($A15-AW$7))),((LN((Conductance_Eeq!AW14/MAX(Conductance_Eeq!AW$7:AW$27))))*(1.88E-23)*(25+273.15))/(EXP($A15-AW$7))))</f>
        <v>-9.8634790786661478E-13</v>
      </c>
      <c r="AX15">
        <f>IF(ISBLANK(Conductance_Eeq!AX14),"",IF(Conductance_Eeq!AX14&lt;0,((LN(ABS(((Conductance_Eeq!AX14/MAX(Conductance_Eeq!AX$7:AX$27)))))*(1.88E-23)*(25+273.15))/(EXP($A15-AX$7))),((LN((Conductance_Eeq!AX14/MAX(Conductance_Eeq!AX$7:AX$27))))*(1.88E-23)*(25+273.15))/(EXP($A15-AX$7))))</f>
        <v>-5.5859887151417075E-13</v>
      </c>
      <c r="AY15">
        <f>IF(ISBLANK(Conductance_Eeq!AY14),"",IF(Conductance_Eeq!AY14&lt;0,((LN(ABS(((Conductance_Eeq!AY14/MAX(Conductance_Eeq!AY$7:AY$27)))))*(1.88E-23)*(25+273.15))/(EXP($A15-AY$7))),((LN((Conductance_Eeq!AY14/MAX(Conductance_Eeq!AY$7:AY$27))))*(1.88E-23)*(25+273.15))/(EXP($A15-AY$7))))</f>
        <v>-2.2511419356363327E-13</v>
      </c>
      <c r="AZ15">
        <f>IF(ISBLANK(Conductance_Eeq!AZ14),"",IF(Conductance_Eeq!AZ14&lt;0,((LN(ABS(((Conductance_Eeq!AZ14/MAX(Conductance_Eeq!AZ$7:AZ$27)))))*(1.88E-23)*(25+273.15))/(EXP($A15-AZ$7))),((LN((Conductance_Eeq!AZ14/MAX(Conductance_Eeq!AZ$7:AZ$27))))*(1.88E-23)*(25+273.15))/(EXP($A15-AZ$7))))</f>
        <v>-2.097347553195969E-12</v>
      </c>
      <c r="BA15">
        <f>IF(ISBLANK(Conductance_Eeq!BA14),"",IF(Conductance_Eeq!BA14&lt;0,((LN(ABS(((Conductance_Eeq!BA14/MAX(Conductance_Eeq!BA$7:BA$27)))))*(1.88E-23)*(25+273.15))/(EXP($A15-BA$7))),((LN((Conductance_Eeq!BA14/MAX(Conductance_Eeq!BA$7:BA$27))))*(1.88E-23)*(25+273.15))/(EXP($A15-BA$7))))</f>
        <v>-1.3863643893111512E-12</v>
      </c>
      <c r="BB15">
        <f>IF(ISBLANK(Conductance_Eeq!BB14),"",IF(Conductance_Eeq!BB14&lt;0,((LN(ABS(((Conductance_Eeq!BB14/MAX(Conductance_Eeq!BB$7:BB$27)))))*(1.88E-23)*(25+273.15))/(EXP($A15-BB$7))),((LN((Conductance_Eeq!BB14/MAX(Conductance_Eeq!BB$7:BB$27))))*(1.88E-23)*(25+273.15))/(EXP($A15-BB$7))))</f>
        <v>-3.2865316459309118E-12</v>
      </c>
      <c r="BC15">
        <f>IF(ISBLANK(Conductance_Eeq!BC14),"",IF(Conductance_Eeq!BC14&lt;0,((LN(ABS(((Conductance_Eeq!BC14/MAX(Conductance_Eeq!BC$7:BC$27)))))*(1.88E-23)*(25+273.15))/(EXP($A15-BC$7))),((LN((Conductance_Eeq!BC14/MAX(Conductance_Eeq!BC$7:BC$27))))*(1.88E-23)*(25+273.15))/(EXP($A15-BC$7))))</f>
        <v>-4.0805665218018147E-14</v>
      </c>
      <c r="BD15">
        <f>IF(ISBLANK(Conductance_Eeq!BD14),"",IF(Conductance_Eeq!BD14&lt;0,((LN(ABS(((Conductance_Eeq!BD14/MAX(Conductance_Eeq!BD$7:BD$27)))))*(1.88E-23)*(25+273.15))/(EXP($A15-BD$7))),((LN((Conductance_Eeq!BD14/MAX(Conductance_Eeq!BD$7:BD$27))))*(1.88E-23)*(25+273.15))/(EXP($A15-BD$7))))</f>
        <v>-1.0323482656367056E-13</v>
      </c>
      <c r="BE15">
        <f>IF(ISBLANK(Conductance_Eeq!BE14),"",IF(Conductance_Eeq!BE14&lt;0,((LN(ABS(((Conductance_Eeq!BE14/MAX(Conductance_Eeq!BE$7:BE$27)))))*(1.88E-23)*(25+273.15))/(EXP($A15-BE$7))),((LN((Conductance_Eeq!BE14/MAX(Conductance_Eeq!BE$7:BE$27))))*(1.88E-23)*(25+273.15))/(EXP($A15-BE$7))))</f>
        <v>-2.4412497576540477E-13</v>
      </c>
      <c r="BF15">
        <f>IF(ISBLANK(Conductance_Eeq!BF14),"",IF(Conductance_Eeq!BF14&lt;0,((LN(ABS(((Conductance_Eeq!BF14/MAX(Conductance_Eeq!BF$7:BF$27)))))*(1.88E-23)*(25+273.15))/(EXP($A15-BF$7))),((LN((Conductance_Eeq!BF14/MAX(Conductance_Eeq!BF$7:BF$27))))*(1.88E-23)*(25+273.15))/(EXP($A15-BF$7))))</f>
        <v>-4.981586853929848E-13</v>
      </c>
      <c r="BG15">
        <f>IF(ISBLANK(Conductance_Eeq!BG14),"",IF(Conductance_Eeq!BG14&lt;0,((LN(ABS(((Conductance_Eeq!BG14/MAX(Conductance_Eeq!BG$7:BG$27)))))*(1.88E-23)*(25+273.15))/(EXP($A15-BG$7))),((LN((Conductance_Eeq!BG14/MAX(Conductance_Eeq!BG$7:BG$27))))*(1.88E-23)*(25+273.15))/(EXP($A15-BG$7))))</f>
        <v>-5.5079589240823135E-12</v>
      </c>
      <c r="BH15">
        <f>IF(ISBLANK(Conductance_Eeq!BH14),"",IF(Conductance_Eeq!BH14&lt;0,((LN(ABS(((Conductance_Eeq!BH14/MAX(Conductance_Eeq!BH$7:BH$27)))))*(1.88E-23)*(25+273.15))/(EXP($A15-BH$7))),((LN((Conductance_Eeq!BH14/MAX(Conductance_Eeq!BH$7:BH$27))))*(1.88E-23)*(25+273.15))/(EXP($A15-BH$7))))</f>
        <v>-1.9578587487969911E-14</v>
      </c>
      <c r="BI15">
        <f>IF(ISBLANK(Conductance_Eeq!BI14),"",IF(Conductance_Eeq!BI14&lt;0,((LN(ABS(((Conductance_Eeq!BI14/MAX(Conductance_Eeq!BI$7:BI$27)))))*(1.88E-23)*(25+273.15))/(EXP($A15-BI$7))),((LN((Conductance_Eeq!BI14/MAX(Conductance_Eeq!BI$7:BI$27))))*(1.88E-23)*(25+273.15))/(EXP($A15-BI$7))))</f>
        <v>-1.2086410115160792E-13</v>
      </c>
      <c r="BJ15">
        <f>IF(ISBLANK(Conductance_Eeq!BJ14),"",IF(Conductance_Eeq!BJ14&lt;0,((LN(ABS(((Conductance_Eeq!BJ14/MAX(Conductance_Eeq!BJ$7:BJ$27)))))*(1.88E-23)*(25+273.15))/(EXP($A15-BJ$7))),((LN((Conductance_Eeq!BJ14/MAX(Conductance_Eeq!BJ$7:BJ$27))))*(1.88E-23)*(25+273.15))/(EXP($A15-BJ$7))))</f>
        <v>-5.1030905336836935E-13</v>
      </c>
      <c r="BK15">
        <f>IF(ISBLANK(Conductance_Eeq!BK14),"",IF(Conductance_Eeq!BK14&lt;0,((LN(ABS(((Conductance_Eeq!BK14/MAX(Conductance_Eeq!BK$7:BK$27)))))*(1.88E-23)*(25+273.15))/(EXP($A15-BK$7))),((LN((Conductance_Eeq!BK14/MAX(Conductance_Eeq!BK$7:BK$27))))*(1.88E-23)*(25+273.15))/(EXP($A15-BK$7))))</f>
        <v>-4.8712621623117365E-13</v>
      </c>
      <c r="BL15">
        <f>IF(ISBLANK(Conductance_Eeq!BL14),"",IF(Conductance_Eeq!BL14&lt;0,((LN(ABS(((Conductance_Eeq!BL14/MAX(Conductance_Eeq!BL$7:BL$27)))))*(1.88E-23)*(25+273.15))/(EXP($A15-BL$7))),((LN((Conductance_Eeq!BL14/MAX(Conductance_Eeq!BL$7:BL$27))))*(1.88E-23)*(25+273.15))/(EXP($A15-BL$7))))</f>
        <v>-1.7660997821221674E-13</v>
      </c>
      <c r="BM15">
        <f>IF(ISBLANK(Conductance_Eeq!BM14),"",IF(Conductance_Eeq!BM14&lt;0,((LN(ABS(((Conductance_Eeq!BM14/MAX(Conductance_Eeq!BM$7:BM$27)))))*(1.88E-23)*(25+273.15))/(EXP($A15-BM$7))),((LN((Conductance_Eeq!BM14/MAX(Conductance_Eeq!BM$7:BM$27))))*(1.88E-23)*(25+273.15))/(EXP($A15-BM$7))))</f>
        <v>-6.6663662189069699E-13</v>
      </c>
      <c r="BN15">
        <f>IF(ISBLANK(Conductance_Eeq!BN14),"",IF(Conductance_Eeq!BN14&lt;0,((LN(ABS(((Conductance_Eeq!BN14/MAX(Conductance_Eeq!BN$7:BN$27)))))*(1.88E-23)*(25+273.15))/(EXP($A15-BN$7))),((LN((Conductance_Eeq!BN14/MAX(Conductance_Eeq!BN$7:BN$27))))*(1.88E-23)*(25+273.15))/(EXP($A15-BN$7))))</f>
        <v>-7.7324472179252802E-15</v>
      </c>
      <c r="BO15">
        <f>IF(ISBLANK(Conductance_Eeq!BO14),"",IF(Conductance_Eeq!BO14&lt;0,((LN(ABS(((Conductance_Eeq!BO14/MAX(Conductance_Eeq!BO$7:BO$27)))))*(1.88E-23)*(25+273.15))/(EXP($A15-BO$7))),((LN((Conductance_Eeq!BO14/MAX(Conductance_Eeq!BO$7:BO$27))))*(1.88E-23)*(25+273.15))/(EXP($A15-BO$7))))</f>
        <v>-1.3575030363201547E-14</v>
      </c>
      <c r="BP15">
        <f>IF(ISBLANK(Conductance_Eeq!BP14),"",IF(Conductance_Eeq!BP14&lt;0,((LN(ABS(((Conductance_Eeq!BP14/MAX(Conductance_Eeq!BP$7:BP$27)))))*(1.88E-23)*(25+273.15))/(EXP($A15-BP$7))),((LN((Conductance_Eeq!BP14/MAX(Conductance_Eeq!BP$7:BP$27))))*(1.88E-23)*(25+273.15))/(EXP($A15-BP$7))))</f>
        <v>-1.0286869433205418E-13</v>
      </c>
      <c r="BQ15">
        <f>IF(ISBLANK(Conductance_Eeq!BQ14),"",IF(Conductance_Eeq!BQ14&lt;0,((LN(ABS(((Conductance_Eeq!BQ14/MAX(Conductance_Eeq!BQ$7:BQ$27)))))*(1.88E-23)*(25+273.15))/(EXP($A15-BQ$7))),((LN((Conductance_Eeq!BQ14/MAX(Conductance_Eeq!BQ$7:BQ$27))))*(1.88E-23)*(25+273.15))/(EXP($A15-BQ$7))))</f>
        <v>-7.1162698315437772E-13</v>
      </c>
      <c r="BR15">
        <f>IF(ISBLANK(Conductance_Eeq!BR14),"",IF(Conductance_Eeq!BR14&lt;0,((LN(ABS(((Conductance_Eeq!BR14/MAX(Conductance_Eeq!BR$7:BR$27)))))*(1.88E-23)*(25+273.15))/(EXP($A15-BR$7))),((LN((Conductance_Eeq!BR14/MAX(Conductance_Eeq!BR$7:BR$27))))*(1.88E-23)*(25+273.15))/(EXP($A15-BR$7))))</f>
        <v>-5.1693422208485885E-14</v>
      </c>
      <c r="BS15">
        <f>IF(ISBLANK(Conductance_Eeq!BS14),"",IF(Conductance_Eeq!BS14&lt;0,((LN(ABS(((Conductance_Eeq!BS14/MAX(Conductance_Eeq!BS$7:BS$27)))))*(1.88E-23)*(25+273.15))/(EXP($A15-BS$7))),((LN((Conductance_Eeq!BS14/MAX(Conductance_Eeq!BS$7:BS$27))))*(1.88E-23)*(25+273.15))/(EXP($A15-BS$7))))</f>
        <v>-4.0724182699789895E-14</v>
      </c>
      <c r="BT15">
        <f>IF(ISBLANK(Conductance_Eeq!BT14),"",IF(Conductance_Eeq!BT14&lt;0,((LN(ABS(((Conductance_Eeq!BT14/MAX(Conductance_Eeq!BT$7:BT$27)))))*(1.88E-23)*(25+273.15))/(EXP($A15-BT$7))),((LN((Conductance_Eeq!BT14/MAX(Conductance_Eeq!BT$7:BT$27))))*(1.88E-23)*(25+273.15))/(EXP($A15-BT$7))))</f>
        <v>-5.2864254573319572E-13</v>
      </c>
      <c r="BV15">
        <f>IF(ISBLANK(Conductance_Eeq!BV14),"",IF(Conductance_Eeq!BV14&lt;0,((LN(ABS(((Conductance_Eeq!BV14/MAX(Conductance_Eeq!BV$7:BV$27)))))*(1.88E-23)*(25+273.15))/(EXP($A15-BV$7))),((LN((Conductance_Eeq!BV14/MAX(Conductance_Eeq!BV$7:BV$27))))*(1.88E-23)*(25+273.15))/(EXP($A15-BV$7))))</f>
        <v>-2.4360431633886253E-13</v>
      </c>
      <c r="BW15">
        <f>IF(ISBLANK(Conductance_Eeq!BW14),"",IF(Conductance_Eeq!BW14&lt;0,((LN(ABS(((Conductance_Eeq!BW14/MAX(Conductance_Eeq!BW$7:BW$27)))))*(1.88E-23)*(25+273.15))/(EXP($A15-BW$7))),((LN((Conductance_Eeq!BW14/MAX(Conductance_Eeq!BW$7:BW$27))))*(1.88E-23)*(25+273.15))/(EXP($A15-BW$7))))</f>
        <v>-1.6376276439031916E-12</v>
      </c>
      <c r="BX15">
        <f>IF(ISBLANK(Conductance_Eeq!BX14),"",IF(Conductance_Eeq!BX14&lt;0,((LN(ABS(((Conductance_Eeq!BX14/MAX(Conductance_Eeq!BX$7:BX$27)))))*(1.88E-23)*(25+273.15))/(EXP($A15-BX$7))),((LN((Conductance_Eeq!BX14/MAX(Conductance_Eeq!BX$7:BX$27))))*(1.88E-23)*(25+273.15))/(EXP($A15-BX$7))))</f>
        <v>-3.6851182232980177E-13</v>
      </c>
      <c r="BY15">
        <f>IF(ISBLANK(Conductance_Eeq!BY14),"",IF(Conductance_Eeq!BY14&lt;0,((LN(ABS(((Conductance_Eeq!BY14/MAX(Conductance_Eeq!BY$7:BY$27)))))*(1.88E-23)*(25+273.15))/(EXP($A15-BY$7))),((LN((Conductance_Eeq!BY14/MAX(Conductance_Eeq!BY$7:BY$27))))*(1.88E-23)*(25+273.15))/(EXP($A15-BY$7))))</f>
        <v>-3.276668172973313E-14</v>
      </c>
      <c r="BZ15">
        <f>IF(ISBLANK(Conductance_Eeq!BZ14),"",IF(Conductance_Eeq!BZ14&lt;0,((LN(ABS(((Conductance_Eeq!BZ14/MAX(Conductance_Eeq!BZ$7:BZ$27)))))*(1.88E-23)*(25+273.15))/(EXP($A15-BZ$7))),((LN((Conductance_Eeq!BZ14/MAX(Conductance_Eeq!BZ$7:BZ$27))))*(1.88E-23)*(25+273.15))/(EXP($A15-BZ$7))))</f>
        <v>-1.0467304154482127E-13</v>
      </c>
      <c r="CA15">
        <f>IF(ISBLANK(Conductance_Eeq!CA14),"",IF(Conductance_Eeq!CA14&lt;0,((LN(ABS(((Conductance_Eeq!CA14/MAX(Conductance_Eeq!CA$7:CA$27)))))*(1.88E-23)*(25+273.15))/(EXP($A15-CA$7))),((LN((Conductance_Eeq!CA14/MAX(Conductance_Eeq!CA$7:CA$27))))*(1.88E-23)*(25+273.15))/(EXP($A15-CA$7))))</f>
        <v>-3.6017670802842014E-13</v>
      </c>
      <c r="CB15">
        <f>IF(ISBLANK(Conductance_Eeq!CB14),"",IF(Conductance_Eeq!CB14&lt;0,((LN(ABS(((Conductance_Eeq!CB14/MAX(Conductance_Eeq!CB$7:CB$27)))))*(1.88E-23)*(25+273.15))/(EXP($A15-CB$7))),((LN((Conductance_Eeq!CB14/MAX(Conductance_Eeq!CB$7:CB$27))))*(1.88E-23)*(25+273.15))/(EXP($A15-CB$7))))</f>
        <v>-1.0940939243923145E-12</v>
      </c>
      <c r="CC15">
        <f>IF(ISBLANK(Conductance_Eeq!CC14),"",IF(Conductance_Eeq!CC14&lt;0,((LN(ABS(((Conductance_Eeq!CC14/MAX(Conductance_Eeq!CC$7:CC$27)))))*(1.88E-23)*(25+273.15))/(EXP($A15-CC$7))),((LN((Conductance_Eeq!CC14/MAX(Conductance_Eeq!CC$7:CC$27))))*(1.88E-23)*(25+273.15))/(EXP($A15-CC$7))))</f>
        <v>-1.2867521229743082E-10</v>
      </c>
      <c r="CD15">
        <f>IF(ISBLANK(Conductance_Eeq!CD14),"",IF(Conductance_Eeq!CD14&lt;0,((LN(ABS(((Conductance_Eeq!CD14/MAX(Conductance_Eeq!CD$7:CD$27)))))*(1.88E-23)*(25+273.15))/(EXP($A15-CD$7))),((LN((Conductance_Eeq!CD14/MAX(Conductance_Eeq!CD$7:CD$27))))*(1.88E-23)*(25+273.15))/(EXP($A15-CD$7))))</f>
        <v>-1.9746762242876598E-12</v>
      </c>
    </row>
    <row r="16" spans="1:96" x14ac:dyDescent="0.2">
      <c r="A16" s="3">
        <f t="shared" si="0"/>
        <v>0</v>
      </c>
      <c r="B16">
        <f>IF(ISBLANK(Conductance_Eeq!B15),"",IF(Conductance_Eeq!B15&lt;0,((LN(ABS(((Conductance_Eeq!B15/MAX(Conductance_Eeq!B$7:B$27)))))*(1.88E-23)*(25+273.15))/(EXP($A16-B$7))),((LN((Conductance_Eeq!B15/MAX(Conductance_Eeq!B$7:B$27))))*(1.88E-23)*(25+273.15))/(EXP($A16-B$7))))</f>
        <v>-2.8441882531126041E-17</v>
      </c>
      <c r="C16">
        <f>IF(ISBLANK(Conductance_Eeq!C15),"",IF(Conductance_Eeq!C15&lt;0,((LN(ABS(((Conductance_Eeq!C15/MAX(Conductance_Eeq!C$7:C$27)))))*(1.88E-23)*(25+273.15))/(EXP($A16-C$7))),((LN((Conductance_Eeq!C15/MAX(Conductance_Eeq!C$7:C$27))))*(1.88E-23)*(25+273.15))/(EXP($A16-C$7))))</f>
        <v>-4.7870016507730682E-18</v>
      </c>
      <c r="D16">
        <f>IF(ISBLANK(Conductance_Eeq!D15),"",IF(Conductance_Eeq!D15&lt;0,((LN(ABS(((Conductance_Eeq!D15/MAX(Conductance_Eeq!D$7:D$27)))))*(1.88E-23)*(25+273.15))/(EXP($A16-D$7))),((LN((Conductance_Eeq!D15/MAX(Conductance_Eeq!D$7:D$27))))*(1.88E-23)*(25+273.15))/(EXP($A16-D$7))))</f>
        <v>-2.2818933744879192E-18</v>
      </c>
      <c r="E16">
        <f>IF(ISBLANK(Conductance_Eeq!E15),"",IF(Conductance_Eeq!E15&lt;0,((LN(ABS(((Conductance_Eeq!E15/MAX(Conductance_Eeq!E$7:E$27)))))*(1.88E-23)*(25+273.15))/(EXP($A16-E$7))),((LN((Conductance_Eeq!E15/MAX(Conductance_Eeq!E$7:E$27))))*(1.88E-23)*(25+273.15))/(EXP($A16-E$7))))</f>
        <v>-2.5705416996533383E-19</v>
      </c>
      <c r="F16">
        <f>IF(ISBLANK(Conductance_Eeq!F15),"",IF(Conductance_Eeq!F15&lt;0,((LN(ABS(((Conductance_Eeq!F15/MAX(Conductance_Eeq!F$7:F$27)))))*(1.88E-23)*(25+273.15))/(EXP($A16-F$7))),((LN((Conductance_Eeq!F15/MAX(Conductance_Eeq!F$7:F$27))))*(1.88E-23)*(25+273.15))/(EXP($A16-F$7))))</f>
        <v>-2.9186844818428361E-17</v>
      </c>
      <c r="G16">
        <f>IF(ISBLANK(Conductance_Eeq!G15),"",IF(Conductance_Eeq!G15&lt;0,((LN(ABS(((Conductance_Eeq!G15/MAX(Conductance_Eeq!G$7:G$27)))))*(1.88E-23)*(25+273.15))/(EXP($A16-G$7))),((LN((Conductance_Eeq!G15/MAX(Conductance_Eeq!G$7:G$27))))*(1.88E-23)*(25+273.15))/(EXP($A16-G$7))))</f>
        <v>-2.9186844818428361E-17</v>
      </c>
      <c r="H16">
        <f>IF(ISBLANK(Conductance_Eeq!H15),"",IF(Conductance_Eeq!H15&lt;0,((LN(ABS(((Conductance_Eeq!H15/MAX(Conductance_Eeq!H$7:H$27)))))*(1.88E-23)*(25+273.15))/(EXP($A16-H$7))),((LN((Conductance_Eeq!H15/MAX(Conductance_Eeq!H$7:H$27))))*(1.88E-23)*(25+273.15))/(EXP($A16-H$7))))</f>
        <v>-1.9223867980745451E-17</v>
      </c>
      <c r="I16">
        <f>IF(ISBLANK(Conductance_Eeq!I15),"",IF(Conductance_Eeq!I15&lt;0,((LN(ABS(((Conductance_Eeq!I15/MAX(Conductance_Eeq!I$7:I$27)))))*(1.88E-23)*(25+273.15))/(EXP($A16-I$7))),((LN((Conductance_Eeq!I15/MAX(Conductance_Eeq!I$7:I$27))))*(1.88E-23)*(25+273.15))/(EXP($A16-I$7))))</f>
        <v>-2.1528283842124872E-20</v>
      </c>
      <c r="J16">
        <f>IF(ISBLANK(Conductance_Eeq!J15),"",IF(Conductance_Eeq!J15&lt;0,((LN(ABS(((Conductance_Eeq!J15/MAX(Conductance_Eeq!J$7:J$27)))))*(1.88E-23)*(25+273.15))/(EXP($A16-J$7))),((LN((Conductance_Eeq!J15/MAX(Conductance_Eeq!J$7:J$27))))*(1.88E-23)*(25+273.15))/(EXP($A16-J$7))))</f>
        <v>-5.489056281143467E-20</v>
      </c>
      <c r="K16">
        <f>IF(ISBLANK(Conductance_Eeq!K15),"",IF(Conductance_Eeq!K15&lt;0,((LN(ABS(((Conductance_Eeq!K15/MAX(Conductance_Eeq!K$7:K$27)))))*(1.88E-23)*(25+273.15))/(EXP($A16-K$7))),((LN((Conductance_Eeq!K15/MAX(Conductance_Eeq!K$7:K$27))))*(1.88E-23)*(25+273.15))/(EXP($A16-K$7))))</f>
        <v>-6.7760493974866492E-18</v>
      </c>
      <c r="L16">
        <f>IF(ISBLANK(Conductance_Eeq!L15),"",IF(Conductance_Eeq!L15&lt;0,((LN(ABS(((Conductance_Eeq!L15/MAX(Conductance_Eeq!L$7:L$27)))))*(1.88E-23)*(25+273.15))/(EXP($A16-L$7))),((LN((Conductance_Eeq!L15/MAX(Conductance_Eeq!L$7:L$27))))*(1.88E-23)*(25+273.15))/(EXP($A16-L$7))))</f>
        <v>-1.0218643582386712E-18</v>
      </c>
      <c r="M16">
        <f>IF(ISBLANK(Conductance_Eeq!M15),"",IF(Conductance_Eeq!M15&lt;0,((LN(ABS(((Conductance_Eeq!M15/MAX(Conductance_Eeq!M$7:M$27)))))*(1.88E-23)*(25+273.15))/(EXP($A16-M$7))),((LN((Conductance_Eeq!M15/MAX(Conductance_Eeq!M$7:M$27))))*(1.88E-23)*(25+273.15))/(EXP($A16-M$7))))</f>
        <v>-2.4018982401986262E-19</v>
      </c>
      <c r="N16">
        <f>IF(ISBLANK(Conductance_Eeq!N15),"",IF(Conductance_Eeq!N15&lt;0,((LN(ABS(((Conductance_Eeq!N15/MAX(Conductance_Eeq!N$7:N$27)))))*(1.88E-23)*(25+273.15))/(EXP($A16-N$7))),((LN((Conductance_Eeq!N15/MAX(Conductance_Eeq!N$7:N$27))))*(1.88E-23)*(25+273.15))/(EXP($A16-N$7))))</f>
        <v>-3.0140037737789576E-20</v>
      </c>
      <c r="O16">
        <f>IF(ISBLANK(Conductance_Eeq!O15),"",IF(Conductance_Eeq!O15&lt;0,((LN(ABS(((Conductance_Eeq!O15/MAX(Conductance_Eeq!O$7:O$27)))))*(1.88E-23)*(25+273.15))/(EXP($A16-O$7))),((LN((Conductance_Eeq!O15/MAX(Conductance_Eeq!O$7:O$27))))*(1.88E-23)*(25+273.15))/(EXP($A16-O$7))))</f>
        <v>-1.1772422824856027E-19</v>
      </c>
      <c r="P16">
        <f>IF(ISBLANK(Conductance_Eeq!P15),"",IF(Conductance_Eeq!P15&lt;0,((LN(ABS(((Conductance_Eeq!P15/MAX(Conductance_Eeq!P$7:P$27)))))*(1.88E-23)*(25+273.15))/(EXP($A16-P$7))),((LN((Conductance_Eeq!P15/MAX(Conductance_Eeq!P$7:P$27))))*(1.88E-23)*(25+273.15))/(EXP($A16-P$7))))</f>
        <v>-5.5168164094357351E-19</v>
      </c>
      <c r="Q16">
        <f>IF(ISBLANK(Conductance_Eeq!Q15),"",IF(Conductance_Eeq!Q15&lt;0,((LN(ABS(((Conductance_Eeq!Q15/MAX(Conductance_Eeq!Q$7:Q$27)))))*(1.88E-23)*(25+273.15))/(EXP($A16-Q$7))),((LN((Conductance_Eeq!Q15/MAX(Conductance_Eeq!Q$7:Q$27))))*(1.88E-23)*(25+273.15))/(EXP($A16-Q$7))))</f>
        <v>-4.6453716182722014E-18</v>
      </c>
      <c r="R16">
        <f>IF(ISBLANK(Conductance_Eeq!R15),"",IF(Conductance_Eeq!R15&lt;0,((LN(ABS(((Conductance_Eeq!R15/MAX(Conductance_Eeq!R$7:R$27)))))*(1.88E-23)*(25+273.15))/(EXP($A16-R$7))),((LN((Conductance_Eeq!R15/MAX(Conductance_Eeq!R$7:R$27))))*(1.88E-23)*(25+273.15))/(EXP($A16-R$7))))</f>
        <v>-3.5624357507609606E-18</v>
      </c>
      <c r="S16">
        <f>IF(ISBLANK(Conductance_Eeq!S15),"",IF(Conductance_Eeq!S15&lt;0,((LN(ABS(((Conductance_Eeq!S15/MAX(Conductance_Eeq!S$7:S$27)))))*(1.88E-23)*(25+273.15))/(EXP($A16-S$7))),((LN((Conductance_Eeq!S15/MAX(Conductance_Eeq!S$7:S$27))))*(1.88E-23)*(25+273.15))/(EXP($A16-S$7))))</f>
        <v>-2.7409574873383305E-18</v>
      </c>
      <c r="T16">
        <f>IF(ISBLANK(Conductance_Eeq!T15),"",IF(Conductance_Eeq!T15&lt;0,((LN(ABS(((Conductance_Eeq!T15/MAX(Conductance_Eeq!T$7:T$27)))))*(1.88E-23)*(25+273.15))/(EXP($A16-T$7))),((LN((Conductance_Eeq!T15/MAX(Conductance_Eeq!T$7:T$27))))*(1.88E-23)*(25+273.15))/(EXP($A16-T$7))))</f>
        <v>-4.6198087684447006E-19</v>
      </c>
      <c r="U16">
        <f>IF(ISBLANK(Conductance_Eeq!U15),"",IF(Conductance_Eeq!U15&lt;0,((LN(ABS(((Conductance_Eeq!U15/MAX(Conductance_Eeq!U$7:U$27)))))*(1.88E-23)*(25+273.15))/(EXP($A16-U$7))),((LN((Conductance_Eeq!U15/MAX(Conductance_Eeq!U$7:U$27))))*(1.88E-23)*(25+273.15))/(EXP($A16-U$7))))</f>
        <v>-1.0428193259407996E-19</v>
      </c>
      <c r="V16">
        <f>IF(ISBLANK(Conductance_Eeq!V15),"",IF(Conductance_Eeq!V15&lt;0,((LN(ABS(((Conductance_Eeq!V15/MAX(Conductance_Eeq!V$7:V$27)))))*(1.88E-23)*(25+273.15))/(EXP($A16-V$7))),((LN((Conductance_Eeq!V15/MAX(Conductance_Eeq!V$7:V$27))))*(1.88E-23)*(25+273.15))/(EXP($A16-V$7))))</f>
        <v>-1.3053591361163753E-17</v>
      </c>
      <c r="W16">
        <f>IF(ISBLANK(Conductance_Eeq!W15),"",IF(Conductance_Eeq!W15&lt;0,((LN(ABS(((Conductance_Eeq!W15/MAX(Conductance_Eeq!W$7:W$27)))))*(1.88E-23)*(25+273.15))/(EXP($A16-W$7))),((LN((Conductance_Eeq!W15/MAX(Conductance_Eeq!W$7:W$27))))*(1.88E-23)*(25+273.15))/(EXP($A16-W$7))))</f>
        <v>-2.5996992382380367E-19</v>
      </c>
      <c r="X16">
        <f>IF(ISBLANK(Conductance_Eeq!X15),"",IF(Conductance_Eeq!X15&lt;0,((LN(ABS(((Conductance_Eeq!X15/MAX(Conductance_Eeq!X$7:X$27)))))*(1.88E-23)*(25+273.15))/(EXP($A16-X$7))),((LN((Conductance_Eeq!X15/MAX(Conductance_Eeq!X$7:X$27))))*(1.88E-23)*(25+273.15))/(EXP($A16-X$7))))</f>
        <v>-1.1421846634984388E-18</v>
      </c>
      <c r="Y16">
        <f>IF(ISBLANK(Conductance_Eeq!Y15),"",IF(Conductance_Eeq!Y15&lt;0,((LN(ABS(((Conductance_Eeq!Y15/MAX(Conductance_Eeq!Y$7:Y$27)))))*(1.88E-23)*(25+273.15))/(EXP($A16-Y$7))),((LN((Conductance_Eeq!Y15/MAX(Conductance_Eeq!Y$7:Y$27))))*(1.88E-23)*(25+273.15))/(EXP($A16-Y$7))))</f>
        <v>-1.688875184150555E-18</v>
      </c>
      <c r="Z16">
        <f>IF(ISBLANK(Conductance_Eeq!Z15),"",IF(Conductance_Eeq!Z15&lt;0,((LN(ABS(((Conductance_Eeq!Z15/MAX(Conductance_Eeq!Z$7:Z$27)))))*(1.88E-23)*(25+273.15))/(EXP($A16-Z$7))),((LN((Conductance_Eeq!Z15/MAX(Conductance_Eeq!Z$7:Z$27))))*(1.88E-23)*(25+273.15))/(EXP($A16-Z$7))))</f>
        <v>-1.9583331103192773E-17</v>
      </c>
      <c r="AA16">
        <f>IF(ISBLANK(Conductance_Eeq!AA15),"",IF(Conductance_Eeq!AA15&lt;0,((LN(ABS(((Conductance_Eeq!AA15/MAX(Conductance_Eeq!AA$7:AA$27)))))*(1.88E-23)*(25+273.15))/(EXP($A16-AA$7))),((LN((Conductance_Eeq!AA15/MAX(Conductance_Eeq!AA$7:AA$27))))*(1.88E-23)*(25+273.15))/(EXP($A16-AA$7))))</f>
        <v>-1.0898757705596192E-17</v>
      </c>
      <c r="AB16">
        <f>IF(ISBLANK(Conductance_Eeq!AB15),"",IF(Conductance_Eeq!AB15&lt;0,((LN(ABS(((Conductance_Eeq!AB15/MAX(Conductance_Eeq!AB$7:AB$27)))))*(1.88E-23)*(25+273.15))/(EXP($A16-AB$7))),((LN((Conductance_Eeq!AB15/MAX(Conductance_Eeq!AB$7:AB$27))))*(1.88E-23)*(25+273.15))/(EXP($A16-AB$7))))</f>
        <v>-7.6518807867286414E-19</v>
      </c>
      <c r="AC16">
        <f>IF(ISBLANK(Conductance_Eeq!AC15),"",IF(Conductance_Eeq!AC15&lt;0,((LN(ABS(((Conductance_Eeq!AC15/MAX(Conductance_Eeq!AC$7:AC$27)))))*(1.88E-23)*(25+273.15))/(EXP($A16-AC$7))),((LN((Conductance_Eeq!AC15/MAX(Conductance_Eeq!AC$7:AC$27))))*(1.88E-23)*(25+273.15))/(EXP($A16-AC$7))))</f>
        <v>-1.1258645770725589E-18</v>
      </c>
      <c r="AD16">
        <f>IF(ISBLANK(Conductance_Eeq!AD15),"",IF(Conductance_Eeq!AD15&lt;0,((LN(ABS(((Conductance_Eeq!AD15/MAX(Conductance_Eeq!AD$7:AD$27)))))*(1.88E-23)*(25+273.15))/(EXP($A16-AD$7))),((LN((Conductance_Eeq!AD15/MAX(Conductance_Eeq!AD$7:AD$27))))*(1.88E-23)*(25+273.15))/(EXP($A16-AD$7))))</f>
        <v>-8.5768839072404341E-18</v>
      </c>
      <c r="AE16">
        <f>IF(ISBLANK(Conductance_Eeq!AE15),"",IF(Conductance_Eeq!AE15&lt;0,((LN(ABS(((Conductance_Eeq!AE15/MAX(Conductance_Eeq!AE$7:AE$27)))))*(1.88E-23)*(25+273.15))/(EXP($A16-AE$7))),((LN((Conductance_Eeq!AE15/MAX(Conductance_Eeq!AE$7:AE$27))))*(1.88E-23)*(25+273.15))/(EXP($A16-AE$7))))</f>
        <v>-1.1197489633371233E-15</v>
      </c>
      <c r="AF16">
        <f>IF(ISBLANK(Conductance_Eeq!AF15),"",IF(Conductance_Eeq!AF15&lt;0,((LN(ABS(((Conductance_Eeq!AF15/MAX(Conductance_Eeq!AF$7:AF$27)))))*(1.88E-23)*(25+273.15))/(EXP($A16-AF$7))),((LN((Conductance_Eeq!AF15/MAX(Conductance_Eeq!AF$7:AF$27))))*(1.88E-23)*(25+273.15))/(EXP($A16-AF$7))))</f>
        <v>-1.6331709571834551E-17</v>
      </c>
      <c r="AG16">
        <f>IF(ISBLANK(Conductance_Eeq!AG15),"",IF(Conductance_Eeq!AG15&lt;0,((LN(ABS(((Conductance_Eeq!AG15/MAX(Conductance_Eeq!AG$7:AG$27)))))*(1.88E-23)*(25+273.15))/(EXP($A16-AG$7))),((LN((Conductance_Eeq!AG15/MAX(Conductance_Eeq!AG$7:AG$27))))*(1.88E-23)*(25+273.15))/(EXP($A16-AG$7))))</f>
        <v>-6.9134378551054683E-18</v>
      </c>
      <c r="AH16">
        <f>IF(ISBLANK(Conductance_Eeq!AH15),"",IF(Conductance_Eeq!AH15&lt;0,((LN(ABS(((Conductance_Eeq!AH15/MAX(Conductance_Eeq!AH$7:AH$27)))))*(1.88E-23)*(25+273.15))/(EXP($A16-AH$7))),((LN((Conductance_Eeq!AH15/MAX(Conductance_Eeq!AH$7:AH$27))))*(1.88E-23)*(25+273.15))/(EXP($A16-AH$7))))</f>
        <v>-7.6788163027224197E-18</v>
      </c>
      <c r="AI16">
        <f>IF(ISBLANK(Conductance_Eeq!AI15),"",IF(Conductance_Eeq!AI15&lt;0,((LN(ABS(((Conductance_Eeq!AI15/MAX(Conductance_Eeq!AI$7:AI$27)))))*(1.88E-23)*(25+273.15))/(EXP($A16-AI$7))),((LN((Conductance_Eeq!AI15/MAX(Conductance_Eeq!AI$7:AI$27))))*(1.88E-23)*(25+273.15))/(EXP($A16-AI$7))))</f>
        <v>-1.3396125926391494E-18</v>
      </c>
      <c r="AJ16">
        <f>IF(ISBLANK(Conductance_Eeq!AJ15),"",IF(Conductance_Eeq!AJ15&lt;0,((LN(ABS(((Conductance_Eeq!AJ15/MAX(Conductance_Eeq!AJ$7:AJ$27)))))*(1.88E-23)*(25+273.15))/(EXP($A16-AJ$7))),((LN((Conductance_Eeq!AJ15/MAX(Conductance_Eeq!AJ$7:AJ$27))))*(1.88E-23)*(25+273.15))/(EXP($A16-AJ$7))))</f>
        <v>-7.5121910656241143E-18</v>
      </c>
      <c r="AK16">
        <f>IF(ISBLANK(Conductance_Eeq!AK15),"",IF(Conductance_Eeq!AK15&lt;0,((LN(ABS(((Conductance_Eeq!AK15/MAX(Conductance_Eeq!AK$7:AK$27)))))*(1.88E-23)*(25+273.15))/(EXP($A16-AK$7))),((LN((Conductance_Eeq!AK15/MAX(Conductance_Eeq!AK$7:AK$27))))*(1.88E-23)*(25+273.15))/(EXP($A16-AK$7))))</f>
        <v>-1.8530600782078231E-18</v>
      </c>
      <c r="AL16">
        <f>IF(ISBLANK(Conductance_Eeq!AL15),"",IF(Conductance_Eeq!AL15&lt;0,((LN(ABS(((Conductance_Eeq!AL15/MAX(Conductance_Eeq!AL$7:AL$27)))))*(1.88E-23)*(25+273.15))/(EXP($A16-AL$7))),((LN((Conductance_Eeq!AL15/MAX(Conductance_Eeq!AL$7:AL$27))))*(1.88E-23)*(25+273.15))/(EXP($A16-AL$7))))</f>
        <v>-1.5623959039802686E-18</v>
      </c>
      <c r="AM16">
        <f>IF(ISBLANK(Conductance_Eeq!AM15),"",IF(Conductance_Eeq!AM15&lt;0,((LN(ABS(((Conductance_Eeq!AM15/MAX(Conductance_Eeq!AM$7:AM$27)))))*(1.88E-23)*(25+273.15))/(EXP($A16-AM$7))),((LN((Conductance_Eeq!AM15/MAX(Conductance_Eeq!AM$7:AM$27))))*(1.88E-23)*(25+273.15))/(EXP($A16-AM$7))))</f>
        <v>-2.6236810800831817E-18</v>
      </c>
      <c r="AN16">
        <f>IF(ISBLANK(Conductance_Eeq!AN15),"",IF(Conductance_Eeq!AN15&lt;0,((LN(ABS(((Conductance_Eeq!AN15/MAX(Conductance_Eeq!AN$7:AN$27)))))*(1.88E-23)*(25+273.15))/(EXP($A16-AN$7))),((LN((Conductance_Eeq!AN15/MAX(Conductance_Eeq!AN$7:AN$27))))*(1.88E-23)*(25+273.15))/(EXP($A16-AN$7))))</f>
        <v>-3.0658439305137343E-17</v>
      </c>
      <c r="AO16">
        <f>IF(ISBLANK(Conductance_Eeq!AO15),"",IF(Conductance_Eeq!AO15&lt;0,((LN(ABS(((Conductance_Eeq!AO15/MAX(Conductance_Eeq!AO$7:AO$27)))))*(1.88E-23)*(25+273.15))/(EXP($A16-AO$7))),((LN((Conductance_Eeq!AO15/MAX(Conductance_Eeq!AO$7:AO$27))))*(1.88E-23)*(25+273.15))/(EXP($A16-AO$7))))</f>
        <v>-1.3025559162134255E-17</v>
      </c>
      <c r="AP16">
        <f>IF(ISBLANK(Conductance_Eeq!AP15),"",IF(Conductance_Eeq!AP15&lt;0,((LN(ABS(((Conductance_Eeq!AP15/MAX(Conductance_Eeq!AP$7:AP$27)))))*(1.88E-23)*(25+273.15))/(EXP($A16-AP$7))),((LN((Conductance_Eeq!AP15/MAX(Conductance_Eeq!AP$7:AP$27))))*(1.88E-23)*(25+273.15))/(EXP($A16-AP$7))))</f>
        <v>-8.2722079341318161E-19</v>
      </c>
      <c r="AQ16">
        <f>IF(ISBLANK(Conductance_Eeq!AQ15),"",IF(Conductance_Eeq!AQ15&lt;0,((LN(ABS(((Conductance_Eeq!AQ15/MAX(Conductance_Eeq!AQ$7:AQ$27)))))*(1.88E-23)*(25+273.15))/(EXP($A16-AQ$7))),((LN((Conductance_Eeq!AQ15/MAX(Conductance_Eeq!AQ$7:AQ$27))))*(1.88E-23)*(25+273.15))/(EXP($A16-AQ$7))))</f>
        <v>-1.3257628206839004E-17</v>
      </c>
      <c r="AR16">
        <f>IF(ISBLANK(Conductance_Eeq!AR15),"",IF(Conductance_Eeq!AR15&lt;0,((LN(ABS(((Conductance_Eeq!AR15/MAX(Conductance_Eeq!AR$7:AR$27)))))*(1.88E-23)*(25+273.15))/(EXP($A16-AR$7))),((LN((Conductance_Eeq!AR15/MAX(Conductance_Eeq!AR$7:AR$27))))*(1.88E-23)*(25+273.15))/(EXP($A16-AR$7))))</f>
        <v>-2.4891428820500959E-18</v>
      </c>
      <c r="AS16">
        <f>IF(ISBLANK(Conductance_Eeq!AS15),"",IF(Conductance_Eeq!AS15&lt;0,((LN(ABS(((Conductance_Eeq!AS15/MAX(Conductance_Eeq!AS$7:AS$27)))))*(1.88E-23)*(25+273.15))/(EXP($A16-AS$7))),((LN((Conductance_Eeq!AS15/MAX(Conductance_Eeq!AS$7:AS$27))))*(1.88E-23)*(25+273.15))/(EXP($A16-AS$7))))</f>
        <v>-2.5929263457626658E-18</v>
      </c>
      <c r="AT16">
        <f>IF(ISBLANK(Conductance_Eeq!AT15),"",IF(Conductance_Eeq!AT15&lt;0,((LN(ABS(((Conductance_Eeq!AT15/MAX(Conductance_Eeq!AT$7:AT$27)))))*(1.88E-23)*(25+273.15))/(EXP($A16-AT$7))),((LN((Conductance_Eeq!AT15/MAX(Conductance_Eeq!AT$7:AT$27))))*(1.88E-23)*(25+273.15))/(EXP($A16-AT$7))))</f>
        <v>-2.1707652074893264E-17</v>
      </c>
      <c r="AU16">
        <f>IF(ISBLANK(Conductance_Eeq!AU15),"",IF(Conductance_Eeq!AU15&lt;0,((LN(ABS(((Conductance_Eeq!AU15/MAX(Conductance_Eeq!AU$7:AU$27)))))*(1.88E-23)*(25+273.15))/(EXP($A16-AU$7))),((LN((Conductance_Eeq!AU15/MAX(Conductance_Eeq!AU$7:AU$27))))*(1.88E-23)*(25+273.15))/(EXP($A16-AU$7))))</f>
        <v>-1.9197189027683724E-18</v>
      </c>
      <c r="AV16">
        <f>IF(ISBLANK(Conductance_Eeq!AV15),"",IF(Conductance_Eeq!AV15&lt;0,((LN(ABS(((Conductance_Eeq!AV15/MAX(Conductance_Eeq!AV$7:AV$27)))))*(1.88E-23)*(25+273.15))/(EXP($A16-AV$7))),((LN((Conductance_Eeq!AV15/MAX(Conductance_Eeq!AV$7:AV$27))))*(1.88E-23)*(25+273.15))/(EXP($A16-AV$7))))</f>
        <v>-7.6191169576173978E-18</v>
      </c>
      <c r="AW16">
        <f>IF(ISBLANK(Conductance_Eeq!AW15),"",IF(Conductance_Eeq!AW15&lt;0,((LN(ABS(((Conductance_Eeq!AW15/MAX(Conductance_Eeq!AW$7:AW$27)))))*(1.88E-23)*(25+273.15))/(EXP($A16-AW$7))),((LN((Conductance_Eeq!AW15/MAX(Conductance_Eeq!AW$7:AW$27))))*(1.88E-23)*(25+273.15))/(EXP($A16-AW$7))))</f>
        <v>-2.1333675156810834E-17</v>
      </c>
      <c r="AX16">
        <f>IF(ISBLANK(Conductance_Eeq!AX15),"",IF(Conductance_Eeq!AX15&lt;0,((LN(ABS(((Conductance_Eeq!AX15/MAX(Conductance_Eeq!AX$7:AX$27)))))*(1.88E-23)*(25+273.15))/(EXP($A16-AX$7))),((LN((Conductance_Eeq!AX15/MAX(Conductance_Eeq!AX$7:AX$27))))*(1.88E-23)*(25+273.15))/(EXP($A16-AX$7))))</f>
        <v>-1.2420826498713874E-17</v>
      </c>
      <c r="AY16">
        <f>IF(ISBLANK(Conductance_Eeq!AY15),"",IF(Conductance_Eeq!AY15&lt;0,((LN(ABS(((Conductance_Eeq!AY15/MAX(Conductance_Eeq!AY$7:AY$27)))))*(1.88E-23)*(25+273.15))/(EXP($A16-AY$7))),((LN((Conductance_Eeq!AY15/MAX(Conductance_Eeq!AY$7:AY$27))))*(1.88E-23)*(25+273.15))/(EXP($A16-AY$7))))</f>
        <v>-4.4377068420377816E-18</v>
      </c>
      <c r="AZ16">
        <f>IF(ISBLANK(Conductance_Eeq!AZ15),"",IF(Conductance_Eeq!AZ15&lt;0,((LN(ABS(((Conductance_Eeq!AZ15/MAX(Conductance_Eeq!AZ$7:AZ$27)))))*(1.88E-23)*(25+273.15))/(EXP($A16-AZ$7))),((LN((Conductance_Eeq!AZ15/MAX(Conductance_Eeq!AZ$7:AZ$27))))*(1.88E-23)*(25+273.15))/(EXP($A16-AZ$7))))</f>
        <v>-4.4913408256448535E-17</v>
      </c>
      <c r="BA16">
        <f>IF(ISBLANK(Conductance_Eeq!BA15),"",IF(Conductance_Eeq!BA15&lt;0,((LN(ABS(((Conductance_Eeq!BA15/MAX(Conductance_Eeq!BA$7:BA$27)))))*(1.88E-23)*(25+273.15))/(EXP($A16-BA$7))),((LN((Conductance_Eeq!BA15/MAX(Conductance_Eeq!BA$7:BA$27))))*(1.88E-23)*(25+273.15))/(EXP($A16-BA$7))))</f>
        <v>-3.1019131643660209E-17</v>
      </c>
      <c r="BB16">
        <f>IF(ISBLANK(Conductance_Eeq!BB15),"",IF(Conductance_Eeq!BB15&lt;0,((LN(ABS(((Conductance_Eeq!BB15/MAX(Conductance_Eeq!BB$7:BB$27)))))*(1.88E-23)*(25+273.15))/(EXP($A16-BB$7))),((LN((Conductance_Eeq!BB15/MAX(Conductance_Eeq!BB$7:BB$27))))*(1.88E-23)*(25+273.15))/(EXP($A16-BB$7))))</f>
        <v>-5.7952436961647116E-17</v>
      </c>
      <c r="BC16">
        <f>IF(ISBLANK(Conductance_Eeq!BC15),"",IF(Conductance_Eeq!BC15&lt;0,((LN(ABS(((Conductance_Eeq!BC15/MAX(Conductance_Eeq!BC$7:BC$27)))))*(1.88E-23)*(25+273.15))/(EXP($A16-BC$7))),((LN((Conductance_Eeq!BC15/MAX(Conductance_Eeq!BC$7:BC$27))))*(1.88E-23)*(25+273.15))/(EXP($A16-BC$7))))</f>
        <v>-7.4056628491369632E-19</v>
      </c>
      <c r="BD16">
        <f>IF(ISBLANK(Conductance_Eeq!BD15),"",IF(Conductance_Eeq!BD15&lt;0,((LN(ABS(((Conductance_Eeq!BD15/MAX(Conductance_Eeq!BD$7:BD$27)))))*(1.88E-23)*(25+273.15))/(EXP($A16-BD$7))),((LN((Conductance_Eeq!BD15/MAX(Conductance_Eeq!BD$7:BD$27))))*(1.88E-23)*(25+273.15))/(EXP($A16-BD$7))))</f>
        <v>-1.5973585977923796E-18</v>
      </c>
      <c r="BE16">
        <f>IF(ISBLANK(Conductance_Eeq!BE15),"",IF(Conductance_Eeq!BE15&lt;0,((LN(ABS(((Conductance_Eeq!BE15/MAX(Conductance_Eeq!BE$7:BE$27)))))*(1.88E-23)*(25+273.15))/(EXP($A16-BE$7))),((LN((Conductance_Eeq!BE15/MAX(Conductance_Eeq!BE$7:BE$27))))*(1.88E-23)*(25+273.15))/(EXP($A16-BE$7))))</f>
        <v>-6.0121532914448587E-18</v>
      </c>
      <c r="BF16">
        <f>IF(ISBLANK(Conductance_Eeq!BF15),"",IF(Conductance_Eeq!BF15&lt;0,((LN(ABS(((Conductance_Eeq!BF15/MAX(Conductance_Eeq!BF$7:BF$27)))))*(1.88E-23)*(25+273.15))/(EXP($A16-BF$7))),((LN((Conductance_Eeq!BF15/MAX(Conductance_Eeq!BF$7:BF$27))))*(1.88E-23)*(25+273.15))/(EXP($A16-BF$7))))</f>
        <v>-1.0630849952431668E-17</v>
      </c>
      <c r="BG16">
        <f>IF(ISBLANK(Conductance_Eeq!BG15),"",IF(Conductance_Eeq!BG15&lt;0,((LN(ABS(((Conductance_Eeq!BG15/MAX(Conductance_Eeq!BG$7:BG$27)))))*(1.88E-23)*(25+273.15))/(EXP($A16-BG$7))),((LN((Conductance_Eeq!BG15/MAX(Conductance_Eeq!BG$7:BG$27))))*(1.88E-23)*(25+273.15))/(EXP($A16-BG$7))))</f>
        <v>-1.1674651068279615E-16</v>
      </c>
      <c r="BH16">
        <f>IF(ISBLANK(Conductance_Eeq!BH15),"",IF(Conductance_Eeq!BH15&lt;0,((LN(ABS(((Conductance_Eeq!BH15/MAX(Conductance_Eeq!BH$7:BH$27)))))*(1.88E-23)*(25+273.15))/(EXP($A16-BH$7))),((LN((Conductance_Eeq!BH15/MAX(Conductance_Eeq!BH$7:BH$27))))*(1.88E-23)*(25+273.15))/(EXP($A16-BH$7))))</f>
        <v>-2.8031207663985645E-19</v>
      </c>
      <c r="BI16">
        <f>IF(ISBLANK(Conductance_Eeq!BI15),"",IF(Conductance_Eeq!BI15&lt;0,((LN(ABS(((Conductance_Eeq!BI15/MAX(Conductance_Eeq!BI$7:BI$27)))))*(1.88E-23)*(25+273.15))/(EXP($A16-BI$7))),((LN((Conductance_Eeq!BI15/MAX(Conductance_Eeq!BI$7:BI$27))))*(1.88E-23)*(25+273.15))/(EXP($A16-BI$7))))</f>
        <v>-1.755588153302906E-18</v>
      </c>
      <c r="BJ16">
        <f>IF(ISBLANK(Conductance_Eeq!BJ15),"",IF(Conductance_Eeq!BJ15&lt;0,((LN(ABS(((Conductance_Eeq!BJ15/MAX(Conductance_Eeq!BJ$7:BJ$27)))))*(1.88E-23)*(25+273.15))/(EXP($A16-BJ$7))),((LN((Conductance_Eeq!BJ15/MAX(Conductance_Eeq!BJ$7:BJ$27))))*(1.88E-23)*(25+273.15))/(EXP($A16-BJ$7))))</f>
        <v>-1.0051492463042046E-17</v>
      </c>
      <c r="BK16">
        <f>IF(ISBLANK(Conductance_Eeq!BK15),"",IF(Conductance_Eeq!BK15&lt;0,((LN(ABS(((Conductance_Eeq!BK15/MAX(Conductance_Eeq!BK$7:BK$27)))))*(1.88E-23)*(25+273.15))/(EXP($A16-BK$7))),((LN((Conductance_Eeq!BK15/MAX(Conductance_Eeq!BK$7:BK$27))))*(1.88E-23)*(25+273.15))/(EXP($A16-BK$7))))</f>
        <v>-1.0728182082944733E-17</v>
      </c>
      <c r="BL16">
        <f>IF(ISBLANK(Conductance_Eeq!BL15),"",IF(Conductance_Eeq!BL15&lt;0,((LN(ABS(((Conductance_Eeq!BL15/MAX(Conductance_Eeq!BL$7:BL$27)))))*(1.88E-23)*(25+273.15))/(EXP($A16-BL$7))),((LN((Conductance_Eeq!BL15/MAX(Conductance_Eeq!BL$7:BL$27))))*(1.88E-23)*(25+273.15))/(EXP($A16-BL$7))))</f>
        <v>-2.6927736851820402E-18</v>
      </c>
      <c r="BM16">
        <f>IF(ISBLANK(Conductance_Eeq!BM15),"",IF(Conductance_Eeq!BM15&lt;0,((LN(ABS(((Conductance_Eeq!BM15/MAX(Conductance_Eeq!BM$7:BM$27)))))*(1.88E-23)*(25+273.15))/(EXP($A16-BM$7))),((LN((Conductance_Eeq!BM15/MAX(Conductance_Eeq!BM$7:BM$27))))*(1.88E-23)*(25+273.15))/(EXP($A16-BM$7))))</f>
        <v>-1.4943470799028194E-17</v>
      </c>
      <c r="BN16">
        <f>IF(ISBLANK(Conductance_Eeq!BN15),"",IF(Conductance_Eeq!BN15&lt;0,((LN(ABS(((Conductance_Eeq!BN15/MAX(Conductance_Eeq!BN$7:BN$27)))))*(1.88E-23)*(25+273.15))/(EXP($A16-BN$7))),((LN((Conductance_Eeq!BN15/MAX(Conductance_Eeq!BN$7:BN$27))))*(1.88E-23)*(25+273.15))/(EXP($A16-BN$7))))</f>
        <v>-1.1245055750670664E-19</v>
      </c>
      <c r="BO16">
        <f>IF(ISBLANK(Conductance_Eeq!BO15),"",IF(Conductance_Eeq!BO15&lt;0,((LN(ABS(((Conductance_Eeq!BO15/MAX(Conductance_Eeq!BO$7:BO$27)))))*(1.88E-23)*(25+273.15))/(EXP($A16-BO$7))),((LN((Conductance_Eeq!BO15/MAX(Conductance_Eeq!BO$7:BO$27))))*(1.88E-23)*(25+273.15))/(EXP($A16-BO$7))))</f>
        <v>-1.5434221647268704E-19</v>
      </c>
      <c r="BP16">
        <f>IF(ISBLANK(Conductance_Eeq!BP15),"",IF(Conductance_Eeq!BP15&lt;0,((LN(ABS(((Conductance_Eeq!BP15/MAX(Conductance_Eeq!BP$7:BP$27)))))*(1.88E-23)*(25+273.15))/(EXP($A16-BP$7))),((LN((Conductance_Eeq!BP15/MAX(Conductance_Eeq!BP$7:BP$27))))*(1.88E-23)*(25+273.15))/(EXP($A16-BP$7))))</f>
        <v>-2.0800913448469051E-18</v>
      </c>
      <c r="BQ16">
        <f>IF(ISBLANK(Conductance_Eeq!BQ15),"",IF(Conductance_Eeq!BQ15&lt;0,((LN(ABS(((Conductance_Eeq!BQ15/MAX(Conductance_Eeq!BQ$7:BQ$27)))))*(1.88E-23)*(25+273.15))/(EXP($A16-BQ$7))),((LN((Conductance_Eeq!BQ15/MAX(Conductance_Eeq!BQ$7:BQ$27))))*(1.88E-23)*(25+273.15))/(EXP($A16-BQ$7))))</f>
        <v>-1.5379760915960103E-17</v>
      </c>
      <c r="BR16">
        <f>IF(ISBLANK(Conductance_Eeq!BR15),"",IF(Conductance_Eeq!BR15&lt;0,((LN(ABS(((Conductance_Eeq!BR15/MAX(Conductance_Eeq!BR$7:BR$27)))))*(1.88E-23)*(25+273.15))/(EXP($A16-BR$7))),((LN((Conductance_Eeq!BR15/MAX(Conductance_Eeq!BR$7:BR$27))))*(1.88E-23)*(25+273.15))/(EXP($A16-BR$7))))</f>
        <v>-8.0943269380463474E-19</v>
      </c>
      <c r="BS16">
        <f>IF(ISBLANK(Conductance_Eeq!BS15),"",IF(Conductance_Eeq!BS15&lt;0,((LN(ABS(((Conductance_Eeq!BS15/MAX(Conductance_Eeq!BS$7:BS$27)))))*(1.88E-23)*(25+273.15))/(EXP($A16-BS$7))),((LN((Conductance_Eeq!BS15/MAX(Conductance_Eeq!BS$7:BS$27))))*(1.88E-23)*(25+273.15))/(EXP($A16-BS$7))))</f>
        <v>-7.3105553859224093E-19</v>
      </c>
      <c r="BT16">
        <f>IF(ISBLANK(Conductance_Eeq!BT15),"",IF(Conductance_Eeq!BT15&lt;0,((LN(ABS(((Conductance_Eeq!BT15/MAX(Conductance_Eeq!BT$7:BT$27)))))*(1.88E-23)*(25+273.15))/(EXP($A16-BT$7))),((LN((Conductance_Eeq!BT15/MAX(Conductance_Eeq!BT$7:BT$27))))*(1.88E-23)*(25+273.15))/(EXP($A16-BT$7))))</f>
        <v>-1.0427503828700685E-17</v>
      </c>
      <c r="BU16">
        <f>IF(ISBLANK(Conductance_Eeq!BU15),"",IF(Conductance_Eeq!BU15&lt;0,((LN(ABS(((Conductance_Eeq!BU15/MAX(Conductance_Eeq!BU$7:BU$27)))))*(1.88E-23)*(25+273.15))/(EXP($A16-BU$7))),((LN((Conductance_Eeq!BU15/MAX(Conductance_Eeq!BU$7:BU$27))))*(1.88E-23)*(25+273.15))/(EXP($A16-BU$7))))</f>
        <v>-3.6925672875912602E-17</v>
      </c>
      <c r="BV16">
        <f>IF(ISBLANK(Conductance_Eeq!BV15),"",IF(Conductance_Eeq!BV15&lt;0,((LN(ABS(((Conductance_Eeq!BV15/MAX(Conductance_Eeq!BV$7:BV$27)))))*(1.88E-23)*(25+273.15))/(EXP($A16-BV$7))),((LN((Conductance_Eeq!BV15/MAX(Conductance_Eeq!BV$7:BV$27))))*(1.88E-23)*(25+273.15))/(EXP($A16-BV$7))))</f>
        <v>-4.902268692396956E-18</v>
      </c>
      <c r="BW16">
        <f>IF(ISBLANK(Conductance_Eeq!BW15),"",IF(Conductance_Eeq!BW15&lt;0,((LN(ABS(((Conductance_Eeq!BW15/MAX(Conductance_Eeq!BW$7:BW$27)))))*(1.88E-23)*(25+273.15))/(EXP($A16-BW$7))),((LN((Conductance_Eeq!BW15/MAX(Conductance_Eeq!BW$7:BW$27))))*(1.88E-23)*(25+273.15))/(EXP($A16-BW$7))))</f>
        <v>-3.366639572402655E-17</v>
      </c>
      <c r="BX16">
        <f>IF(ISBLANK(Conductance_Eeq!BX15),"",IF(Conductance_Eeq!BX15&lt;0,((LN(ABS(((Conductance_Eeq!BX15/MAX(Conductance_Eeq!BX$7:BX$27)))))*(1.88E-23)*(25+273.15))/(EXP($A16-BX$7))),((LN((Conductance_Eeq!BX15/MAX(Conductance_Eeq!BX$7:BX$27))))*(1.88E-23)*(25+273.15))/(EXP($A16-BX$7))))</f>
        <v>-6.85630717585094E-18</v>
      </c>
      <c r="BY16">
        <f>IF(ISBLANK(Conductance_Eeq!BY15),"",IF(Conductance_Eeq!BY15&lt;0,((LN(ABS(((Conductance_Eeq!BY15/MAX(Conductance_Eeq!BY$7:BY$27)))))*(1.88E-23)*(25+273.15))/(EXP($A16-BY$7))),((LN((Conductance_Eeq!BY15/MAX(Conductance_Eeq!BY$7:BY$27))))*(1.88E-23)*(25+273.15))/(EXP($A16-BY$7))))</f>
        <v>-4.8095822389727226E-19</v>
      </c>
      <c r="BZ16">
        <f>IF(ISBLANK(Conductance_Eeq!BZ15),"",IF(Conductance_Eeq!BZ15&lt;0,((LN(ABS(((Conductance_Eeq!BZ15/MAX(Conductance_Eeq!BZ$7:BZ$27)))))*(1.88E-23)*(25+273.15))/(EXP($A16-BZ$7))),((LN((Conductance_Eeq!BZ15/MAX(Conductance_Eeq!BZ$7:BZ$27))))*(1.88E-23)*(25+273.15))/(EXP($A16-BZ$7))))</f>
        <v>-1.9209056458594522E-18</v>
      </c>
      <c r="CA16">
        <f>IF(ISBLANK(Conductance_Eeq!CA15),"",IF(Conductance_Eeq!CA15&lt;0,((LN(ABS(((Conductance_Eeq!CA15/MAX(Conductance_Eeq!CA$7:CA$27)))))*(1.88E-23)*(25+273.15))/(EXP($A16-CA$7))),((LN((Conductance_Eeq!CA15/MAX(Conductance_Eeq!CA$7:CA$27))))*(1.88E-23)*(25+273.15))/(EXP($A16-CA$7))))</f>
        <v>-6.3743571505527355E-18</v>
      </c>
      <c r="CB16">
        <f>IF(ISBLANK(Conductance_Eeq!CB15),"",IF(Conductance_Eeq!CB15&lt;0,((LN(ABS(((Conductance_Eeq!CB15/MAX(Conductance_Eeq!CB$7:CB$27)))))*(1.88E-23)*(25+273.15))/(EXP($A16-CB$7))),((LN((Conductance_Eeq!CB15/MAX(Conductance_Eeq!CB$7:CB$27))))*(1.88E-23)*(25+273.15))/(EXP($A16-CB$7))))</f>
        <v>-2.1878773349011756E-17</v>
      </c>
      <c r="CC16">
        <f>IF(ISBLANK(Conductance_Eeq!CC15),"",IF(Conductance_Eeq!CC15&lt;0,((LN(ABS(((Conductance_Eeq!CC15/MAX(Conductance_Eeq!CC$7:CC$27)))))*(1.88E-23)*(25+273.15))/(EXP($A16-CC$7))),((LN((Conductance_Eeq!CC15/MAX(Conductance_Eeq!CC$7:CC$27))))*(1.88E-23)*(25+273.15))/(EXP($A16-CC$7))))</f>
        <v>-3.849520919257895E-15</v>
      </c>
      <c r="CD16">
        <f>IF(ISBLANK(Conductance_Eeq!CD15),"",IF(Conductance_Eeq!CD15&lt;0,((LN(ABS(((Conductance_Eeq!CD15/MAX(Conductance_Eeq!CD$7:CD$27)))))*(1.88E-23)*(25+273.15))/(EXP($A16-CD$7))),((LN((Conductance_Eeq!CD15/MAX(Conductance_Eeq!CD$7:CD$27))))*(1.88E-23)*(25+273.15))/(EXP($A16-CD$7))))</f>
        <v>-4.3457203922918988E-17</v>
      </c>
    </row>
    <row r="17" spans="1:82" x14ac:dyDescent="0.2">
      <c r="A17" s="3">
        <f t="shared" si="0"/>
        <v>10</v>
      </c>
      <c r="B17">
        <f>IF(ISBLANK(Conductance_Eeq!B16),"",IF(Conductance_Eeq!B16&lt;0,((LN(ABS(((Conductance_Eeq!B16/MAX(Conductance_Eeq!B$7:B$27)))))*(1.88E-23)*(25+273.15))/(EXP($A17-B$7))),((LN((Conductance_Eeq!B16/MAX(Conductance_Eeq!B$7:B$27))))*(1.88E-23)*(25+273.15))/(EXP($A17-B$7))))</f>
        <v>-7.2275391063881886E-22</v>
      </c>
      <c r="C17">
        <f>IF(ISBLANK(Conductance_Eeq!C16),"",IF(Conductance_Eeq!C16&lt;0,((LN(ABS(((Conductance_Eeq!C16/MAX(Conductance_Eeq!C$7:C$27)))))*(1.88E-23)*(25+273.15))/(EXP($A17-C$7))),((LN((Conductance_Eeq!C16/MAX(Conductance_Eeq!C$7:C$27))))*(1.88E-23)*(25+273.15))/(EXP($A17-C$7))))</f>
        <v>-1.1332043357205287E-22</v>
      </c>
      <c r="D17">
        <f>IF(ISBLANK(Conductance_Eeq!D16),"",IF(Conductance_Eeq!D16&lt;0,((LN(ABS(((Conductance_Eeq!D16/MAX(Conductance_Eeq!D$7:D$27)))))*(1.88E-23)*(25+273.15))/(EXP($A17-D$7))),((LN((Conductance_Eeq!D16/MAX(Conductance_Eeq!D$7:D$27))))*(1.88E-23)*(25+273.15))/(EXP($A17-D$7))))</f>
        <v>-2.753848874779037E-23</v>
      </c>
      <c r="E17">
        <f>IF(ISBLANK(Conductance_Eeq!E16),"",IF(Conductance_Eeq!E16&lt;0,((LN(ABS(((Conductance_Eeq!E16/MAX(Conductance_Eeq!E$7:E$27)))))*(1.88E-23)*(25+273.15))/(EXP($A17-E$7))),((LN((Conductance_Eeq!E16/MAX(Conductance_Eeq!E$7:E$27))))*(1.88E-23)*(25+273.15))/(EXP($A17-E$7))))</f>
        <v>-3.2980026544065029E-24</v>
      </c>
      <c r="F17">
        <f>IF(ISBLANK(Conductance_Eeq!F16),"",IF(Conductance_Eeq!F16&lt;0,((LN(ABS(((Conductance_Eeq!F16/MAX(Conductance_Eeq!F$7:F$27)))))*(1.88E-23)*(25+273.15))/(EXP($A17-F$7))),((LN((Conductance_Eeq!F16/MAX(Conductance_Eeq!F$7:F$27))))*(1.88E-23)*(25+273.15))/(EXP($A17-F$7))))</f>
        <v>-4.4020283085728857E-22</v>
      </c>
      <c r="G17">
        <f>IF(ISBLANK(Conductance_Eeq!G16),"",IF(Conductance_Eeq!G16&lt;0,((LN(ABS(((Conductance_Eeq!G16/MAX(Conductance_Eeq!G$7:G$27)))))*(1.88E-23)*(25+273.15))/(EXP($A17-G$7))),((LN((Conductance_Eeq!G16/MAX(Conductance_Eeq!G$7:G$27))))*(1.88E-23)*(25+273.15))/(EXP($A17-G$7))))</f>
        <v>-4.4020283085728857E-22</v>
      </c>
      <c r="H17">
        <f>IF(ISBLANK(Conductance_Eeq!H16),"",IF(Conductance_Eeq!H16&lt;0,((LN(ABS(((Conductance_Eeq!H16/MAX(Conductance_Eeq!H$7:H$27)))))*(1.88E-23)*(25+273.15))/(EXP($A17-H$7))),((LN((Conductance_Eeq!H16/MAX(Conductance_Eeq!H$7:H$27))))*(1.88E-23)*(25+273.15))/(EXP($A17-H$7))))</f>
        <v>-4.4278762452621716E-22</v>
      </c>
      <c r="I17">
        <f>IF(ISBLANK(Conductance_Eeq!I16),"",IF(Conductance_Eeq!I16&lt;0,((LN(ABS(((Conductance_Eeq!I16/MAX(Conductance_Eeq!I$7:I$27)))))*(1.88E-23)*(25+273.15))/(EXP($A17-I$7))),((LN((Conductance_Eeq!I16/MAX(Conductance_Eeq!I$7:I$27))))*(1.88E-23)*(25+273.15))/(EXP($A17-I$7))))</f>
        <v>-2.4153861567901634E-25</v>
      </c>
      <c r="J17">
        <f>IF(ISBLANK(Conductance_Eeq!J16),"",IF(Conductance_Eeq!J16&lt;0,((LN(ABS(((Conductance_Eeq!J16/MAX(Conductance_Eeq!J$7:J$27)))))*(1.88E-23)*(25+273.15))/(EXP($A17-J$7))),((LN((Conductance_Eeq!J16/MAX(Conductance_Eeq!J$7:J$27))))*(1.88E-23)*(25+273.15))/(EXP($A17-J$7))))</f>
        <v>0</v>
      </c>
      <c r="K17">
        <f>IF(ISBLANK(Conductance_Eeq!K16),"",IF(Conductance_Eeq!K16&lt;0,((LN(ABS(((Conductance_Eeq!K16/MAX(Conductance_Eeq!K$7:K$27)))))*(1.88E-23)*(25+273.15))/(EXP($A17-K$7))),((LN((Conductance_Eeq!K16/MAX(Conductance_Eeq!K$7:K$27))))*(1.88E-23)*(25+273.15))/(EXP($A17-K$7))))</f>
        <v>-1.4330274839832603E-22</v>
      </c>
      <c r="L17">
        <f>IF(ISBLANK(Conductance_Eeq!L16),"",IF(Conductance_Eeq!L16&lt;0,((LN(ABS(((Conductance_Eeq!L16/MAX(Conductance_Eeq!L$7:L$27)))))*(1.88E-23)*(25+273.15))/(EXP($A17-L$7))),((LN((Conductance_Eeq!L16/MAX(Conductance_Eeq!L$7:L$27))))*(1.88E-23)*(25+273.15))/(EXP($A17-L$7))))</f>
        <v>-6.0342982282105912E-24</v>
      </c>
      <c r="M17">
        <f>IF(ISBLANK(Conductance_Eeq!M16),"",IF(Conductance_Eeq!M16&lt;0,((LN(ABS(((Conductance_Eeq!M16/MAX(Conductance_Eeq!M$7:M$27)))))*(1.88E-23)*(25+273.15))/(EXP($A17-M$7))),((LN((Conductance_Eeq!M16/MAX(Conductance_Eeq!M$7:M$27))))*(1.88E-23)*(25+273.15))/(EXP($A17-M$7))))</f>
        <v>-8.4249829400576466E-24</v>
      </c>
      <c r="N17">
        <f>IF(ISBLANK(Conductance_Eeq!N16),"",IF(Conductance_Eeq!N16&lt;0,((LN(ABS(((Conductance_Eeq!N16/MAX(Conductance_Eeq!N$7:N$27)))))*(1.88E-23)*(25+273.15))/(EXP($A17-N$7))),((LN((Conductance_Eeq!N16/MAX(Conductance_Eeq!N$7:N$27))))*(1.88E-23)*(25+273.15))/(EXP($A17-N$7))))</f>
        <v>-6.5474652223689124E-25</v>
      </c>
      <c r="O17">
        <f>IF(ISBLANK(Conductance_Eeq!O16),"",IF(Conductance_Eeq!O16&lt;0,((LN(ABS(((Conductance_Eeq!O16/MAX(Conductance_Eeq!O$7:O$27)))))*(1.88E-23)*(25+273.15))/(EXP($A17-O$7))),((LN((Conductance_Eeq!O16/MAX(Conductance_Eeq!O$7:O$27))))*(1.88E-23)*(25+273.15))/(EXP($A17-O$7))))</f>
        <v>-2.0332435889358454E-24</v>
      </c>
      <c r="P17">
        <f>IF(ISBLANK(Conductance_Eeq!P16),"",IF(Conductance_Eeq!P16&lt;0,((LN(ABS(((Conductance_Eeq!P16/MAX(Conductance_Eeq!P$7:P$27)))))*(1.88E-23)*(25+273.15))/(EXP($A17-P$7))),((LN((Conductance_Eeq!P16/MAX(Conductance_Eeq!P$7:P$27))))*(1.88E-23)*(25+273.15))/(EXP($A17-P$7))))</f>
        <v>-4.5678769420858762E-24</v>
      </c>
      <c r="Q17">
        <f>IF(ISBLANK(Conductance_Eeq!Q16),"",IF(Conductance_Eeq!Q16&lt;0,((LN(ABS(((Conductance_Eeq!Q16/MAX(Conductance_Eeq!Q$7:Q$27)))))*(1.88E-23)*(25+273.15))/(EXP($A17-Q$7))),((LN((Conductance_Eeq!Q16/MAX(Conductance_Eeq!Q$7:Q$27))))*(1.88E-23)*(25+273.15))/(EXP($A17-Q$7))))</f>
        <v>-8.2425349204325603E-23</v>
      </c>
      <c r="R17">
        <f>IF(ISBLANK(Conductance_Eeq!R16),"",IF(Conductance_Eeq!R16&lt;0,((LN(ABS(((Conductance_Eeq!R16/MAX(Conductance_Eeq!R$7:R$27)))))*(1.88E-23)*(25+273.15))/(EXP($A17-R$7))),((LN((Conductance_Eeq!R16/MAX(Conductance_Eeq!R$7:R$27))))*(1.88E-23)*(25+273.15))/(EXP($A17-R$7))))</f>
        <v>-7.4524325526583985E-23</v>
      </c>
      <c r="S17">
        <f>IF(ISBLANK(Conductance_Eeq!S16),"",IF(Conductance_Eeq!S16&lt;0,((LN(ABS(((Conductance_Eeq!S16/MAX(Conductance_Eeq!S$7:S$27)))))*(1.88E-23)*(25+273.15))/(EXP($A17-S$7))),((LN((Conductance_Eeq!S16/MAX(Conductance_Eeq!S$7:S$27))))*(1.88E-23)*(25+273.15))/(EXP($A17-S$7))))</f>
        <v>0</v>
      </c>
      <c r="T17">
        <f>IF(ISBLANK(Conductance_Eeq!T16),"",IF(Conductance_Eeq!T16&lt;0,((LN(ABS(((Conductance_Eeq!T16/MAX(Conductance_Eeq!T$7:T$27)))))*(1.88E-23)*(25+273.15))/(EXP($A17-T$7))),((LN((Conductance_Eeq!T16/MAX(Conductance_Eeq!T$7:T$27))))*(1.88E-23)*(25+273.15))/(EXP($A17-T$7))))</f>
        <v>-1.4876684333336386E-24</v>
      </c>
      <c r="U17">
        <f>IF(ISBLANK(Conductance_Eeq!U16),"",IF(Conductance_Eeq!U16&lt;0,((LN(ABS(((Conductance_Eeq!U16/MAX(Conductance_Eeq!U$7:U$27)))))*(1.88E-23)*(25+273.15))/(EXP($A17-U$7))),((LN((Conductance_Eeq!U16/MAX(Conductance_Eeq!U$7:U$27))))*(1.88E-23)*(25+273.15))/(EXP($A17-U$7))))</f>
        <v>-2.3455904727825674E-24</v>
      </c>
      <c r="V17">
        <f>IF(ISBLANK(Conductance_Eeq!V16),"",IF(Conductance_Eeq!V16&lt;0,((LN(ABS(((Conductance_Eeq!V16/MAX(Conductance_Eeq!V$7:V$27)))))*(1.88E-23)*(25+273.15))/(EXP($A17-V$7))),((LN((Conductance_Eeq!V16/MAX(Conductance_Eeq!V$7:V$27))))*(1.88E-23)*(25+273.15))/(EXP($A17-V$7))))</f>
        <v>-1.6561947598657054E-22</v>
      </c>
      <c r="W17">
        <f>IF(ISBLANK(Conductance_Eeq!W16),"",IF(Conductance_Eeq!W16&lt;0,((LN(ABS(((Conductance_Eeq!W16/MAX(Conductance_Eeq!W$7:W$27)))))*(1.88E-23)*(25+273.15))/(EXP($A17-W$7))),((LN((Conductance_Eeq!W16/MAX(Conductance_Eeq!W$7:W$27))))*(1.88E-23)*(25+273.15))/(EXP($A17-W$7))))</f>
        <v>0</v>
      </c>
      <c r="X17">
        <f>IF(ISBLANK(Conductance_Eeq!X16),"",IF(Conductance_Eeq!X16&lt;0,((LN(ABS(((Conductance_Eeq!X16/MAX(Conductance_Eeq!X$7:X$27)))))*(1.88E-23)*(25+273.15))/(EXP($A17-X$7))),((LN((Conductance_Eeq!X16/MAX(Conductance_Eeq!X$7:X$27))))*(1.88E-23)*(25+273.15))/(EXP($A17-X$7))))</f>
        <v>-1.6375730752440359E-23</v>
      </c>
      <c r="Y17">
        <f>IF(ISBLANK(Conductance_Eeq!Y16),"",IF(Conductance_Eeq!Y16&lt;0,((LN(ABS(((Conductance_Eeq!Y16/MAX(Conductance_Eeq!Y$7:Y$27)))))*(1.88E-23)*(25+273.15))/(EXP($A17-Y$7))),((LN((Conductance_Eeq!Y16/MAX(Conductance_Eeq!Y$7:Y$27))))*(1.88E-23)*(25+273.15))/(EXP($A17-Y$7))))</f>
        <v>-4.5495965781753649E-25</v>
      </c>
      <c r="Z17">
        <f>IF(ISBLANK(Conductance_Eeq!Z16),"",IF(Conductance_Eeq!Z16&lt;0,((LN(ABS(((Conductance_Eeq!Z16/MAX(Conductance_Eeq!Z$7:Z$27)))))*(1.88E-23)*(25+273.15))/(EXP($A17-Z$7))),((LN((Conductance_Eeq!Z16/MAX(Conductance_Eeq!Z$7:Z$27))))*(1.88E-23)*(25+273.15))/(EXP($A17-Z$7))))</f>
        <v>-2.7540831006180299E-22</v>
      </c>
      <c r="AA17">
        <f>IF(ISBLANK(Conductance_Eeq!AA16),"",IF(Conductance_Eeq!AA16&lt;0,((LN(ABS(((Conductance_Eeq!AA16/MAX(Conductance_Eeq!AA$7:AA$27)))))*(1.88E-23)*(25+273.15))/(EXP($A17-AA$7))),((LN((Conductance_Eeq!AA16/MAX(Conductance_Eeq!AA$7:AA$27))))*(1.88E-23)*(25+273.15))/(EXP($A17-AA$7))))</f>
        <v>-1.1933910418260566E-22</v>
      </c>
      <c r="AB17">
        <f>IF(ISBLANK(Conductance_Eeq!AB16),"",IF(Conductance_Eeq!AB16&lt;0,((LN(ABS(((Conductance_Eeq!AB16/MAX(Conductance_Eeq!AB$7:AB$27)))))*(1.88E-23)*(25+273.15))/(EXP($A17-AB$7))),((LN((Conductance_Eeq!AB16/MAX(Conductance_Eeq!AB$7:AB$27))))*(1.88E-23)*(25+273.15))/(EXP($A17-AB$7))))</f>
        <v>-1.3330379908929284E-23</v>
      </c>
      <c r="AC17">
        <f>IF(ISBLANK(Conductance_Eeq!AC16),"",IF(Conductance_Eeq!AC16&lt;0,((LN(ABS(((Conductance_Eeq!AC16/MAX(Conductance_Eeq!AC$7:AC$27)))))*(1.88E-23)*(25+273.15))/(EXP($A17-AC$7))),((LN((Conductance_Eeq!AC16/MAX(Conductance_Eeq!AC$7:AC$27))))*(1.88E-23)*(25+273.15))/(EXP($A17-AC$7))))</f>
        <v>-2.2496036805696691E-23</v>
      </c>
      <c r="AD17">
        <f>IF(ISBLANK(Conductance_Eeq!AD16),"",IF(Conductance_Eeq!AD16&lt;0,((LN(ABS(((Conductance_Eeq!AD16/MAX(Conductance_Eeq!AD$7:AD$27)))))*(1.88E-23)*(25+273.15))/(EXP($A17-AD$7))),((LN((Conductance_Eeq!AD16/MAX(Conductance_Eeq!AD$7:AD$27))))*(1.88E-23)*(25+273.15))/(EXP($A17-AD$7))))</f>
        <v>-1.2832417300784887E-22</v>
      </c>
      <c r="AE17">
        <f>IF(ISBLANK(Conductance_Eeq!AE16),"",IF(Conductance_Eeq!AE16&lt;0,((LN(ABS(((Conductance_Eeq!AE16/MAX(Conductance_Eeq!AE$7:AE$27)))))*(1.88E-23)*(25+273.15))/(EXP($A17-AE$7))),((LN((Conductance_Eeq!AE16/MAX(Conductance_Eeq!AE$7:AE$27))))*(1.88E-23)*(25+273.15))/(EXP($A17-AE$7))))</f>
        <v>-1.8436655313355558E-20</v>
      </c>
      <c r="AF17">
        <f>IF(ISBLANK(Conductance_Eeq!AF16),"",IF(Conductance_Eeq!AF16&lt;0,((LN(ABS(((Conductance_Eeq!AF16/MAX(Conductance_Eeq!AF$7:AF$27)))))*(1.88E-23)*(25+273.15))/(EXP($A17-AF$7))),((LN((Conductance_Eeq!AF16/MAX(Conductance_Eeq!AF$7:AF$27))))*(1.88E-23)*(25+273.15))/(EXP($A17-AF$7))))</f>
        <v>-3.7634508583421675E-22</v>
      </c>
      <c r="AG17">
        <f>IF(ISBLANK(Conductance_Eeq!AG16),"",IF(Conductance_Eeq!AG16&lt;0,((LN(ABS(((Conductance_Eeq!AG16/MAX(Conductance_Eeq!AG$7:AG$27)))))*(1.88E-23)*(25+273.15))/(EXP($A17-AG$7))),((LN((Conductance_Eeq!AG16/MAX(Conductance_Eeq!AG$7:AG$27))))*(1.88E-23)*(25+273.15))/(EXP($A17-AG$7))))</f>
        <v>-1.0188878606916848E-22</v>
      </c>
      <c r="AH17">
        <f>IF(ISBLANK(Conductance_Eeq!AH16),"",IF(Conductance_Eeq!AH16&lt;0,((LN(ABS(((Conductance_Eeq!AH16/MAX(Conductance_Eeq!AH$7:AH$27)))))*(1.88E-23)*(25+273.15))/(EXP($A17-AH$7))),((LN((Conductance_Eeq!AH16/MAX(Conductance_Eeq!AH$7:AH$27))))*(1.88E-23)*(25+273.15))/(EXP($A17-AH$7))))</f>
        <v>-1.2159113039042648E-22</v>
      </c>
      <c r="AI17">
        <f>IF(ISBLANK(Conductance_Eeq!AI16),"",IF(Conductance_Eeq!AI16&lt;0,((LN(ABS(((Conductance_Eeq!AI16/MAX(Conductance_Eeq!AI$7:AI$27)))))*(1.88E-23)*(25+273.15))/(EXP($A17-AI$7))),((LN((Conductance_Eeq!AI16/MAX(Conductance_Eeq!AI$7:AI$27))))*(1.88E-23)*(25+273.15))/(EXP($A17-AI$7))))</f>
        <v>-1.1634554237924079E-23</v>
      </c>
      <c r="AJ17">
        <f>IF(ISBLANK(Conductance_Eeq!AJ16),"",IF(Conductance_Eeq!AJ16&lt;0,((LN(ABS(((Conductance_Eeq!AJ16/MAX(Conductance_Eeq!AJ$7:AJ$27)))))*(1.88E-23)*(25+273.15))/(EXP($A17-AJ$7))),((LN((Conductance_Eeq!AJ16/MAX(Conductance_Eeq!AJ$7:AJ$27))))*(1.88E-23)*(25+273.15))/(EXP($A17-AJ$7))))</f>
        <v>-9.6321139073389804E-23</v>
      </c>
      <c r="AK17">
        <f>IF(ISBLANK(Conductance_Eeq!AK16),"",IF(Conductance_Eeq!AK16&lt;0,((LN(ABS(((Conductance_Eeq!AK16/MAX(Conductance_Eeq!AK$7:AK$27)))))*(1.88E-23)*(25+273.15))/(EXP($A17-AK$7))),((LN((Conductance_Eeq!AK16/MAX(Conductance_Eeq!AK$7:AK$27))))*(1.88E-23)*(25+273.15))/(EXP($A17-AK$7))))</f>
        <v>-2.8679771361186484E-23</v>
      </c>
      <c r="AL17">
        <f>IF(ISBLANK(Conductance_Eeq!AL16),"",IF(Conductance_Eeq!AL16&lt;0,((LN(ABS(((Conductance_Eeq!AL16/MAX(Conductance_Eeq!AL$7:AL$27)))))*(1.88E-23)*(25+273.15))/(EXP($A17-AL$7))),((LN((Conductance_Eeq!AL16/MAX(Conductance_Eeq!AL$7:AL$27))))*(1.88E-23)*(25+273.15))/(EXP($A17-AL$7))))</f>
        <v>-2.1620226381215696E-23</v>
      </c>
      <c r="AM17">
        <f>IF(ISBLANK(Conductance_Eeq!AM16),"",IF(Conductance_Eeq!AM16&lt;0,((LN(ABS(((Conductance_Eeq!AM16/MAX(Conductance_Eeq!AM$7:AM$27)))))*(1.88E-23)*(25+273.15))/(EXP($A17-AM$7))),((LN((Conductance_Eeq!AM16/MAX(Conductance_Eeq!AM$7:AM$27))))*(1.88E-23)*(25+273.15))/(EXP($A17-AM$7))))</f>
        <v>-5.3489753635957358E-23</v>
      </c>
      <c r="AN17">
        <f>IF(ISBLANK(Conductance_Eeq!AN16),"",IF(Conductance_Eeq!AN16&lt;0,((LN(ABS(((Conductance_Eeq!AN16/MAX(Conductance_Eeq!AN$7:AN$27)))))*(1.88E-23)*(25+273.15))/(EXP($A17-AN$7))),((LN((Conductance_Eeq!AN16/MAX(Conductance_Eeq!AN$7:AN$27))))*(1.88E-23)*(25+273.15))/(EXP($A17-AN$7))))</f>
        <v>-8.8177497286710703E-22</v>
      </c>
      <c r="AO17">
        <f>IF(ISBLANK(Conductance_Eeq!AO16),"",IF(Conductance_Eeq!AO16&lt;0,((LN(ABS(((Conductance_Eeq!AO16/MAX(Conductance_Eeq!AO$7:AO$27)))))*(1.88E-23)*(25+273.15))/(EXP($A17-AO$7))),((LN((Conductance_Eeq!AO16/MAX(Conductance_Eeq!AO$7:AO$27))))*(1.88E-23)*(25+273.15))/(EXP($A17-AO$7))))</f>
        <v>-5.6204566124316278E-23</v>
      </c>
      <c r="AP17">
        <f>IF(ISBLANK(Conductance_Eeq!AP16),"",IF(Conductance_Eeq!AP16&lt;0,((LN(ABS(((Conductance_Eeq!AP16/MAX(Conductance_Eeq!AP$7:AP$27)))))*(1.88E-23)*(25+273.15))/(EXP($A17-AP$7))),((LN((Conductance_Eeq!AP16/MAX(Conductance_Eeq!AP$7:AP$27))))*(1.88E-23)*(25+273.15))/(EXP($A17-AP$7))))</f>
        <v>-9.3897982212977462E-24</v>
      </c>
      <c r="AQ17">
        <f>IF(ISBLANK(Conductance_Eeq!AQ16),"",IF(Conductance_Eeq!AQ16&lt;0,((LN(ABS(((Conductance_Eeq!AQ16/MAX(Conductance_Eeq!AQ$7:AQ$27)))))*(1.88E-23)*(25+273.15))/(EXP($A17-AQ$7))),((LN((Conductance_Eeq!AQ16/MAX(Conductance_Eeq!AQ$7:AQ$27))))*(1.88E-23)*(25+273.15))/(EXP($A17-AQ$7))))</f>
        <v>-2.7428071566875179E-22</v>
      </c>
      <c r="AR17">
        <f>IF(ISBLANK(Conductance_Eeq!AR16),"",IF(Conductance_Eeq!AR16&lt;0,((LN(ABS(((Conductance_Eeq!AR16/MAX(Conductance_Eeq!AR$7:AR$27)))))*(1.88E-23)*(25+273.15))/(EXP($A17-AR$7))),((LN((Conductance_Eeq!AR16/MAX(Conductance_Eeq!AR$7:AR$27))))*(1.88E-23)*(25+273.15))/(EXP($A17-AR$7))))</f>
        <v>-8.4036528546615176E-24</v>
      </c>
      <c r="AS17">
        <f>IF(ISBLANK(Conductance_Eeq!AS16),"",IF(Conductance_Eeq!AS16&lt;0,((LN(ABS(((Conductance_Eeq!AS16/MAX(Conductance_Eeq!AS$7:AS$27)))))*(1.88E-23)*(25+273.15))/(EXP($A17-AS$7))),((LN((Conductance_Eeq!AS16/MAX(Conductance_Eeq!AS$7:AS$27))))*(1.88E-23)*(25+273.15))/(EXP($A17-AS$7))))</f>
        <v>-3.283532302162078E-23</v>
      </c>
      <c r="AT17">
        <f>IF(ISBLANK(Conductance_Eeq!AT16),"",IF(Conductance_Eeq!AT16&lt;0,((LN(ABS(((Conductance_Eeq!AT16/MAX(Conductance_Eeq!AT$7:AT$27)))))*(1.88E-23)*(25+273.15))/(EXP($A17-AT$7))),((LN((Conductance_Eeq!AT16/MAX(Conductance_Eeq!AT$7:AT$27))))*(1.88E-23)*(25+273.15))/(EXP($A17-AT$7))))</f>
        <v>-2.87745037939064E-22</v>
      </c>
      <c r="AU17">
        <f>IF(ISBLANK(Conductance_Eeq!AU16),"",IF(Conductance_Eeq!AU16&lt;0,((LN(ABS(((Conductance_Eeq!AU16/MAX(Conductance_Eeq!AU$7:AU$27)))))*(1.88E-23)*(25+273.15))/(EXP($A17-AU$7))),((LN((Conductance_Eeq!AU16/MAX(Conductance_Eeq!AU$7:AU$27))))*(1.88E-23)*(25+273.15))/(EXP($A17-AU$7))))</f>
        <v>-9.3757540307153545E-24</v>
      </c>
      <c r="AV17">
        <f>IF(ISBLANK(Conductance_Eeq!AV16),"",IF(Conductance_Eeq!AV16&lt;0,((LN(ABS(((Conductance_Eeq!AV16/MAX(Conductance_Eeq!AV$7:AV$27)))))*(1.88E-23)*(25+273.15))/(EXP($A17-AV$7))),((LN((Conductance_Eeq!AV16/MAX(Conductance_Eeq!AV$7:AV$27))))*(1.88E-23)*(25+273.15))/(EXP($A17-AV$7))))</f>
        <v>-1.4141443622335013E-22</v>
      </c>
      <c r="AW17">
        <f>IF(ISBLANK(Conductance_Eeq!AW16),"",IF(Conductance_Eeq!AW16&lt;0,((LN(ABS(((Conductance_Eeq!AW16/MAX(Conductance_Eeq!AW$7:AW$27)))))*(1.88E-23)*(25+273.15))/(EXP($A17-AW$7))),((LN((Conductance_Eeq!AW16/MAX(Conductance_Eeq!AW$7:AW$27))))*(1.88E-23)*(25+273.15))/(EXP($A17-AW$7))))</f>
        <v>-4.2316387995920539E-22</v>
      </c>
      <c r="AX17">
        <f>IF(ISBLANK(Conductance_Eeq!AX16),"",IF(Conductance_Eeq!AX16&lt;0,((LN(ABS(((Conductance_Eeq!AX16/MAX(Conductance_Eeq!AX$7:AX$27)))))*(1.88E-23)*(25+273.15))/(EXP($A17-AX$7))),((LN((Conductance_Eeq!AX16/MAX(Conductance_Eeq!AX$7:AX$27))))*(1.88E-23)*(25+273.15))/(EXP($A17-AX$7))))</f>
        <v>-2.3757727928398883E-22</v>
      </c>
      <c r="AY17">
        <f>IF(ISBLANK(Conductance_Eeq!AY16),"",IF(Conductance_Eeq!AY16&lt;0,((LN(ABS(((Conductance_Eeq!AY16/MAX(Conductance_Eeq!AY$7:AY$27)))))*(1.88E-23)*(25+273.15))/(EXP($A17-AY$7))),((LN((Conductance_Eeq!AY16/MAX(Conductance_Eeq!AY$7:AY$27))))*(1.88E-23)*(25+273.15))/(EXP($A17-AY$7))))</f>
        <v>-7.5734943674964601E-23</v>
      </c>
      <c r="AZ17">
        <f>IF(ISBLANK(Conductance_Eeq!AZ16),"",IF(Conductance_Eeq!AZ16&lt;0,((LN(ABS(((Conductance_Eeq!AZ16/MAX(Conductance_Eeq!AZ$7:AZ$27)))))*(1.88E-23)*(25+273.15))/(EXP($A17-AZ$7))),((LN((Conductance_Eeq!AZ16/MAX(Conductance_Eeq!AZ$7:AZ$27))))*(1.88E-23)*(25+273.15))/(EXP($A17-AZ$7))))</f>
        <v>-1.1344694418090007E-21</v>
      </c>
      <c r="BA17">
        <f>IF(ISBLANK(Conductance_Eeq!BA16),"",IF(Conductance_Eeq!BA16&lt;0,((LN(ABS(((Conductance_Eeq!BA16/MAX(Conductance_Eeq!BA$7:BA$27)))))*(1.88E-23)*(25+273.15))/(EXP($A17-BA$7))),((LN((Conductance_Eeq!BA16/MAX(Conductance_Eeq!BA$7:BA$27))))*(1.88E-23)*(25+273.15))/(EXP($A17-BA$7))))</f>
        <v>-6.1907062669576459E-22</v>
      </c>
      <c r="BB17">
        <f>IF(ISBLANK(Conductance_Eeq!BB16),"",IF(Conductance_Eeq!BB16&lt;0,((LN(ABS(((Conductance_Eeq!BB16/MAX(Conductance_Eeq!BB$7:BB$27)))))*(1.88E-23)*(25+273.15))/(EXP($A17-BB$7))),((LN((Conductance_Eeq!BB16/MAX(Conductance_Eeq!BB$7:BB$27))))*(1.88E-23)*(25+273.15))/(EXP($A17-BB$7))))</f>
        <v>-1.1654465403604759E-21</v>
      </c>
      <c r="BC17">
        <f>IF(ISBLANK(Conductance_Eeq!BC16),"",IF(Conductance_Eeq!BC16&lt;0,((LN(ABS(((Conductance_Eeq!BC16/MAX(Conductance_Eeq!BC$7:BC$27)))))*(1.88E-23)*(25+273.15))/(EXP($A17-BC$7))),((LN((Conductance_Eeq!BC16/MAX(Conductance_Eeq!BC$7:BC$27))))*(1.88E-23)*(25+273.15))/(EXP($A17-BC$7))))</f>
        <v>-6.3390570285156036E-24</v>
      </c>
      <c r="BD17">
        <f>IF(ISBLANK(Conductance_Eeq!BD16),"",IF(Conductance_Eeq!BD16&lt;0,((LN(ABS(((Conductance_Eeq!BD16/MAX(Conductance_Eeq!BD$7:BD$27)))))*(1.88E-23)*(25+273.15))/(EXP($A17-BD$7))),((LN((Conductance_Eeq!BD16/MAX(Conductance_Eeq!BD$7:BD$27))))*(1.88E-23)*(25+273.15))/(EXP($A17-BD$7))))</f>
        <v>-2.4471431696816861E-23</v>
      </c>
      <c r="BE17">
        <f>IF(ISBLANK(Conductance_Eeq!BE16),"",IF(Conductance_Eeq!BE16&lt;0,((LN(ABS(((Conductance_Eeq!BE16/MAX(Conductance_Eeq!BE$7:BE$27)))))*(1.88E-23)*(25+273.15))/(EXP($A17-BE$7))),((LN((Conductance_Eeq!BE16/MAX(Conductance_Eeq!BE$7:BE$27))))*(1.88E-23)*(25+273.15))/(EXP($A17-BE$7))))</f>
        <v>-7.195077005175134E-23</v>
      </c>
      <c r="BF17">
        <f>IF(ISBLANK(Conductance_Eeq!BF16),"",IF(Conductance_Eeq!BF16&lt;0,((LN(ABS(((Conductance_Eeq!BF16/MAX(Conductance_Eeq!BF$7:BF$27)))))*(1.88E-23)*(25+273.15))/(EXP($A17-BF$7))),((LN((Conductance_Eeq!BF16/MAX(Conductance_Eeq!BF$7:BF$27))))*(1.88E-23)*(25+273.15))/(EXP($A17-BF$7))))</f>
        <v>-1.5835047717223251E-22</v>
      </c>
      <c r="BG17">
        <f>IF(ISBLANK(Conductance_Eeq!BG16),"",IF(Conductance_Eeq!BG16&lt;0,((LN(ABS(((Conductance_Eeq!BG16/MAX(Conductance_Eeq!BG$7:BG$27)))))*(1.88E-23)*(25+273.15))/(EXP($A17-BG$7))),((LN((Conductance_Eeq!BG16/MAX(Conductance_Eeq!BG$7:BG$27))))*(1.88E-23)*(25+273.15))/(EXP($A17-BG$7))))</f>
        <v>-2.9462592354106937E-21</v>
      </c>
      <c r="BH17">
        <f>IF(ISBLANK(Conductance_Eeq!BH16),"",IF(Conductance_Eeq!BH16&lt;0,((LN(ABS(((Conductance_Eeq!BH16/MAX(Conductance_Eeq!BH$7:BH$27)))))*(1.88E-23)*(25+273.15))/(EXP($A17-BH$7))),((LN((Conductance_Eeq!BH16/MAX(Conductance_Eeq!BH$7:BH$27))))*(1.88E-23)*(25+273.15))/(EXP($A17-BH$7))))</f>
        <v>0</v>
      </c>
      <c r="BI17">
        <f>IF(ISBLANK(Conductance_Eeq!BI16),"",IF(Conductance_Eeq!BI16&lt;0,((LN(ABS(((Conductance_Eeq!BI16/MAX(Conductance_Eeq!BI$7:BI$27)))))*(1.88E-23)*(25+273.15))/(EXP($A17-BI$7))),((LN((Conductance_Eeq!BI16/MAX(Conductance_Eeq!BI$7:BI$27))))*(1.88E-23)*(25+273.15))/(EXP($A17-BI$7))))</f>
        <v>-3.2707406785369498E-23</v>
      </c>
      <c r="BJ17">
        <f>IF(ISBLANK(Conductance_Eeq!BJ16),"",IF(Conductance_Eeq!BJ16&lt;0,((LN(ABS(((Conductance_Eeq!BJ16/MAX(Conductance_Eeq!BJ$7:BJ$27)))))*(1.88E-23)*(25+273.15))/(EXP($A17-BJ$7))),((LN((Conductance_Eeq!BJ16/MAX(Conductance_Eeq!BJ$7:BJ$27))))*(1.88E-23)*(25+273.15))/(EXP($A17-BJ$7))))</f>
        <v>-1.4909952004999412E-22</v>
      </c>
      <c r="BK17">
        <f>IF(ISBLANK(Conductance_Eeq!BK16),"",IF(Conductance_Eeq!BK16&lt;0,((LN(ABS(((Conductance_Eeq!BK16/MAX(Conductance_Eeq!BK$7:BK$27)))))*(1.88E-23)*(25+273.15))/(EXP($A17-BK$7))),((LN((Conductance_Eeq!BK16/MAX(Conductance_Eeq!BK$7:BK$27))))*(1.88E-23)*(25+273.15))/(EXP($A17-BK$7))))</f>
        <v>-1.885896665840423E-22</v>
      </c>
      <c r="BL17">
        <f>IF(ISBLANK(Conductance_Eeq!BL16),"",IF(Conductance_Eeq!BL16&lt;0,((LN(ABS(((Conductance_Eeq!BL16/MAX(Conductance_Eeq!BL$7:BL$27)))))*(1.88E-23)*(25+273.15))/(EXP($A17-BL$7))),((LN((Conductance_Eeq!BL16/MAX(Conductance_Eeq!BL$7:BL$27))))*(1.88E-23)*(25+273.15))/(EXP($A17-BL$7))))</f>
        <v>-1.2505319415842042E-23</v>
      </c>
      <c r="BM17">
        <f>IF(ISBLANK(Conductance_Eeq!BM16),"",IF(Conductance_Eeq!BM16&lt;0,((LN(ABS(((Conductance_Eeq!BM16/MAX(Conductance_Eeq!BM$7:BM$27)))))*(1.88E-23)*(25+273.15))/(EXP($A17-BM$7))),((LN((Conductance_Eeq!BM16/MAX(Conductance_Eeq!BM$7:BM$27))))*(1.88E-23)*(25+273.15))/(EXP($A17-BM$7))))</f>
        <v>-3.4530572655090361E-22</v>
      </c>
      <c r="BN17">
        <f>IF(ISBLANK(Conductance_Eeq!BN16),"",IF(Conductance_Eeq!BN16&lt;0,((LN(ABS(((Conductance_Eeq!BN16/MAX(Conductance_Eeq!BN$7:BN$27)))))*(1.88E-23)*(25+273.15))/(EXP($A17-BN$7))),((LN((Conductance_Eeq!BN16/MAX(Conductance_Eeq!BN$7:BN$27))))*(1.88E-23)*(25+273.15))/(EXP($A17-BN$7))))</f>
        <v>-3.8059691317766853E-26</v>
      </c>
      <c r="BO17">
        <f>IF(ISBLANK(Conductance_Eeq!BO16),"",IF(Conductance_Eeq!BO16&lt;0,((LN(ABS(((Conductance_Eeq!BO16/MAX(Conductance_Eeq!BO$7:BO$27)))))*(1.88E-23)*(25+273.15))/(EXP($A17-BO$7))),((LN((Conductance_Eeq!BO16/MAX(Conductance_Eeq!BO$7:BO$27))))*(1.88E-23)*(25+273.15))/(EXP($A17-BO$7))))</f>
        <v>0</v>
      </c>
      <c r="BP17">
        <f>IF(ISBLANK(Conductance_Eeq!BP16),"",IF(Conductance_Eeq!BP16&lt;0,((LN(ABS(((Conductance_Eeq!BP16/MAX(Conductance_Eeq!BP$7:BP$27)))))*(1.88E-23)*(25+273.15))/(EXP($A17-BP$7))),((LN((Conductance_Eeq!BP16/MAX(Conductance_Eeq!BP$7:BP$27))))*(1.88E-23)*(25+273.15))/(EXP($A17-BP$7))))</f>
        <v>-1.8362390689109624E-23</v>
      </c>
      <c r="BQ17">
        <f>IF(ISBLANK(Conductance_Eeq!BQ16),"",IF(Conductance_Eeq!BQ16&lt;0,((LN(ABS(((Conductance_Eeq!BQ16/MAX(Conductance_Eeq!BQ$7:BQ$27)))))*(1.88E-23)*(25+273.15))/(EXP($A17-BQ$7))),((LN((Conductance_Eeq!BQ16/MAX(Conductance_Eeq!BQ$7:BQ$27))))*(1.88E-23)*(25+273.15))/(EXP($A17-BQ$7))))</f>
        <v>-2.3490968427993628E-22</v>
      </c>
      <c r="BR17">
        <f>IF(ISBLANK(Conductance_Eeq!BR16),"",IF(Conductance_Eeq!BR16&lt;0,((LN(ABS(((Conductance_Eeq!BR16/MAX(Conductance_Eeq!BR$7:BR$27)))))*(1.88E-23)*(25+273.15))/(EXP($A17-BR$7))),((LN((Conductance_Eeq!BR16/MAX(Conductance_Eeq!BR$7:BR$27))))*(1.88E-23)*(25+273.15))/(EXP($A17-BR$7))))</f>
        <v>-5.3398560307910907E-24</v>
      </c>
      <c r="BS17">
        <f>IF(ISBLANK(Conductance_Eeq!BS16),"",IF(Conductance_Eeq!BS16&lt;0,((LN(ABS(((Conductance_Eeq!BS16/MAX(Conductance_Eeq!BS$7:BS$27)))))*(1.88E-23)*(25+273.15))/(EXP($A17-BS$7))),((LN((Conductance_Eeq!BS16/MAX(Conductance_Eeq!BS$7:BS$27))))*(1.88E-23)*(25+273.15))/(EXP($A17-BS$7))))</f>
        <v>-8.6155736296964456E-24</v>
      </c>
      <c r="BT17">
        <f>IF(ISBLANK(Conductance_Eeq!BT16),"",IF(Conductance_Eeq!BT16&lt;0,((LN(ABS(((Conductance_Eeq!BT16/MAX(Conductance_Eeq!BT$7:BT$27)))))*(1.88E-23)*(25+273.15))/(EXP($A17-BT$7))),((LN((Conductance_Eeq!BT16/MAX(Conductance_Eeq!BT$7:BT$27))))*(1.88E-23)*(25+273.15))/(EXP($A17-BT$7))))</f>
        <v>-1.6942360788961768E-22</v>
      </c>
      <c r="BU17">
        <f>IF(ISBLANK(Conductance_Eeq!BU16),"",IF(Conductance_Eeq!BU16&lt;0,((LN(ABS(((Conductance_Eeq!BU16/MAX(Conductance_Eeq!BU$7:BU$27)))))*(1.88E-23)*(25+273.15))/(EXP($A17-BU$7))),((LN((Conductance_Eeq!BU16/MAX(Conductance_Eeq!BU$7:BU$27))))*(1.88E-23)*(25+273.15))/(EXP($A17-BU$7))))</f>
        <v>-8.7983262627081531E-22</v>
      </c>
      <c r="BV17">
        <f>IF(ISBLANK(Conductance_Eeq!BV16),"",IF(Conductance_Eeq!BV16&lt;0,((LN(ABS(((Conductance_Eeq!BV16/MAX(Conductance_Eeq!BV$7:BV$27)))))*(1.88E-23)*(25+273.15))/(EXP($A17-BV$7))),((LN((Conductance_Eeq!BV16/MAX(Conductance_Eeq!BV$7:BV$27))))*(1.88E-23)*(25+273.15))/(EXP($A17-BV$7))))</f>
        <v>-4.3766450258205916E-24</v>
      </c>
      <c r="BW17">
        <f>IF(ISBLANK(Conductance_Eeq!BW16),"",IF(Conductance_Eeq!BW16&lt;0,((LN(ABS(((Conductance_Eeq!BW16/MAX(Conductance_Eeq!BW$7:BW$27)))))*(1.88E-23)*(25+273.15))/(EXP($A17-BW$7))),((LN((Conductance_Eeq!BW16/MAX(Conductance_Eeq!BW$7:BW$27))))*(1.88E-23)*(25+273.15))/(EXP($A17-BW$7))))</f>
        <v>-6.2543307168111341E-22</v>
      </c>
      <c r="BX17">
        <f>IF(ISBLANK(Conductance_Eeq!BX16),"",IF(Conductance_Eeq!BX16&lt;0,((LN(ABS(((Conductance_Eeq!BX16/MAX(Conductance_Eeq!BX$7:BX$27)))))*(1.88E-23)*(25+273.15))/(EXP($A17-BX$7))),((LN((Conductance_Eeq!BX16/MAX(Conductance_Eeq!BX$7:BX$27))))*(1.88E-23)*(25+273.15))/(EXP($A17-BX$7))))</f>
        <v>-6.1100100235851127E-23</v>
      </c>
      <c r="BY17">
        <f>IF(ISBLANK(Conductance_Eeq!BY16),"",IF(Conductance_Eeq!BY16&lt;0,((LN(ABS(((Conductance_Eeq!BY16/MAX(Conductance_Eeq!BY$7:BY$27)))))*(1.88E-23)*(25+273.15))/(EXP($A17-BY$7))),((LN((Conductance_Eeq!BY16/MAX(Conductance_Eeq!BY$7:BY$27))))*(1.88E-23)*(25+273.15))/(EXP($A17-BY$7))))</f>
        <v>0</v>
      </c>
      <c r="BZ17">
        <f>IF(ISBLANK(Conductance_Eeq!BZ16),"",IF(Conductance_Eeq!BZ16&lt;0,((LN(ABS(((Conductance_Eeq!BZ16/MAX(Conductance_Eeq!BZ$7:BZ$27)))))*(1.88E-23)*(25+273.15))/(EXP($A17-BZ$7))),((LN((Conductance_Eeq!BZ16/MAX(Conductance_Eeq!BZ$7:BZ$27))))*(1.88E-23)*(25+273.15))/(EXP($A17-BZ$7))))</f>
        <v>-9.888083716172436E-25</v>
      </c>
      <c r="CA17">
        <f>IF(ISBLANK(Conductance_Eeq!CA16),"",IF(Conductance_Eeq!CA16&lt;0,((LN(ABS(((Conductance_Eeq!CA16/MAX(Conductance_Eeq!CA$7:CA$27)))))*(1.88E-23)*(25+273.15))/(EXP($A17-CA$7))),((LN((Conductance_Eeq!CA16/MAX(Conductance_Eeq!CA$7:CA$27))))*(1.88E-23)*(25+273.15))/(EXP($A17-CA$7))))</f>
        <v>-1.0446074131302041E-22</v>
      </c>
      <c r="CB17">
        <f>IF(ISBLANK(Conductance_Eeq!CB16),"",IF(Conductance_Eeq!CB16&lt;0,((LN(ABS(((Conductance_Eeq!CB16/MAX(Conductance_Eeq!CB$7:CB$27)))))*(1.88E-23)*(25+273.15))/(EXP($A17-CB$7))),((LN((Conductance_Eeq!CB16/MAX(Conductance_Eeq!CB$7:CB$27))))*(1.88E-23)*(25+273.15))/(EXP($A17-CB$7))))</f>
        <v>-3.2028571087222205E-22</v>
      </c>
      <c r="CC17">
        <f>IF(ISBLANK(Conductance_Eeq!CC16),"",IF(Conductance_Eeq!CC16&lt;0,((LN(ABS(((Conductance_Eeq!CC16/MAX(Conductance_Eeq!CC$7:CC$27)))))*(1.88E-23)*(25+273.15))/(EXP($A17-CC$7))),((LN((Conductance_Eeq!CC16/MAX(Conductance_Eeq!CC$7:CC$27))))*(1.88E-23)*(25+273.15))/(EXP($A17-CC$7))))</f>
        <v>-8.1726767984102798E-20</v>
      </c>
      <c r="CD17">
        <f>IF(ISBLANK(Conductance_Eeq!CD16),"",IF(Conductance_Eeq!CD16&lt;0,((LN(ABS(((Conductance_Eeq!CD16/MAX(Conductance_Eeq!CD$7:CD$27)))))*(1.88E-23)*(25+273.15))/(EXP($A17-CD$7))),((LN((Conductance_Eeq!CD16/MAX(Conductance_Eeq!CD$7:CD$27))))*(1.88E-23)*(25+273.15))/(EXP($A17-CD$7))))</f>
        <v>-7.3662183619005092E-22</v>
      </c>
    </row>
    <row r="18" spans="1:82" x14ac:dyDescent="0.2">
      <c r="A18" s="3">
        <f t="shared" si="0"/>
        <v>20</v>
      </c>
      <c r="B18">
        <f>IF(ISBLANK(Conductance_Eeq!B17),"",IF(Conductance_Eeq!B17&lt;0,((LN(ABS(((Conductance_Eeq!B17/MAX(Conductance_Eeq!B$7:B$27)))))*(1.88E-23)*(25+273.15))/(EXP($A18-B$7))),((LN((Conductance_Eeq!B17/MAX(Conductance_Eeq!B$7:B$27))))*(1.88E-23)*(25+273.15))/(EXP($A18-B$7))))</f>
        <v>-1.7439086577610106E-26</v>
      </c>
      <c r="C18">
        <f>IF(ISBLANK(Conductance_Eeq!C17),"",IF(Conductance_Eeq!C17&lt;0,((LN(ABS(((Conductance_Eeq!C17/MAX(Conductance_Eeq!C$7:C$27)))))*(1.88E-23)*(25+273.15))/(EXP($A18-C$7))),((LN((Conductance_Eeq!C17/MAX(Conductance_Eeq!C$7:C$27))))*(1.88E-23)*(25+273.15))/(EXP($A18-C$7))))</f>
        <v>-2.3375030329854287E-27</v>
      </c>
      <c r="D18">
        <f>IF(ISBLANK(Conductance_Eeq!D17),"",IF(Conductance_Eeq!D17&lt;0,((LN(ABS(((Conductance_Eeq!D17/MAX(Conductance_Eeq!D$7:D$27)))))*(1.88E-23)*(25+273.15))/(EXP($A18-D$7))),((LN((Conductance_Eeq!D17/MAX(Conductance_Eeq!D$7:D$27))))*(1.88E-23)*(25+273.15))/(EXP($A18-D$7))))</f>
        <v>-1.2393095695319672E-28</v>
      </c>
      <c r="E18">
        <f>IF(ISBLANK(Conductance_Eeq!E17),"",IF(Conductance_Eeq!E17&lt;0,((LN(ABS(((Conductance_Eeq!E17/MAX(Conductance_Eeq!E$7:E$27)))))*(1.88E-23)*(25+273.15))/(EXP($A18-E$7))),((LN((Conductance_Eeq!E17/MAX(Conductance_Eeq!E$7:E$27))))*(1.88E-23)*(25+273.15))/(EXP($A18-E$7))))</f>
        <v>0</v>
      </c>
      <c r="F18">
        <f>IF(ISBLANK(Conductance_Eeq!F17),"",IF(Conductance_Eeq!F17&lt;0,((LN(ABS(((Conductance_Eeq!F17/MAX(Conductance_Eeq!F$7:F$27)))))*(1.88E-23)*(25+273.15))/(EXP($A18-F$7))),((LN((Conductance_Eeq!F17/MAX(Conductance_Eeq!F$7:F$27))))*(1.88E-23)*(25+273.15))/(EXP($A18-F$7))))</f>
        <v>-3.8238194329072386E-27</v>
      </c>
      <c r="G18">
        <f>IF(ISBLANK(Conductance_Eeq!G17),"",IF(Conductance_Eeq!G17&lt;0,((LN(ABS(((Conductance_Eeq!G17/MAX(Conductance_Eeq!G$7:G$27)))))*(1.88E-23)*(25+273.15))/(EXP($A18-G$7))),((LN((Conductance_Eeq!G17/MAX(Conductance_Eeq!G$7:G$27))))*(1.88E-23)*(25+273.15))/(EXP($A18-G$7))))</f>
        <v>-3.8238194329072386E-27</v>
      </c>
      <c r="H18">
        <f>IF(ISBLANK(Conductance_Eeq!H17),"",IF(Conductance_Eeq!H17&lt;0,((LN(ABS(((Conductance_Eeq!H17/MAX(Conductance_Eeq!H$7:H$27)))))*(1.88E-23)*(25+273.15))/(EXP($A18-H$7))),((LN((Conductance_Eeq!H17/MAX(Conductance_Eeq!H$7:H$27))))*(1.88E-23)*(25+273.15))/(EXP($A18-H$7))))</f>
        <v>-8.3125435886445776E-27</v>
      </c>
      <c r="I18">
        <f>IF(ISBLANK(Conductance_Eeq!I17),"",IF(Conductance_Eeq!I17&lt;0,((LN(ABS(((Conductance_Eeq!I17/MAX(Conductance_Eeq!I$7:I$27)))))*(1.88E-23)*(25+273.15))/(EXP($A18-I$7))),((LN((Conductance_Eeq!I17/MAX(Conductance_Eeq!I$7:I$27))))*(1.88E-23)*(25+273.15))/(EXP($A18-I$7))))</f>
        <v>-2.6689676394583015E-30</v>
      </c>
      <c r="J18">
        <f>IF(ISBLANK(Conductance_Eeq!J17),"",IF(Conductance_Eeq!J17&lt;0,((LN(ABS(((Conductance_Eeq!J17/MAX(Conductance_Eeq!J$7:J$27)))))*(1.88E-23)*(25+273.15))/(EXP($A18-J$7))),((LN((Conductance_Eeq!J17/MAX(Conductance_Eeq!J$7:J$27))))*(1.88E-23)*(25+273.15))/(EXP($A18-J$7))))</f>
        <v>-4.0498456681781241E-30</v>
      </c>
      <c r="K18">
        <f>IF(ISBLANK(Conductance_Eeq!K17),"",IF(Conductance_Eeq!K17&lt;0,((LN(ABS(((Conductance_Eeq!K17/MAX(Conductance_Eeq!K$7:K$27)))))*(1.88E-23)*(25+273.15))/(EXP($A18-K$7))),((LN((Conductance_Eeq!K17/MAX(Conductance_Eeq!K$7:K$27))))*(1.88E-23)*(25+273.15))/(EXP($A18-K$7))))</f>
        <v>-2.8082678854796721E-27</v>
      </c>
      <c r="L18">
        <f>IF(ISBLANK(Conductance_Eeq!L17),"",IF(Conductance_Eeq!L17&lt;0,((LN(ABS(((Conductance_Eeq!L17/MAX(Conductance_Eeq!L$7:L$27)))))*(1.88E-23)*(25+273.15))/(EXP($A18-L$7))),((LN((Conductance_Eeq!L17/MAX(Conductance_Eeq!L$7:L$27))))*(1.88E-23)*(25+273.15))/(EXP($A18-L$7))))</f>
        <v>-5.4114983236967909E-29</v>
      </c>
      <c r="M18">
        <f>IF(ISBLANK(Conductance_Eeq!M17),"",IF(Conductance_Eeq!M17&lt;0,((LN(ABS(((Conductance_Eeq!M17/MAX(Conductance_Eeq!M$7:M$27)))))*(1.88E-23)*(25+273.15))/(EXP($A18-M$7))),((LN((Conductance_Eeq!M17/MAX(Conductance_Eeq!M$7:M$27))))*(1.88E-23)*(25+273.15))/(EXP($A18-M$7))))</f>
        <v>-1.500343225614755E-28</v>
      </c>
      <c r="N18">
        <f>IF(ISBLANK(Conductance_Eeq!N17),"",IF(Conductance_Eeq!N17&lt;0,((LN(ABS(((Conductance_Eeq!N17/MAX(Conductance_Eeq!N$7:N$27)))))*(1.88E-23)*(25+273.15))/(EXP($A18-N$7))),((LN((Conductance_Eeq!N17/MAX(Conductance_Eeq!N$7:N$27))))*(1.88E-23)*(25+273.15))/(EXP($A18-N$7))))</f>
        <v>-6.6688299632453339E-30</v>
      </c>
      <c r="O18">
        <f>IF(ISBLANK(Conductance_Eeq!O17),"",IF(Conductance_Eeq!O17&lt;0,((LN(ABS(((Conductance_Eeq!O17/MAX(Conductance_Eeq!O$7:O$27)))))*(1.88E-23)*(25+273.15))/(EXP($A18-O$7))),((LN((Conductance_Eeq!O17/MAX(Conductance_Eeq!O$7:O$27))))*(1.88E-23)*(25+273.15))/(EXP($A18-O$7))))</f>
        <v>0</v>
      </c>
      <c r="P18">
        <f>IF(ISBLANK(Conductance_Eeq!P17),"",IF(Conductance_Eeq!P17&lt;0,((LN(ABS(((Conductance_Eeq!P17/MAX(Conductance_Eeq!P$7:P$27)))))*(1.88E-23)*(25+273.15))/(EXP($A18-P$7))),((LN((Conductance_Eeq!P17/MAX(Conductance_Eeq!P$7:P$27))))*(1.88E-23)*(25+273.15))/(EXP($A18-P$7))))</f>
        <v>-6.3230718433717935E-29</v>
      </c>
      <c r="Q18">
        <f>IF(ISBLANK(Conductance_Eeq!Q17),"",IF(Conductance_Eeq!Q17&lt;0,((LN(ABS(((Conductance_Eeq!Q17/MAX(Conductance_Eeq!Q$7:Q$27)))))*(1.88E-23)*(25+273.15))/(EXP($A18-Q$7))),((LN((Conductance_Eeq!Q17/MAX(Conductance_Eeq!Q$7:Q$27))))*(1.88E-23)*(25+273.15))/(EXP($A18-Q$7))))</f>
        <v>-1.309662470888987E-27</v>
      </c>
      <c r="R18">
        <f>IF(ISBLANK(Conductance_Eeq!R17),"",IF(Conductance_Eeq!R17&lt;0,((LN(ABS(((Conductance_Eeq!R17/MAX(Conductance_Eeq!R$7:R$27)))))*(1.88E-23)*(25+273.15))/(EXP($A18-R$7))),((LN((Conductance_Eeq!R17/MAX(Conductance_Eeq!R$7:R$27))))*(1.88E-23)*(25+273.15))/(EXP($A18-R$7))))</f>
        <v>0</v>
      </c>
      <c r="S18">
        <f>IF(ISBLANK(Conductance_Eeq!S17),"",IF(Conductance_Eeq!S17&lt;0,((LN(ABS(((Conductance_Eeq!S17/MAX(Conductance_Eeq!S$7:S$27)))))*(1.88E-23)*(25+273.15))/(EXP($A18-S$7))),((LN((Conductance_Eeq!S17/MAX(Conductance_Eeq!S$7:S$27))))*(1.88E-23)*(25+273.15))/(EXP($A18-S$7))))</f>
        <v>-4.2902926297705386E-28</v>
      </c>
      <c r="T18">
        <f>IF(ISBLANK(Conductance_Eeq!T17),"",IF(Conductance_Eeq!T17&lt;0,((LN(ABS(((Conductance_Eeq!T17/MAX(Conductance_Eeq!T$7:T$27)))))*(1.88E-23)*(25+273.15))/(EXP($A18-T$7))),((LN((Conductance_Eeq!T17/MAX(Conductance_Eeq!T$7:T$27))))*(1.88E-23)*(25+273.15))/(EXP($A18-T$7))))</f>
        <v>0</v>
      </c>
      <c r="U18">
        <f>IF(ISBLANK(Conductance_Eeq!U17),"",IF(Conductance_Eeq!U17&lt;0,((LN(ABS(((Conductance_Eeq!U17/MAX(Conductance_Eeq!U$7:U$27)))))*(1.88E-23)*(25+273.15))/(EXP($A18-U$7))),((LN((Conductance_Eeq!U17/MAX(Conductance_Eeq!U$7:U$27))))*(1.88E-23)*(25+273.15))/(EXP($A18-U$7))))</f>
        <v>-2.3984606747576026E-29</v>
      </c>
      <c r="V18">
        <f>IF(ISBLANK(Conductance_Eeq!V17),"",IF(Conductance_Eeq!V17&lt;0,((LN(ABS(((Conductance_Eeq!V17/MAX(Conductance_Eeq!V$7:V$27)))))*(1.88E-23)*(25+273.15))/(EXP($A18-V$7))),((LN((Conductance_Eeq!V17/MAX(Conductance_Eeq!V$7:V$27))))*(1.88E-23)*(25+273.15))/(EXP($A18-V$7))))</f>
        <v>-2.8234592985380516E-27</v>
      </c>
      <c r="W18">
        <f>IF(ISBLANK(Conductance_Eeq!W17),"",IF(Conductance_Eeq!W17&lt;0,((LN(ABS(((Conductance_Eeq!W17/MAX(Conductance_Eeq!W$7:W$27)))))*(1.88E-23)*(25+273.15))/(EXP($A18-W$7))),((LN((Conductance_Eeq!W17/MAX(Conductance_Eeq!W$7:W$27))))*(1.88E-23)*(25+273.15))/(EXP($A18-W$7))))</f>
        <v>-1.4447689085777795E-28</v>
      </c>
      <c r="X18">
        <f>IF(ISBLANK(Conductance_Eeq!X17),"",IF(Conductance_Eeq!X17&lt;0,((LN(ABS(((Conductance_Eeq!X17/MAX(Conductance_Eeq!X$7:X$27)))))*(1.88E-23)*(25+273.15))/(EXP($A18-X$7))),((LN((Conductance_Eeq!X17/MAX(Conductance_Eeq!X$7:X$27))))*(1.88E-23)*(25+273.15))/(EXP($A18-X$7))))</f>
        <v>-3.4071933876353599E-28</v>
      </c>
      <c r="Y18">
        <f>IF(ISBLANK(Conductance_Eeq!Y17),"",IF(Conductance_Eeq!Y17&lt;0,((LN(ABS(((Conductance_Eeq!Y17/MAX(Conductance_Eeq!Y$7:Y$27)))))*(1.88E-23)*(25+273.15))/(EXP($A18-Y$7))),((LN((Conductance_Eeq!Y17/MAX(Conductance_Eeq!Y$7:Y$27))))*(1.88E-23)*(25+273.15))/(EXP($A18-Y$7))))</f>
        <v>-1.0688295971465899E-28</v>
      </c>
      <c r="Z18">
        <f>IF(ISBLANK(Conductance_Eeq!Z17),"",IF(Conductance_Eeq!Z17&lt;0,((LN(ABS(((Conductance_Eeq!Z17/MAX(Conductance_Eeq!Z$7:Z$27)))))*(1.88E-23)*(25+273.15))/(EXP($A18-Z$7))),((LN((Conductance_Eeq!Z17/MAX(Conductance_Eeq!Z$7:Z$27))))*(1.88E-23)*(25+273.15))/(EXP($A18-Z$7))))</f>
        <v>-9.0689498174848446E-28</v>
      </c>
      <c r="AA18">
        <f>IF(ISBLANK(Conductance_Eeq!AA17),"",IF(Conductance_Eeq!AA17&lt;0,((LN(ABS(((Conductance_Eeq!AA17/MAX(Conductance_Eeq!AA$7:AA$27)))))*(1.88E-23)*(25+273.15))/(EXP($A18-AA$7))),((LN((Conductance_Eeq!AA17/MAX(Conductance_Eeq!AA$7:AA$27))))*(1.88E-23)*(25+273.15))/(EXP($A18-AA$7))))</f>
        <v>-4.811890211079906E-28</v>
      </c>
      <c r="AB18">
        <f>IF(ISBLANK(Conductance_Eeq!AB17),"",IF(Conductance_Eeq!AB17&lt;0,((LN(ABS(((Conductance_Eeq!AB17/MAX(Conductance_Eeq!AB$7:AB$27)))))*(1.88E-23)*(25+273.15))/(EXP($A18-AB$7))),((LN((Conductance_Eeq!AB17/MAX(Conductance_Eeq!AB$7:AB$27))))*(1.88E-23)*(25+273.15))/(EXP($A18-AB$7))))</f>
        <v>0</v>
      </c>
      <c r="AC18">
        <f>IF(ISBLANK(Conductance_Eeq!AC17),"",IF(Conductance_Eeq!AC17&lt;0,((LN(ABS(((Conductance_Eeq!AC17/MAX(Conductance_Eeq!AC$7:AC$27)))))*(1.88E-23)*(25+273.15))/(EXP($A18-AC$7))),((LN((Conductance_Eeq!AC17/MAX(Conductance_Eeq!AC$7:AC$27))))*(1.88E-23)*(25+273.15))/(EXP($A18-AC$7))))</f>
        <v>-6.0122943804622944E-28</v>
      </c>
      <c r="AD18">
        <f>IF(ISBLANK(Conductance_Eeq!AD17),"",IF(Conductance_Eeq!AD17&lt;0,((LN(ABS(((Conductance_Eeq!AD17/MAX(Conductance_Eeq!AD$7:AD$27)))))*(1.88E-23)*(25+273.15))/(EXP($A18-AD$7))),((LN((Conductance_Eeq!AD17/MAX(Conductance_Eeq!AD$7:AD$27))))*(1.88E-23)*(25+273.15))/(EXP($A18-AD$7))))</f>
        <v>-1.7834677327219269E-27</v>
      </c>
      <c r="AE18">
        <f>IF(ISBLANK(Conductance_Eeq!AE17),"",IF(Conductance_Eeq!AE17&lt;0,((LN(ABS(((Conductance_Eeq!AE17/MAX(Conductance_Eeq!AE$7:AE$27)))))*(1.88E-23)*(25+273.15))/(EXP($A18-AE$7))),((LN((Conductance_Eeq!AE17/MAX(Conductance_Eeq!AE$7:AE$27))))*(1.88E-23)*(25+273.15))/(EXP($A18-AE$7))))</f>
        <v>-1.9568396516767283E-25</v>
      </c>
      <c r="AF18">
        <f>IF(ISBLANK(Conductance_Eeq!AF17),"",IF(Conductance_Eeq!AF17&lt;0,((LN(ABS(((Conductance_Eeq!AF17/MAX(Conductance_Eeq!AF$7:AF$27)))))*(1.88E-23)*(25+273.15))/(EXP($A18-AF$7))),((LN((Conductance_Eeq!AF17/MAX(Conductance_Eeq!AF$7:AF$27))))*(1.88E-23)*(25+273.15))/(EXP($A18-AF$7))))</f>
        <v>-5.6736420695634669E-27</v>
      </c>
      <c r="AG18">
        <f>IF(ISBLANK(Conductance_Eeq!AG17),"",IF(Conductance_Eeq!AG17&lt;0,((LN(ABS(((Conductance_Eeq!AG17/MAX(Conductance_Eeq!AG$7:AG$27)))))*(1.88E-23)*(25+273.15))/(EXP($A18-AG$7))),((LN((Conductance_Eeq!AG17/MAX(Conductance_Eeq!AG$7:AG$27))))*(1.88E-23)*(25+273.15))/(EXP($A18-AG$7))))</f>
        <v>-8.5051286450933092E-28</v>
      </c>
      <c r="AH18">
        <f>IF(ISBLANK(Conductance_Eeq!AH17),"",IF(Conductance_Eeq!AH17&lt;0,((LN(ABS(((Conductance_Eeq!AH17/MAX(Conductance_Eeq!AH$7:AH$27)))))*(1.88E-23)*(25+273.15))/(EXP($A18-AH$7))),((LN((Conductance_Eeq!AH17/MAX(Conductance_Eeq!AH$7:AH$27))))*(1.88E-23)*(25+273.15))/(EXP($A18-AH$7))))</f>
        <v>0</v>
      </c>
      <c r="AI18">
        <f>IF(ISBLANK(Conductance_Eeq!AI17),"",IF(Conductance_Eeq!AI17&lt;0,((LN(ABS(((Conductance_Eeq!AI17/MAX(Conductance_Eeq!AI$7:AI$27)))))*(1.88E-23)*(25+273.15))/(EXP($A18-AI$7))),((LN((Conductance_Eeq!AI17/MAX(Conductance_Eeq!AI$7:AI$27))))*(1.88E-23)*(25+273.15))/(EXP($A18-AI$7))))</f>
        <v>0</v>
      </c>
      <c r="AJ18">
        <f>IF(ISBLANK(Conductance_Eeq!AJ17),"",IF(Conductance_Eeq!AJ17&lt;0,((LN(ABS(((Conductance_Eeq!AJ17/MAX(Conductance_Eeq!AJ$7:AJ$27)))))*(1.88E-23)*(25+273.15))/(EXP($A18-AJ$7))),((LN((Conductance_Eeq!AJ17/MAX(Conductance_Eeq!AJ$7:AJ$27))))*(1.88E-23)*(25+273.15))/(EXP($A18-AJ$7))))</f>
        <v>-1.7483414836692986E-27</v>
      </c>
      <c r="AK18">
        <f>IF(ISBLANK(Conductance_Eeq!AK17),"",IF(Conductance_Eeq!AK17&lt;0,((LN(ABS(((Conductance_Eeq!AK17/MAX(Conductance_Eeq!AK$7:AK$27)))))*(1.88E-23)*(25+273.15))/(EXP($A18-AK$7))),((LN((Conductance_Eeq!AK17/MAX(Conductance_Eeq!AK$7:AK$27))))*(1.88E-23)*(25+273.15))/(EXP($A18-AK$7))))</f>
        <v>-3.2680659374132229E-28</v>
      </c>
      <c r="AL18">
        <f>IF(ISBLANK(Conductance_Eeq!AL17),"",IF(Conductance_Eeq!AL17&lt;0,((LN(ABS(((Conductance_Eeq!AL17/MAX(Conductance_Eeq!AL$7:AL$27)))))*(1.88E-23)*(25+273.15))/(EXP($A18-AL$7))),((LN((Conductance_Eeq!AL17/MAX(Conductance_Eeq!AL$7:AL$27))))*(1.88E-23)*(25+273.15))/(EXP($A18-AL$7))))</f>
        <v>-3.6744690386552464E-28</v>
      </c>
      <c r="AM18">
        <f>IF(ISBLANK(Conductance_Eeq!AM17),"",IF(Conductance_Eeq!AM17&lt;0,((LN(ABS(((Conductance_Eeq!AM17/MAX(Conductance_Eeq!AM$7:AM$27)))))*(1.88E-23)*(25+273.15))/(EXP($A18-AM$7))),((LN((Conductance_Eeq!AM17/MAX(Conductance_Eeq!AM$7:AM$27))))*(1.88E-23)*(25+273.15))/(EXP($A18-AM$7))))</f>
        <v>0</v>
      </c>
      <c r="AN18">
        <f>IF(ISBLANK(Conductance_Eeq!AN17),"",IF(Conductance_Eeq!AN17&lt;0,((LN(ABS(((Conductance_Eeq!AN17/MAX(Conductance_Eeq!AN$7:AN$27)))))*(1.88E-23)*(25+273.15))/(EXP($A18-AN$7))),((LN((Conductance_Eeq!AN17/MAX(Conductance_Eeq!AN$7:AN$27))))*(1.88E-23)*(25+273.15))/(EXP($A18-AN$7))))</f>
        <v>0</v>
      </c>
      <c r="AO18">
        <f>IF(ISBLANK(Conductance_Eeq!AO17),"",IF(Conductance_Eeq!AO17&lt;0,((LN(ABS(((Conductance_Eeq!AO17/MAX(Conductance_Eeq!AO$7:AO$27)))))*(1.88E-23)*(25+273.15))/(EXP($A18-AO$7))),((LN((Conductance_Eeq!AO17/MAX(Conductance_Eeq!AO$7:AO$27))))*(1.88E-23)*(25+273.15))/(EXP($A18-AO$7))))</f>
        <v>-4.0007345580277325E-28</v>
      </c>
      <c r="AP18">
        <f>IF(ISBLANK(Conductance_Eeq!AP17),"",IF(Conductance_Eeq!AP17&lt;0,((LN(ABS(((Conductance_Eeq!AP17/MAX(Conductance_Eeq!AP$7:AP$27)))))*(1.88E-23)*(25+273.15))/(EXP($A18-AP$7))),((LN((Conductance_Eeq!AP17/MAX(Conductance_Eeq!AP$7:AP$27))))*(1.88E-23)*(25+273.15))/(EXP($A18-AP$7))))</f>
        <v>0</v>
      </c>
      <c r="AQ18">
        <f>IF(ISBLANK(Conductance_Eeq!AQ17),"",IF(Conductance_Eeq!AQ17&lt;0,((LN(ABS(((Conductance_Eeq!AQ17/MAX(Conductance_Eeq!AQ$7:AQ$27)))))*(1.88E-23)*(25+273.15))/(EXP($A18-AQ$7))),((LN((Conductance_Eeq!AQ17/MAX(Conductance_Eeq!AQ$7:AQ$27))))*(1.88E-23)*(25+273.15))/(EXP($A18-AQ$7))))</f>
        <v>-4.7188219280779055E-27</v>
      </c>
      <c r="AR18">
        <f>IF(ISBLANK(Conductance_Eeq!AR17),"",IF(Conductance_Eeq!AR17&lt;0,((LN(ABS(((Conductance_Eeq!AR17/MAX(Conductance_Eeq!AR$7:AR$27)))))*(1.88E-23)*(25+273.15))/(EXP($A18-AR$7))),((LN((Conductance_Eeq!AR17/MAX(Conductance_Eeq!AR$7:AR$27))))*(1.88E-23)*(25+273.15))/(EXP($A18-AR$7))))</f>
        <v>0</v>
      </c>
      <c r="AS18">
        <f>IF(ISBLANK(Conductance_Eeq!AS17),"",IF(Conductance_Eeq!AS17&lt;0,((LN(ABS(((Conductance_Eeq!AS17/MAX(Conductance_Eeq!AS$7:AS$27)))))*(1.88E-23)*(25+273.15))/(EXP($A18-AS$7))),((LN((Conductance_Eeq!AS17/MAX(Conductance_Eeq!AS$7:AS$27))))*(1.88E-23)*(25+273.15))/(EXP($A18-AS$7))))</f>
        <v>0</v>
      </c>
      <c r="AT18">
        <f>IF(ISBLANK(Conductance_Eeq!AT17),"",IF(Conductance_Eeq!AT17&lt;0,((LN(ABS(((Conductance_Eeq!AT17/MAX(Conductance_Eeq!AT$7:AT$27)))))*(1.88E-23)*(25+273.15))/(EXP($A18-AT$7))),((LN((Conductance_Eeq!AT17/MAX(Conductance_Eeq!AT$7:AT$27))))*(1.88E-23)*(25+273.15))/(EXP($A18-AT$7))))</f>
        <v>-6.236698917214046E-27</v>
      </c>
      <c r="AU18">
        <f>IF(ISBLANK(Conductance_Eeq!AU17),"",IF(Conductance_Eeq!AU17&lt;0,((LN(ABS(((Conductance_Eeq!AU17/MAX(Conductance_Eeq!AU$7:AU$27)))))*(1.88E-23)*(25+273.15))/(EXP($A18-AU$7))),((LN((Conductance_Eeq!AU17/MAX(Conductance_Eeq!AU$7:AU$27))))*(1.88E-23)*(25+273.15))/(EXP($A18-AU$7))))</f>
        <v>-2.8657167711891591E-28</v>
      </c>
      <c r="AV18">
        <f>IF(ISBLANK(Conductance_Eeq!AV17),"",IF(Conductance_Eeq!AV17&lt;0,((LN(ABS(((Conductance_Eeq!AV17/MAX(Conductance_Eeq!AV$7:AV$27)))))*(1.88E-23)*(25+273.15))/(EXP($A18-AV$7))),((LN((Conductance_Eeq!AV17/MAX(Conductance_Eeq!AV$7:AV$27))))*(1.88E-23)*(25+273.15))/(EXP($A18-AV$7))))</f>
        <v>0</v>
      </c>
      <c r="AW18">
        <f>IF(ISBLANK(Conductance_Eeq!AW17),"",IF(Conductance_Eeq!AW17&lt;0,((LN(ABS(((Conductance_Eeq!AW17/MAX(Conductance_Eeq!AW$7:AW$27)))))*(1.88E-23)*(25+273.15))/(EXP($A18-AW$7))),((LN((Conductance_Eeq!AW17/MAX(Conductance_Eeq!AW$7:AW$27))))*(1.88E-23)*(25+273.15))/(EXP($A18-AW$7))))</f>
        <v>-8.4239445328798242E-27</v>
      </c>
      <c r="AX18">
        <f>IF(ISBLANK(Conductance_Eeq!AX17),"",IF(Conductance_Eeq!AX17&lt;0,((LN(ABS(((Conductance_Eeq!AX17/MAX(Conductance_Eeq!AX$7:AX$27)))))*(1.88E-23)*(25+273.15))/(EXP($A18-AX$7))),((LN((Conductance_Eeq!AX17/MAX(Conductance_Eeq!AX$7:AX$27))))*(1.88E-23)*(25+273.15))/(EXP($A18-AX$7))))</f>
        <v>-1.8344246237571676E-27</v>
      </c>
      <c r="AY18">
        <f>IF(ISBLANK(Conductance_Eeq!AY17),"",IF(Conductance_Eeq!AY17&lt;0,((LN(ABS(((Conductance_Eeq!AY17/MAX(Conductance_Eeq!AY$7:AY$27)))))*(1.88E-23)*(25+273.15))/(EXP($A18-AY$7))),((LN((Conductance_Eeq!AY17/MAX(Conductance_Eeq!AY$7:AY$27))))*(1.88E-23)*(25+273.15))/(EXP($A18-AY$7))))</f>
        <v>0</v>
      </c>
      <c r="AZ18">
        <f>IF(ISBLANK(Conductance_Eeq!AZ17),"",IF(Conductance_Eeq!AZ17&lt;0,((LN(ABS(((Conductance_Eeq!AZ17/MAX(Conductance_Eeq!AZ$7:AZ$27)))))*(1.88E-23)*(25+273.15))/(EXP($A18-AZ$7))),((LN((Conductance_Eeq!AZ17/MAX(Conductance_Eeq!AZ$7:AZ$27))))*(1.88E-23)*(25+273.15))/(EXP($A18-AZ$7))))</f>
        <v>-2.3696213693385478E-26</v>
      </c>
      <c r="BA18">
        <f>IF(ISBLANK(Conductance_Eeq!BA17),"",IF(Conductance_Eeq!BA17&lt;0,((LN(ABS(((Conductance_Eeq!BA17/MAX(Conductance_Eeq!BA$7:BA$27)))))*(1.88E-23)*(25+273.15))/(EXP($A18-BA$7))),((LN((Conductance_Eeq!BA17/MAX(Conductance_Eeq!BA$7:BA$27))))*(1.88E-23)*(25+273.15))/(EXP($A18-BA$7))))</f>
        <v>-1.1236749606116557E-26</v>
      </c>
      <c r="BB18">
        <f>IF(ISBLANK(Conductance_Eeq!BB17),"",IF(Conductance_Eeq!BB17&lt;0,((LN(ABS(((Conductance_Eeq!BB17/MAX(Conductance_Eeq!BB$7:BB$27)))))*(1.88E-23)*(25+273.15))/(EXP($A18-BB$7))),((LN((Conductance_Eeq!BB17/MAX(Conductance_Eeq!BB$7:BB$27))))*(1.88E-23)*(25+273.15))/(EXP($A18-BB$7))))</f>
        <v>-1.7427247004040943E-26</v>
      </c>
      <c r="BC18">
        <f>IF(ISBLANK(Conductance_Eeq!BC17),"",IF(Conductance_Eeq!BC17&lt;0,((LN(ABS(((Conductance_Eeq!BC17/MAX(Conductance_Eeq!BC$7:BC$27)))))*(1.88E-23)*(25+273.15))/(EXP($A18-BC$7))),((LN((Conductance_Eeq!BC17/MAX(Conductance_Eeq!BC$7:BC$27))))*(1.88E-23)*(25+273.15))/(EXP($A18-BC$7))))</f>
        <v>0</v>
      </c>
      <c r="BD18">
        <f>IF(ISBLANK(Conductance_Eeq!BD17),"",IF(Conductance_Eeq!BD17&lt;0,((LN(ABS(((Conductance_Eeq!BD17/MAX(Conductance_Eeq!BD$7:BD$27)))))*(1.88E-23)*(25+273.15))/(EXP($A18-BD$7))),((LN((Conductance_Eeq!BD17/MAX(Conductance_Eeq!BD$7:BD$27))))*(1.88E-23)*(25+273.15))/(EXP($A18-BD$7))))</f>
        <v>-1.5585950666252625E-28</v>
      </c>
      <c r="BE18">
        <f>IF(ISBLANK(Conductance_Eeq!BE17),"",IF(Conductance_Eeq!BE17&lt;0,((LN(ABS(((Conductance_Eeq!BE17/MAX(Conductance_Eeq!BE$7:BE$27)))))*(1.88E-23)*(25+273.15))/(EXP($A18-BE$7))),((LN((Conductance_Eeq!BE17/MAX(Conductance_Eeq!BE$7:BE$27))))*(1.88E-23)*(25+273.15))/(EXP($A18-BE$7))))</f>
        <v>-4.7062450779174737E-28</v>
      </c>
      <c r="BF18">
        <f>IF(ISBLANK(Conductance_Eeq!BF17),"",IF(Conductance_Eeq!BF17&lt;0,((LN(ABS(((Conductance_Eeq!BF17/MAX(Conductance_Eeq!BF$7:BF$27)))))*(1.88E-23)*(25+273.15))/(EXP($A18-BF$7))),((LN((Conductance_Eeq!BF17/MAX(Conductance_Eeq!BF$7:BF$27))))*(1.88E-23)*(25+273.15))/(EXP($A18-BF$7))))</f>
        <v>0</v>
      </c>
      <c r="BG18">
        <f>IF(ISBLANK(Conductance_Eeq!BG17),"",IF(Conductance_Eeq!BG17&lt;0,((LN(ABS(((Conductance_Eeq!BG17/MAX(Conductance_Eeq!BG$7:BG$27)))))*(1.88E-23)*(25+273.15))/(EXP($A18-BG$7))),((LN((Conductance_Eeq!BG17/MAX(Conductance_Eeq!BG$7:BG$27))))*(1.88E-23)*(25+273.15))/(EXP($A18-BG$7))))</f>
        <v>-3.245743606687389E-26</v>
      </c>
      <c r="BH18">
        <f>IF(ISBLANK(Conductance_Eeq!BH17),"",IF(Conductance_Eeq!BH17&lt;0,((LN(ABS(((Conductance_Eeq!BH17/MAX(Conductance_Eeq!BH$7:BH$27)))))*(1.88E-23)*(25+273.15))/(EXP($A18-BH$7))),((LN((Conductance_Eeq!BH17/MAX(Conductance_Eeq!BH$7:BH$27))))*(1.88E-23)*(25+273.15))/(EXP($A18-BH$7))))</f>
        <v>-1.5933860973346716E-29</v>
      </c>
      <c r="BI18">
        <f>IF(ISBLANK(Conductance_Eeq!BI17),"",IF(Conductance_Eeq!BI17&lt;0,((LN(ABS(((Conductance_Eeq!BI17/MAX(Conductance_Eeq!BI$7:BI$27)))))*(1.88E-23)*(25+273.15))/(EXP($A18-BI$7))),((LN((Conductance_Eeq!BI17/MAX(Conductance_Eeq!BI$7:BI$27))))*(1.88E-23)*(25+273.15))/(EXP($A18-BI$7))))</f>
        <v>-4.0890823031543539E-28</v>
      </c>
      <c r="BJ18">
        <f>IF(ISBLANK(Conductance_Eeq!BJ17),"",IF(Conductance_Eeq!BJ17&lt;0,((LN(ABS(((Conductance_Eeq!BJ17/MAX(Conductance_Eeq!BJ$7:BJ$27)))))*(1.88E-23)*(25+273.15))/(EXP($A18-BJ$7))),((LN((Conductance_Eeq!BJ17/MAX(Conductance_Eeq!BJ$7:BJ$27))))*(1.88E-23)*(25+273.15))/(EXP($A18-BJ$7))))</f>
        <v>-5.1679778473366355E-28</v>
      </c>
      <c r="BK18">
        <f>IF(ISBLANK(Conductance_Eeq!BK17),"",IF(Conductance_Eeq!BK17&lt;0,((LN(ABS(((Conductance_Eeq!BK17/MAX(Conductance_Eeq!BK$7:BK$27)))))*(1.88E-23)*(25+273.15))/(EXP($A18-BK$7))),((LN((Conductance_Eeq!BK17/MAX(Conductance_Eeq!BK$7:BK$27))))*(1.88E-23)*(25+273.15))/(EXP($A18-BK$7))))</f>
        <v>-2.4458856596609527E-27</v>
      </c>
      <c r="BL18">
        <f>IF(ISBLANK(Conductance_Eeq!BL17),"",IF(Conductance_Eeq!BL17&lt;0,((LN(ABS(((Conductance_Eeq!BL17/MAX(Conductance_Eeq!BL$7:BL$27)))))*(1.88E-23)*(25+273.15))/(EXP($A18-BL$7))),((LN((Conductance_Eeq!BL17/MAX(Conductance_Eeq!BL$7:BL$27))))*(1.88E-23)*(25+273.15))/(EXP($A18-BL$7))))</f>
        <v>0</v>
      </c>
      <c r="BM18">
        <f>IF(ISBLANK(Conductance_Eeq!BM17),"",IF(Conductance_Eeq!BM17&lt;0,((LN(ABS(((Conductance_Eeq!BM17/MAX(Conductance_Eeq!BM$7:BM$27)))))*(1.88E-23)*(25+273.15))/(EXP($A18-BM$7))),((LN((Conductance_Eeq!BM17/MAX(Conductance_Eeq!BM$7:BM$27))))*(1.88E-23)*(25+273.15))/(EXP($A18-BM$7))))</f>
        <v>0</v>
      </c>
      <c r="BN18">
        <f>IF(ISBLANK(Conductance_Eeq!BN17),"",IF(Conductance_Eeq!BN17&lt;0,((LN(ABS(((Conductance_Eeq!BN17/MAX(Conductance_Eeq!BN$7:BN$27)))))*(1.88E-23)*(25+273.15))/(EXP($A18-BN$7))),((LN((Conductance_Eeq!BN17/MAX(Conductance_Eeq!BN$7:BN$27))))*(1.88E-23)*(25+273.15))/(EXP($A18-BN$7))))</f>
        <v>0</v>
      </c>
      <c r="BO18">
        <f>IF(ISBLANK(Conductance_Eeq!BO17),"",IF(Conductance_Eeq!BO17&lt;0,((LN(ABS(((Conductance_Eeq!BO17/MAX(Conductance_Eeq!BO$7:BO$27)))))*(1.88E-23)*(25+273.15))/(EXP($A18-BO$7))),((LN((Conductance_Eeq!BO17/MAX(Conductance_Eeq!BO$7:BO$27))))*(1.88E-23)*(25+273.15))/(EXP($A18-BO$7))))</f>
        <v>-2.9010415683347552E-28</v>
      </c>
      <c r="BP18">
        <f>IF(ISBLANK(Conductance_Eeq!BP17),"",IF(Conductance_Eeq!BP17&lt;0,((LN(ABS(((Conductance_Eeq!BP17/MAX(Conductance_Eeq!BP$7:BP$27)))))*(1.88E-23)*(25+273.15))/(EXP($A18-BP$7))),((LN((Conductance_Eeq!BP17/MAX(Conductance_Eeq!BP$7:BP$27))))*(1.88E-23)*(25+273.15))/(EXP($A18-BP$7))))</f>
        <v>0</v>
      </c>
      <c r="BQ18">
        <f>IF(ISBLANK(Conductance_Eeq!BQ17),"",IF(Conductance_Eeq!BQ17&lt;0,((LN(ABS(((Conductance_Eeq!BQ17/MAX(Conductance_Eeq!BQ$7:BQ$27)))))*(1.88E-23)*(25+273.15))/(EXP($A18-BQ$7))),((LN((Conductance_Eeq!BQ17/MAX(Conductance_Eeq!BQ$7:BQ$27))))*(1.88E-23)*(25+273.15))/(EXP($A18-BQ$7))))</f>
        <v>-5.2474602487331066E-27</v>
      </c>
      <c r="BR18">
        <f>IF(ISBLANK(Conductance_Eeq!BR17),"",IF(Conductance_Eeq!BR17&lt;0,((LN(ABS(((Conductance_Eeq!BR17/MAX(Conductance_Eeq!BR$7:BR$27)))))*(1.88E-23)*(25+273.15))/(EXP($A18-BR$7))),((LN((Conductance_Eeq!BR17/MAX(Conductance_Eeq!BR$7:BR$27))))*(1.88E-23)*(25+273.15))/(EXP($A18-BR$7))))</f>
        <v>0</v>
      </c>
      <c r="BS18">
        <f>IF(ISBLANK(Conductance_Eeq!BS17),"",IF(Conductance_Eeq!BS17&lt;0,((LN(ABS(((Conductance_Eeq!BS17/MAX(Conductance_Eeq!BS$7:BS$27)))))*(1.88E-23)*(25+273.15))/(EXP($A18-BS$7))),((LN((Conductance_Eeq!BS17/MAX(Conductance_Eeq!BS$7:BS$27))))*(1.88E-23)*(25+273.15))/(EXP($A18-BS$7))))</f>
        <v>0</v>
      </c>
      <c r="BT18">
        <f>IF(ISBLANK(Conductance_Eeq!BT17),"",IF(Conductance_Eeq!BT17&lt;0,((LN(ABS(((Conductance_Eeq!BT17/MAX(Conductance_Eeq!BT$7:BT$27)))))*(1.88E-23)*(25+273.15))/(EXP($A18-BT$7))),((LN((Conductance_Eeq!BT17/MAX(Conductance_Eeq!BT$7:BT$27))))*(1.88E-23)*(25+273.15))/(EXP($A18-BT$7))))</f>
        <v>-2.0485559203964283E-28</v>
      </c>
      <c r="BU18">
        <f>IF(ISBLANK(Conductance_Eeq!BU17),"",IF(Conductance_Eeq!BU17&lt;0,((LN(ABS(((Conductance_Eeq!BU17/MAX(Conductance_Eeq!BU$7:BU$27)))))*(1.88E-23)*(25+273.15))/(EXP($A18-BU$7))),((LN((Conductance_Eeq!BU17/MAX(Conductance_Eeq!BU$7:BU$27))))*(1.88E-23)*(25+273.15))/(EXP($A18-BU$7))))</f>
        <v>-1.8053941159118092E-26</v>
      </c>
      <c r="BV18">
        <f>IF(ISBLANK(Conductance_Eeq!BV17),"",IF(Conductance_Eeq!BV17&lt;0,((LN(ABS(((Conductance_Eeq!BV17/MAX(Conductance_Eeq!BV$7:BV$27)))))*(1.88E-23)*(25+273.15))/(EXP($A18-BV$7))),((LN((Conductance_Eeq!BV17/MAX(Conductance_Eeq!BV$7:BV$27))))*(1.88E-23)*(25+273.15))/(EXP($A18-BV$7))))</f>
        <v>0</v>
      </c>
      <c r="BW18">
        <f>IF(ISBLANK(Conductance_Eeq!BW17),"",IF(Conductance_Eeq!BW17&lt;0,((LN(ABS(((Conductance_Eeq!BW17/MAX(Conductance_Eeq!BW$7:BW$27)))))*(1.88E-23)*(25+273.15))/(EXP($A18-BW$7))),((LN((Conductance_Eeq!BW17/MAX(Conductance_Eeq!BW$7:BW$27))))*(1.88E-23)*(25+273.15))/(EXP($A18-BW$7))))</f>
        <v>-1.2717592666122206E-26</v>
      </c>
      <c r="BX18">
        <f>IF(ISBLANK(Conductance_Eeq!BX17),"",IF(Conductance_Eeq!BX17&lt;0,((LN(ABS(((Conductance_Eeq!BX17/MAX(Conductance_Eeq!BX$7:BX$27)))))*(1.88E-23)*(25+273.15))/(EXP($A18-BX$7))),((LN((Conductance_Eeq!BX17/MAX(Conductance_Eeq!BX$7:BX$27))))*(1.88E-23)*(25+273.15))/(EXP($A18-BX$7))))</f>
        <v>-5.5059876701396459E-28</v>
      </c>
      <c r="BY18">
        <f>IF(ISBLANK(Conductance_Eeq!BY17),"",IF(Conductance_Eeq!BY17&lt;0,((LN(ABS(((Conductance_Eeq!BY17/MAX(Conductance_Eeq!BY$7:BY$27)))))*(1.88E-23)*(25+273.15))/(EXP($A18-BY$7))),((LN((Conductance_Eeq!BY17/MAX(Conductance_Eeq!BY$7:BY$27))))*(1.88E-23)*(25+273.15))/(EXP($A18-BY$7))))</f>
        <v>-1.9139627222427938E-28</v>
      </c>
      <c r="BZ18">
        <f>IF(ISBLANK(Conductance_Eeq!BZ17),"",IF(Conductance_Eeq!BZ17&lt;0,((LN(ABS(((Conductance_Eeq!BZ17/MAX(Conductance_Eeq!BZ$7:BZ$27)))))*(1.88E-23)*(25+273.15))/(EXP($A18-BZ$7))),((LN((Conductance_Eeq!BZ17/MAX(Conductance_Eeq!BZ$7:BZ$27))))*(1.88E-23)*(25+273.15))/(EXP($A18-BZ$7))))</f>
        <v>0</v>
      </c>
      <c r="CA18">
        <f>IF(ISBLANK(Conductance_Eeq!CA17),"",IF(Conductance_Eeq!CA17&lt;0,((LN(ABS(((Conductance_Eeq!CA17/MAX(Conductance_Eeq!CA$7:CA$27)))))*(1.88E-23)*(25+273.15))/(EXP($A18-CA$7))),((LN((Conductance_Eeq!CA17/MAX(Conductance_Eeq!CA$7:CA$27))))*(1.88E-23)*(25+273.15))/(EXP($A18-CA$7))))</f>
        <v>0</v>
      </c>
      <c r="CB18">
        <f>IF(ISBLANK(Conductance_Eeq!CB17),"",IF(Conductance_Eeq!CB17&lt;0,((LN(ABS(((Conductance_Eeq!CB17/MAX(Conductance_Eeq!CB$7:CB$27)))))*(1.88E-23)*(25+273.15))/(EXP($A18-CB$7))),((LN((Conductance_Eeq!CB17/MAX(Conductance_Eeq!CB$7:CB$27))))*(1.88E-23)*(25+273.15))/(EXP($A18-CB$7))))</f>
        <v>-1.2130035545511174E-26</v>
      </c>
      <c r="CC18">
        <f>IF(ISBLANK(Conductance_Eeq!CC17),"",IF(Conductance_Eeq!CC17&lt;0,((LN(ABS(((Conductance_Eeq!CC17/MAX(Conductance_Eeq!CC$7:CC$27)))))*(1.88E-23)*(25+273.15))/(EXP($A18-CC$7))),((LN((Conductance_Eeq!CC17/MAX(Conductance_Eeq!CC$7:CC$27))))*(1.88E-23)*(25+273.15))/(EXP($A18-CC$7))))</f>
        <v>-2.1806130083681055E-24</v>
      </c>
      <c r="CD18">
        <f>IF(ISBLANK(Conductance_Eeq!CD17),"",IF(Conductance_Eeq!CD17&lt;0,((LN(ABS(((Conductance_Eeq!CD17/MAX(Conductance_Eeq!CD$7:CD$27)))))*(1.88E-23)*(25+273.15))/(EXP($A18-CD$7))),((LN((Conductance_Eeq!CD17/MAX(Conductance_Eeq!CD$7:CD$27))))*(1.88E-23)*(25+273.15))/(EXP($A18-CD$7))))</f>
        <v>-3.3656049403806498E-27</v>
      </c>
    </row>
    <row r="19" spans="1:82" x14ac:dyDescent="0.2">
      <c r="A19" s="3">
        <f t="shared" si="0"/>
        <v>30</v>
      </c>
      <c r="B19">
        <f>IF(ISBLANK(Conductance_Eeq!B18),"",IF(Conductance_Eeq!B18&lt;0,((LN(ABS(((Conductance_Eeq!B18/MAX(Conductance_Eeq!B$7:B$27)))))*(1.88E-23)*(25+273.15))/(EXP($A19-B$7))),((LN((Conductance_Eeq!B18/MAX(Conductance_Eeq!B$7:B$27))))*(1.88E-23)*(25+273.15))/(EXP($A19-B$7))))</f>
        <v>-2.7877875272973721E-31</v>
      </c>
      <c r="C19">
        <f>IF(ISBLANK(Conductance_Eeq!C18),"",IF(Conductance_Eeq!C18&lt;0,((LN(ABS(((Conductance_Eeq!C18/MAX(Conductance_Eeq!C$7:C$27)))))*(1.88E-23)*(25+273.15))/(EXP($A19-C$7))),((LN((Conductance_Eeq!C18/MAX(Conductance_Eeq!C$7:C$27))))*(1.88E-23)*(25+273.15))/(EXP($A19-C$7))))</f>
        <v>0</v>
      </c>
      <c r="D19">
        <f>IF(ISBLANK(Conductance_Eeq!D18),"",IF(Conductance_Eeq!D18&lt;0,((LN(ABS(((Conductance_Eeq!D18/MAX(Conductance_Eeq!D$7:D$27)))))*(1.88E-23)*(25+273.15))/(EXP($A19-D$7))),((LN((Conductance_Eeq!D18/MAX(Conductance_Eeq!D$7:D$27))))*(1.88E-23)*(25+273.15))/(EXP($A19-D$7))))</f>
        <v>0</v>
      </c>
      <c r="E19">
        <f>IF(ISBLANK(Conductance_Eeq!E18),"",IF(Conductance_Eeq!E18&lt;0,((LN(ABS(((Conductance_Eeq!E18/MAX(Conductance_Eeq!E$7:E$27)))))*(1.88E-23)*(25+273.15))/(EXP($A19-E$7))),((LN((Conductance_Eeq!E18/MAX(Conductance_Eeq!E$7:E$27))))*(1.88E-23)*(25+273.15))/(EXP($A19-E$7))))</f>
        <v>-4.5946757942748465E-33</v>
      </c>
      <c r="F19">
        <f>IF(ISBLANK(Conductance_Eeq!F18),"",IF(Conductance_Eeq!F18&lt;0,((LN(ABS(((Conductance_Eeq!F18/MAX(Conductance_Eeq!F$7:F$27)))))*(1.88E-23)*(25+273.15))/(EXP($A19-F$7))),((LN((Conductance_Eeq!F18/MAX(Conductance_Eeq!F$7:F$27))))*(1.88E-23)*(25+273.15))/(EXP($A19-F$7))))</f>
        <v>0</v>
      </c>
      <c r="G19">
        <f>IF(ISBLANK(Conductance_Eeq!G18),"",IF(Conductance_Eeq!G18&lt;0,((LN(ABS(((Conductance_Eeq!G18/MAX(Conductance_Eeq!G$7:G$27)))))*(1.88E-23)*(25+273.15))/(EXP($A19-G$7))),((LN((Conductance_Eeq!G18/MAX(Conductance_Eeq!G$7:G$27))))*(1.88E-23)*(25+273.15))/(EXP($A19-G$7))))</f>
        <v>0</v>
      </c>
      <c r="H19">
        <f>IF(ISBLANK(Conductance_Eeq!H18),"",IF(Conductance_Eeq!H18&lt;0,((LN(ABS(((Conductance_Eeq!H18/MAX(Conductance_Eeq!H$7:H$27)))))*(1.88E-23)*(25+273.15))/(EXP($A19-H$7))),((LN((Conductance_Eeq!H18/MAX(Conductance_Eeq!H$7:H$27))))*(1.88E-23)*(25+273.15))/(EXP($A19-H$7))))</f>
        <v>0</v>
      </c>
      <c r="I19">
        <f>IF(ISBLANK(Conductance_Eeq!I18),"",IF(Conductance_Eeq!I18&lt;0,((LN(ABS(((Conductance_Eeq!I18/MAX(Conductance_Eeq!I$7:I$27)))))*(1.88E-23)*(25+273.15))/(EXP($A19-I$7))),((LN((Conductance_Eeq!I18/MAX(Conductance_Eeq!I$7:I$27))))*(1.88E-23)*(25+273.15))/(EXP($A19-I$7))))</f>
        <v>0</v>
      </c>
      <c r="J19">
        <f>IF(ISBLANK(Conductance_Eeq!J18),"",IF(Conductance_Eeq!J18&lt;0,((LN(ABS(((Conductance_Eeq!J18/MAX(Conductance_Eeq!J$7:J$27)))))*(1.88E-23)*(25+273.15))/(EXP($A19-J$7))),((LN((Conductance_Eeq!J18/MAX(Conductance_Eeq!J$7:J$27))))*(1.88E-23)*(25+273.15))/(EXP($A19-J$7))))</f>
        <v>-8.3243858106867782E-33</v>
      </c>
      <c r="K19">
        <f>IF(ISBLANK(Conductance_Eeq!K18),"",IF(Conductance_Eeq!K18&lt;0,((LN(ABS(((Conductance_Eeq!K18/MAX(Conductance_Eeq!K$7:K$27)))))*(1.88E-23)*(25+273.15))/(EXP($A19-K$7))),((LN((Conductance_Eeq!K18/MAX(Conductance_Eeq!K$7:K$27))))*(1.88E-23)*(25+273.15))/(EXP($A19-K$7))))</f>
        <v>0</v>
      </c>
      <c r="L19">
        <f>IF(ISBLANK(Conductance_Eeq!L18),"",IF(Conductance_Eeq!L18&lt;0,((LN(ABS(((Conductance_Eeq!L18/MAX(Conductance_Eeq!L$7:L$27)))))*(1.88E-23)*(25+273.15))/(EXP($A19-L$7))),((LN((Conductance_Eeq!L18/MAX(Conductance_Eeq!L$7:L$27))))*(1.88E-23)*(25+273.15))/(EXP($A19-L$7))))</f>
        <v>0</v>
      </c>
      <c r="M19">
        <f>IF(ISBLANK(Conductance_Eeq!M18),"",IF(Conductance_Eeq!M18&lt;0,((LN(ABS(((Conductance_Eeq!M18/MAX(Conductance_Eeq!M$7:M$27)))))*(1.88E-23)*(25+273.15))/(EXP($A19-M$7))),((LN((Conductance_Eeq!M18/MAX(Conductance_Eeq!M$7:M$27))))*(1.88E-23)*(25+273.15))/(EXP($A19-M$7))))</f>
        <v>0</v>
      </c>
      <c r="N19">
        <f>IF(ISBLANK(Conductance_Eeq!N18),"",IF(Conductance_Eeq!N18&lt;0,((LN(ABS(((Conductance_Eeq!N18/MAX(Conductance_Eeq!N$7:N$27)))))*(1.88E-23)*(25+273.15))/(EXP($A19-N$7))),((LN((Conductance_Eeq!N18/MAX(Conductance_Eeq!N$7:N$27))))*(1.88E-23)*(25+273.15))/(EXP($A19-N$7))))</f>
        <v>0</v>
      </c>
      <c r="O19">
        <f>IF(ISBLANK(Conductance_Eeq!O18),"",IF(Conductance_Eeq!O18&lt;0,((LN(ABS(((Conductance_Eeq!O18/MAX(Conductance_Eeq!O$7:O$27)))))*(1.88E-23)*(25+273.15))/(EXP($A19-O$7))),((LN((Conductance_Eeq!O18/MAX(Conductance_Eeq!O$7:O$27))))*(1.88E-23)*(25+273.15))/(EXP($A19-O$7))))</f>
        <v>-2.6580277367757675E-33</v>
      </c>
      <c r="P19">
        <f>IF(ISBLANK(Conductance_Eeq!P18),"",IF(Conductance_Eeq!P18&lt;0,((LN(ABS(((Conductance_Eeq!P18/MAX(Conductance_Eeq!P$7:P$27)))))*(1.88E-23)*(25+273.15))/(EXP($A19-P$7))),((LN((Conductance_Eeq!P18/MAX(Conductance_Eeq!P$7:P$27))))*(1.88E-23)*(25+273.15))/(EXP($A19-P$7))))</f>
        <v>0</v>
      </c>
      <c r="Q19">
        <f>IF(ISBLANK(Conductance_Eeq!Q18),"",IF(Conductance_Eeq!Q18&lt;0,((LN(ABS(((Conductance_Eeq!Q18/MAX(Conductance_Eeq!Q$7:Q$27)))))*(1.88E-23)*(25+273.15))/(EXP($A19-Q$7))),((LN((Conductance_Eeq!Q18/MAX(Conductance_Eeq!Q$7:Q$27))))*(1.88E-23)*(25+273.15))/(EXP($A19-Q$7))))</f>
        <v>0</v>
      </c>
      <c r="R19">
        <f>IF(ISBLANK(Conductance_Eeq!R18),"",IF(Conductance_Eeq!R18&lt;0,((LN(ABS(((Conductance_Eeq!R18/MAX(Conductance_Eeq!R$7:R$27)))))*(1.88E-23)*(25+273.15))/(EXP($A19-R$7))),((LN((Conductance_Eeq!R18/MAX(Conductance_Eeq!R$7:R$27))))*(1.88E-23)*(25+273.15))/(EXP($A19-R$7))))</f>
        <v>-3.6748041781862826E-32</v>
      </c>
      <c r="S19">
        <f>IF(ISBLANK(Conductance_Eeq!S18),"",IF(Conductance_Eeq!S18&lt;0,((LN(ABS(((Conductance_Eeq!S18/MAX(Conductance_Eeq!S$7:S$27)))))*(1.88E-23)*(25+273.15))/(EXP($A19-S$7))),((LN((Conductance_Eeq!S18/MAX(Conductance_Eeq!S$7:S$27))))*(1.88E-23)*(25+273.15))/(EXP($A19-S$7))))</f>
        <v>-1.1459738270765693E-31</v>
      </c>
      <c r="T19">
        <f>IF(ISBLANK(Conductance_Eeq!T18),"",IF(Conductance_Eeq!T18&lt;0,((LN(ABS(((Conductance_Eeq!T18/MAX(Conductance_Eeq!T$7:T$27)))))*(1.88E-23)*(25+273.15))/(EXP($A19-T$7))),((LN((Conductance_Eeq!T18/MAX(Conductance_Eeq!T$7:T$27))))*(1.88E-23)*(25+273.15))/(EXP($A19-T$7))))</f>
        <v>-4.6876027278697816E-32</v>
      </c>
      <c r="U19">
        <f>IF(ISBLANK(Conductance_Eeq!U18),"",IF(Conductance_Eeq!U18&lt;0,((LN(ABS(((Conductance_Eeq!U18/MAX(Conductance_Eeq!U$7:U$27)))))*(1.88E-23)*(25+273.15))/(EXP($A19-U$7))),((LN((Conductance_Eeq!U18/MAX(Conductance_Eeq!U$7:U$27))))*(1.88E-23)*(25+273.15))/(EXP($A19-U$7))))</f>
        <v>0</v>
      </c>
      <c r="V19">
        <f>IF(ISBLANK(Conductance_Eeq!V18),"",IF(Conductance_Eeq!V18&lt;0,((LN(ABS(((Conductance_Eeq!V18/MAX(Conductance_Eeq!V$7:V$27)))))*(1.88E-23)*(25+273.15))/(EXP($A19-V$7))),((LN((Conductance_Eeq!V18/MAX(Conductance_Eeq!V$7:V$27))))*(1.88E-23)*(25+273.15))/(EXP($A19-V$7))))</f>
        <v>0</v>
      </c>
      <c r="W19">
        <f>IF(ISBLANK(Conductance_Eeq!W18),"",IF(Conductance_Eeq!W18&lt;0,((LN(ABS(((Conductance_Eeq!W18/MAX(Conductance_Eeq!W$7:W$27)))))*(1.88E-23)*(25+273.15))/(EXP($A19-W$7))),((LN((Conductance_Eeq!W18/MAX(Conductance_Eeq!W$7:W$27))))*(1.88E-23)*(25+273.15))/(EXP($A19-W$7))))</f>
        <v>-1.6538482929037004E-32</v>
      </c>
      <c r="X19">
        <f>IF(ISBLANK(Conductance_Eeq!X18),"",IF(Conductance_Eeq!X18&lt;0,((LN(ABS(((Conductance_Eeq!X18/MAX(Conductance_Eeq!X$7:X$27)))))*(1.88E-23)*(25+273.15))/(EXP($A19-X$7))),((LN((Conductance_Eeq!X18/MAX(Conductance_Eeq!X$7:X$27))))*(1.88E-23)*(25+273.15))/(EXP($A19-X$7))))</f>
        <v>0</v>
      </c>
      <c r="Y19">
        <f>IF(ISBLANK(Conductance_Eeq!Y18),"",IF(Conductance_Eeq!Y18&lt;0,((LN(ABS(((Conductance_Eeq!Y18/MAX(Conductance_Eeq!Y$7:Y$27)))))*(1.88E-23)*(25+273.15))/(EXP($A19-Y$7))),((LN((Conductance_Eeq!Y18/MAX(Conductance_Eeq!Y$7:Y$27))))*(1.88E-23)*(25+273.15))/(EXP($A19-Y$7))))</f>
        <v>0</v>
      </c>
      <c r="Z19">
        <f>IF(ISBLANK(Conductance_Eeq!Z18),"",IF(Conductance_Eeq!Z18&lt;0,((LN(ABS(((Conductance_Eeq!Z18/MAX(Conductance_Eeq!Z$7:Z$27)))))*(1.88E-23)*(25+273.15))/(EXP($A19-Z$7))),((LN((Conductance_Eeq!Z18/MAX(Conductance_Eeq!Z$7:Z$27))))*(1.88E-23)*(25+273.15))/(EXP($A19-Z$7))))</f>
        <v>0</v>
      </c>
      <c r="AA19">
        <f>IF(ISBLANK(Conductance_Eeq!AA18),"",IF(Conductance_Eeq!AA18&lt;0,((LN(ABS(((Conductance_Eeq!AA18/MAX(Conductance_Eeq!AA$7:AA$27)))))*(1.88E-23)*(25+273.15))/(EXP($A19-AA$7))),((LN((Conductance_Eeq!AA18/MAX(Conductance_Eeq!AA$7:AA$27))))*(1.88E-23)*(25+273.15))/(EXP($A19-AA$7))))</f>
        <v>0</v>
      </c>
      <c r="AB19">
        <f>IF(ISBLANK(Conductance_Eeq!AB18),"",IF(Conductance_Eeq!AB18&lt;0,((LN(ABS(((Conductance_Eeq!AB18/MAX(Conductance_Eeq!AB$7:AB$27)))))*(1.88E-23)*(25+273.15))/(EXP($A19-AB$7))),((LN((Conductance_Eeq!AB18/MAX(Conductance_Eeq!AB$7:AB$27))))*(1.88E-23)*(25+273.15))/(EXP($A19-AB$7))))</f>
        <v>-1.2565307914113591E-33</v>
      </c>
      <c r="AC19">
        <f>IF(ISBLANK(Conductance_Eeq!AC18),"",IF(Conductance_Eeq!AC18&lt;0,((LN(ABS(((Conductance_Eeq!AC18/MAX(Conductance_Eeq!AC$7:AC$27)))))*(1.88E-23)*(25+273.15))/(EXP($A19-AC$7))),((LN((Conductance_Eeq!AC18/MAX(Conductance_Eeq!AC$7:AC$27))))*(1.88E-23)*(25+273.15))/(EXP($A19-AC$7))))</f>
        <v>0</v>
      </c>
      <c r="AD19">
        <f>IF(ISBLANK(Conductance_Eeq!AD18),"",IF(Conductance_Eeq!AD18&lt;0,((LN(ABS(((Conductance_Eeq!AD18/MAX(Conductance_Eeq!AD$7:AD$27)))))*(1.88E-23)*(25+273.15))/(EXP($A19-AD$7))),((LN((Conductance_Eeq!AD18/MAX(Conductance_Eeq!AD$7:AD$27))))*(1.88E-23)*(25+273.15))/(EXP($A19-AD$7))))</f>
        <v>0</v>
      </c>
      <c r="AE19">
        <f>IF(ISBLANK(Conductance_Eeq!AE18),"",IF(Conductance_Eeq!AE18&lt;0,((LN(ABS(((Conductance_Eeq!AE18/MAX(Conductance_Eeq!AE$7:AE$27)))))*(1.88E-23)*(25+273.15))/(EXP($A19-AE$7))),((LN((Conductance_Eeq!AE18/MAX(Conductance_Eeq!AE$7:AE$27))))*(1.88E-23)*(25+273.15))/(EXP($A19-AE$7))))</f>
        <v>0</v>
      </c>
      <c r="AF19">
        <f>IF(ISBLANK(Conductance_Eeq!AF18),"",IF(Conductance_Eeq!AF18&lt;0,((LN(ABS(((Conductance_Eeq!AF18/MAX(Conductance_Eeq!AF$7:AF$27)))))*(1.88E-23)*(25+273.15))/(EXP($A19-AF$7))),((LN((Conductance_Eeq!AF18/MAX(Conductance_Eeq!AF$7:AF$27))))*(1.88E-23)*(25+273.15))/(EXP($A19-AF$7))))</f>
        <v>0</v>
      </c>
      <c r="AG19">
        <f>IF(ISBLANK(Conductance_Eeq!AG18),"",IF(Conductance_Eeq!AG18&lt;0,((LN(ABS(((Conductance_Eeq!AG18/MAX(Conductance_Eeq!AG$7:AG$27)))))*(1.88E-23)*(25+273.15))/(EXP($A19-AG$7))),((LN((Conductance_Eeq!AG18/MAX(Conductance_Eeq!AG$7:AG$27))))*(1.88E-23)*(25+273.15))/(EXP($A19-AG$7))))</f>
        <v>0</v>
      </c>
      <c r="AH19">
        <f>IF(ISBLANK(Conductance_Eeq!AH18),"",IF(Conductance_Eeq!AH18&lt;0,((LN(ABS(((Conductance_Eeq!AH18/MAX(Conductance_Eeq!AH$7:AH$27)))))*(1.88E-23)*(25+273.15))/(EXP($A19-AH$7))),((LN((Conductance_Eeq!AH18/MAX(Conductance_Eeq!AH$7:AH$27))))*(1.88E-23)*(25+273.15))/(EXP($A19-AH$7))))</f>
        <v>-3.2881963326603928E-32</v>
      </c>
      <c r="AI19">
        <f>IF(ISBLANK(Conductance_Eeq!AI18),"",IF(Conductance_Eeq!AI18&lt;0,((LN(ABS(((Conductance_Eeq!AI18/MAX(Conductance_Eeq!AI$7:AI$27)))))*(1.88E-23)*(25+273.15))/(EXP($A19-AI$7))),((LN((Conductance_Eeq!AI18/MAX(Conductance_Eeq!AI$7:AI$27))))*(1.88E-23)*(25+273.15))/(EXP($A19-AI$7))))</f>
        <v>-2.1779060365236839E-32</v>
      </c>
      <c r="AJ19">
        <f>IF(ISBLANK(Conductance_Eeq!AJ18),"",IF(Conductance_Eeq!AJ18&lt;0,((LN(ABS(((Conductance_Eeq!AJ18/MAX(Conductance_Eeq!AJ$7:AJ$27)))))*(1.88E-23)*(25+273.15))/(EXP($A19-AJ$7))),((LN((Conductance_Eeq!AJ18/MAX(Conductance_Eeq!AJ$7:AJ$27))))*(1.88E-23)*(25+273.15))/(EXP($A19-AJ$7))))</f>
        <v>0</v>
      </c>
      <c r="AK19">
        <f>IF(ISBLANK(Conductance_Eeq!AK18),"",IF(Conductance_Eeq!AK18&lt;0,((LN(ABS(((Conductance_Eeq!AK18/MAX(Conductance_Eeq!AK$7:AK$27)))))*(1.88E-23)*(25+273.15))/(EXP($A19-AK$7))),((LN((Conductance_Eeq!AK18/MAX(Conductance_Eeq!AK$7:AK$27))))*(1.88E-23)*(25+273.15))/(EXP($A19-AK$7))))</f>
        <v>0</v>
      </c>
      <c r="AL19">
        <f>IF(ISBLANK(Conductance_Eeq!AL18),"",IF(Conductance_Eeq!AL18&lt;0,((LN(ABS(((Conductance_Eeq!AL18/MAX(Conductance_Eeq!AL$7:AL$27)))))*(1.88E-23)*(25+273.15))/(EXP($A19-AL$7))),((LN((Conductance_Eeq!AL18/MAX(Conductance_Eeq!AL$7:AL$27))))*(1.88E-23)*(25+273.15))/(EXP($A19-AL$7))))</f>
        <v>0</v>
      </c>
      <c r="AM19">
        <f>IF(ISBLANK(Conductance_Eeq!AM18),"",IF(Conductance_Eeq!AM18&lt;0,((LN(ABS(((Conductance_Eeq!AM18/MAX(Conductance_Eeq!AM$7:AM$27)))))*(1.88E-23)*(25+273.15))/(EXP($A19-AM$7))),((LN((Conductance_Eeq!AM18/MAX(Conductance_Eeq!AM$7:AM$27))))*(1.88E-23)*(25+273.15))/(EXP($A19-AM$7))))</f>
        <v>-6.2432665764060016E-33</v>
      </c>
      <c r="AO19">
        <f>IF(ISBLANK(Conductance_Eeq!AO18),"",IF(Conductance_Eeq!AO18&lt;0,((LN(ABS(((Conductance_Eeq!AO18/MAX(Conductance_Eeq!AO$7:AO$27)))))*(1.88E-23)*(25+273.15))/(EXP($A19-AO$7))),((LN((Conductance_Eeq!AO18/MAX(Conductance_Eeq!AO$7:AO$27))))*(1.88E-23)*(25+273.15))/(EXP($A19-AO$7))))</f>
        <v>0</v>
      </c>
      <c r="AP19">
        <f>IF(ISBLANK(Conductance_Eeq!AP18),"",IF(Conductance_Eeq!AP18&lt;0,((LN(ABS(((Conductance_Eeq!AP18/MAX(Conductance_Eeq!AP$7:AP$27)))))*(1.88E-23)*(25+273.15))/(EXP($A19-AP$7))),((LN((Conductance_Eeq!AP18/MAX(Conductance_Eeq!AP$7:AP$27))))*(1.88E-23)*(25+273.15))/(EXP($A19-AP$7))))</f>
        <v>-4.7755301908184589E-33</v>
      </c>
      <c r="AQ19">
        <f>IF(ISBLANK(Conductance_Eeq!AQ18),"",IF(Conductance_Eeq!AQ18&lt;0,((LN(ABS(((Conductance_Eeq!AQ18/MAX(Conductance_Eeq!AQ$7:AQ$27)))))*(1.88E-23)*(25+273.15))/(EXP($A19-AQ$7))),((LN((Conductance_Eeq!AQ18/MAX(Conductance_Eeq!AQ$7:AQ$27))))*(1.88E-23)*(25+273.15))/(EXP($A19-AQ$7))))</f>
        <v>0</v>
      </c>
      <c r="AR19">
        <f>IF(ISBLANK(Conductance_Eeq!AR18),"",IF(Conductance_Eeq!AR18&lt;0,((LN(ABS(((Conductance_Eeq!AR18/MAX(Conductance_Eeq!AR$7:AR$27)))))*(1.88E-23)*(25+273.15))/(EXP($A19-AR$7))),((LN((Conductance_Eeq!AR18/MAX(Conductance_Eeq!AR$7:AR$27))))*(1.88E-23)*(25+273.15))/(EXP($A19-AR$7))))</f>
        <v>-7.6450451960448393E-32</v>
      </c>
      <c r="AS19">
        <f>IF(ISBLANK(Conductance_Eeq!AS18),"",IF(Conductance_Eeq!AS18&lt;0,((LN(ABS(((Conductance_Eeq!AS18/MAX(Conductance_Eeq!AS$7:AS$27)))))*(1.88E-23)*(25+273.15))/(EXP($A19-AS$7))),((LN((Conductance_Eeq!AS18/MAX(Conductance_Eeq!AS$7:AS$27))))*(1.88E-23)*(25+273.15))/(EXP($A19-AS$7))))</f>
        <v>-5.347540119605335E-32</v>
      </c>
      <c r="AT19">
        <f>IF(ISBLANK(Conductance_Eeq!AT18),"",IF(Conductance_Eeq!AT18&lt;0,((LN(ABS(((Conductance_Eeq!AT18/MAX(Conductance_Eeq!AT$7:AT$27)))))*(1.88E-23)*(25+273.15))/(EXP($A19-AT$7))),((LN((Conductance_Eeq!AT18/MAX(Conductance_Eeq!AT$7:AT$27))))*(1.88E-23)*(25+273.15))/(EXP($A19-AT$7))))</f>
        <v>0</v>
      </c>
      <c r="AU19">
        <f>IF(ISBLANK(Conductance_Eeq!AU18),"",IF(Conductance_Eeq!AU18&lt;0,((LN(ABS(((Conductance_Eeq!AU18/MAX(Conductance_Eeq!AU$7:AU$27)))))*(1.88E-23)*(25+273.15))/(EXP($A19-AU$7))),((LN((Conductance_Eeq!AU18/MAX(Conductance_Eeq!AU$7:AU$27))))*(1.88E-23)*(25+273.15))/(EXP($A19-AU$7))))</f>
        <v>0</v>
      </c>
      <c r="AV19">
        <f>IF(ISBLANK(Conductance_Eeq!AV18),"",IF(Conductance_Eeq!AV18&lt;0,((LN(ABS(((Conductance_Eeq!AV18/MAX(Conductance_Eeq!AV$7:AV$27)))))*(1.88E-23)*(25+273.15))/(EXP($A19-AV$7))),((LN((Conductance_Eeq!AV18/MAX(Conductance_Eeq!AV$7:AV$27))))*(1.88E-23)*(25+273.15))/(EXP($A19-AV$7))))</f>
        <v>-1.7172045916385923E-31</v>
      </c>
      <c r="AW19">
        <f>IF(ISBLANK(Conductance_Eeq!AW18),"",IF(Conductance_Eeq!AW18&lt;0,((LN(ABS(((Conductance_Eeq!AW18/MAX(Conductance_Eeq!AW$7:AW$27)))))*(1.88E-23)*(25+273.15))/(EXP($A19-AW$7))),((LN((Conductance_Eeq!AW18/MAX(Conductance_Eeq!AW$7:AW$27))))*(1.88E-23)*(25+273.15))/(EXP($A19-AW$7))))</f>
        <v>0</v>
      </c>
      <c r="AX19">
        <f>IF(ISBLANK(Conductance_Eeq!AX18),"",IF(Conductance_Eeq!AX18&lt;0,((LN(ABS(((Conductance_Eeq!AX18/MAX(Conductance_Eeq!AX$7:AX$27)))))*(1.88E-23)*(25+273.15))/(EXP($A19-AX$7))),((LN((Conductance_Eeq!AX18/MAX(Conductance_Eeq!AX$7:AX$27))))*(1.88E-23)*(25+273.15))/(EXP($A19-AX$7))))</f>
        <v>0</v>
      </c>
      <c r="AY19">
        <f>IF(ISBLANK(Conductance_Eeq!AY18),"",IF(Conductance_Eeq!AY18&lt;0,((LN(ABS(((Conductance_Eeq!AY18/MAX(Conductance_Eeq!AY$7:AY$27)))))*(1.88E-23)*(25+273.15))/(EXP($A19-AY$7))),((LN((Conductance_Eeq!AY18/MAX(Conductance_Eeq!AY$7:AY$27))))*(1.88E-23)*(25+273.15))/(EXP($A19-AY$7))))</f>
        <v>-4.1511740450543769E-32</v>
      </c>
      <c r="AZ19">
        <f>IF(ISBLANK(Conductance_Eeq!AZ18),"",IF(Conductance_Eeq!AZ18&lt;0,((LN(ABS(((Conductance_Eeq!AZ18/MAX(Conductance_Eeq!AZ$7:AZ$27)))))*(1.88E-23)*(25+273.15))/(EXP($A19-AZ$7))),((LN((Conductance_Eeq!AZ18/MAX(Conductance_Eeq!AZ$7:AZ$27))))*(1.88E-23)*(25+273.15))/(EXP($A19-AZ$7))))</f>
        <v>0</v>
      </c>
      <c r="BA19">
        <f>IF(ISBLANK(Conductance_Eeq!BA18),"",IF(Conductance_Eeq!BA18&lt;0,((LN(ABS(((Conductance_Eeq!BA18/MAX(Conductance_Eeq!BA$7:BA$27)))))*(1.88E-23)*(25+273.15))/(EXP($A19-BA$7))),((LN((Conductance_Eeq!BA18/MAX(Conductance_Eeq!BA$7:BA$27))))*(1.88E-23)*(25+273.15))/(EXP($A19-BA$7))))</f>
        <v>0</v>
      </c>
      <c r="BB19">
        <f>IF(ISBLANK(Conductance_Eeq!BB18),"",IF(Conductance_Eeq!BB18&lt;0,((LN(ABS(((Conductance_Eeq!BB18/MAX(Conductance_Eeq!BB$7:BB$27)))))*(1.88E-23)*(25+273.15))/(EXP($A19-BB$7))),((LN((Conductance_Eeq!BB18/MAX(Conductance_Eeq!BB$7:BB$27))))*(1.88E-23)*(25+273.15))/(EXP($A19-BB$7))))</f>
        <v>0</v>
      </c>
      <c r="BC19">
        <f>IF(ISBLANK(Conductance_Eeq!BC18),"",IF(Conductance_Eeq!BC18&lt;0,((LN(ABS(((Conductance_Eeq!BC18/MAX(Conductance_Eeq!BC$7:BC$27)))))*(1.88E-23)*(25+273.15))/(EXP($A19-BC$7))),((LN((Conductance_Eeq!BC18/MAX(Conductance_Eeq!BC$7:BC$27))))*(1.88E-23)*(25+273.15))/(EXP($A19-BC$7))))</f>
        <v>-2.7670741047545798E-32</v>
      </c>
      <c r="BD19">
        <f>IF(ISBLANK(Conductance_Eeq!BD18),"",IF(Conductance_Eeq!BD18&lt;0,((LN(ABS(((Conductance_Eeq!BD18/MAX(Conductance_Eeq!BD$7:BD$27)))))*(1.88E-23)*(25+273.15))/(EXP($A19-BD$7))),((LN((Conductance_Eeq!BD18/MAX(Conductance_Eeq!BD$7:BD$27))))*(1.88E-23)*(25+273.15))/(EXP($A19-BD$7))))</f>
        <v>0</v>
      </c>
      <c r="BE19">
        <f>IF(ISBLANK(Conductance_Eeq!BE18),"",IF(Conductance_Eeq!BE18&lt;0,((LN(ABS(((Conductance_Eeq!BE18/MAX(Conductance_Eeq!BE$7:BE$27)))))*(1.88E-23)*(25+273.15))/(EXP($A19-BE$7))),((LN((Conductance_Eeq!BE18/MAX(Conductance_Eeq!BE$7:BE$27))))*(1.88E-23)*(25+273.15))/(EXP($A19-BE$7))))</f>
        <v>0</v>
      </c>
      <c r="BF19">
        <f>IF(ISBLANK(Conductance_Eeq!BF18),"",IF(Conductance_Eeq!BF18&lt;0,((LN(ABS(((Conductance_Eeq!BF18/MAX(Conductance_Eeq!BF$7:BF$27)))))*(1.88E-23)*(25+273.15))/(EXP($A19-BF$7))),((LN((Conductance_Eeq!BF18/MAX(Conductance_Eeq!BF$7:BF$27))))*(1.88E-23)*(25+273.15))/(EXP($A19-BF$7))))</f>
        <v>-5.4058607476164482E-33</v>
      </c>
      <c r="BG19">
        <f>IF(ISBLANK(Conductance_Eeq!BG18),"",IF(Conductance_Eeq!BG18&lt;0,((LN(ABS(((Conductance_Eeq!BG18/MAX(Conductance_Eeq!BG$7:BG$27)))))*(1.88E-23)*(25+273.15))/(EXP($A19-BG$7))),((LN((Conductance_Eeq!BG18/MAX(Conductance_Eeq!BG$7:BG$27))))*(1.88E-23)*(25+273.15))/(EXP($A19-BG$7))))</f>
        <v>0</v>
      </c>
      <c r="BH19">
        <f>IF(ISBLANK(Conductance_Eeq!BH18),"",IF(Conductance_Eeq!BH18&lt;0,((LN(ABS(((Conductance_Eeq!BH18/MAX(Conductance_Eeq!BH$7:BH$27)))))*(1.88E-23)*(25+273.15))/(EXP($A19-BH$7))),((LN((Conductance_Eeq!BH18/MAX(Conductance_Eeq!BH$7:BH$27))))*(1.88E-23)*(25+273.15))/(EXP($A19-BH$7))))</f>
        <v>-4.7428668436397212E-33</v>
      </c>
      <c r="BI19">
        <f>IF(ISBLANK(Conductance_Eeq!BI18),"",IF(Conductance_Eeq!BI18&lt;0,((LN(ABS(((Conductance_Eeq!BI18/MAX(Conductance_Eeq!BI$7:BI$27)))))*(1.88E-23)*(25+273.15))/(EXP($A19-BI$7))),((LN((Conductance_Eeq!BI18/MAX(Conductance_Eeq!BI$7:BI$27))))*(1.88E-23)*(25+273.15))/(EXP($A19-BI$7))))</f>
        <v>0</v>
      </c>
      <c r="BJ19">
        <f>IF(ISBLANK(Conductance_Eeq!BJ18),"",IF(Conductance_Eeq!BJ18&lt;0,((LN(ABS(((Conductance_Eeq!BJ18/MAX(Conductance_Eeq!BJ$7:BJ$27)))))*(1.88E-23)*(25+273.15))/(EXP($A19-BJ$7))),((LN((Conductance_Eeq!BJ18/MAX(Conductance_Eeq!BJ$7:BJ$27))))*(1.88E-23)*(25+273.15))/(EXP($A19-BJ$7))))</f>
        <v>0</v>
      </c>
      <c r="BK19">
        <f>IF(ISBLANK(Conductance_Eeq!BK18),"",IF(Conductance_Eeq!BK18&lt;0,((LN(ABS(((Conductance_Eeq!BK18/MAX(Conductance_Eeq!BK$7:BK$27)))))*(1.88E-23)*(25+273.15))/(EXP($A19-BK$7))),((LN((Conductance_Eeq!BK18/MAX(Conductance_Eeq!BK$7:BK$27))))*(1.88E-23)*(25+273.15))/(EXP($A19-BK$7))))</f>
        <v>0</v>
      </c>
      <c r="BL19">
        <f>IF(ISBLANK(Conductance_Eeq!BL18),"",IF(Conductance_Eeq!BL18&lt;0,((LN(ABS(((Conductance_Eeq!BL18/MAX(Conductance_Eeq!BL$7:BL$27)))))*(1.88E-23)*(25+273.15))/(EXP($A19-BL$7))),((LN((Conductance_Eeq!BL18/MAX(Conductance_Eeq!BL$7:BL$27))))*(1.88E-23)*(25+273.15))/(EXP($A19-BL$7))))</f>
        <v>-5.7052295298476671E-33</v>
      </c>
      <c r="BM19">
        <f>IF(ISBLANK(Conductance_Eeq!BM18),"",IF(Conductance_Eeq!BM18&lt;0,((LN(ABS(((Conductance_Eeq!BM18/MAX(Conductance_Eeq!BM$7:BM$27)))))*(1.88E-23)*(25+273.15))/(EXP($A19-BM$7))),((LN((Conductance_Eeq!BM18/MAX(Conductance_Eeq!BM$7:BM$27))))*(1.88E-23)*(25+273.15))/(EXP($A19-BM$7))))</f>
        <v>-9.2065219388858315E-32</v>
      </c>
      <c r="BN19">
        <f>IF(ISBLANK(Conductance_Eeq!BN18),"",IF(Conductance_Eeq!BN18&lt;0,((LN(ABS(((Conductance_Eeq!BN18/MAX(Conductance_Eeq!BN$7:BN$27)))))*(1.88E-23)*(25+273.15))/(EXP($A19-BN$7))),((LN((Conductance_Eeq!BN18/MAX(Conductance_Eeq!BN$7:BN$27))))*(1.88E-23)*(25+273.15))/(EXP($A19-BN$7))))</f>
        <v>-1.0450908403321791E-32</v>
      </c>
      <c r="BO19">
        <f>IF(ISBLANK(Conductance_Eeq!BO18),"",IF(Conductance_Eeq!BO18&lt;0,((LN(ABS(((Conductance_Eeq!BO18/MAX(Conductance_Eeq!BO$7:BO$27)))))*(1.88E-23)*(25+273.15))/(EXP($A19-BO$7))),((LN((Conductance_Eeq!BO18/MAX(Conductance_Eeq!BO$7:BO$27))))*(1.88E-23)*(25+273.15))/(EXP($A19-BO$7))))</f>
        <v>-3.4007611662386618E-32</v>
      </c>
      <c r="BP19">
        <f>IF(ISBLANK(Conductance_Eeq!BP18),"",IF(Conductance_Eeq!BP18&lt;0,((LN(ABS(((Conductance_Eeq!BP18/MAX(Conductance_Eeq!BP$7:BP$27)))))*(1.88E-23)*(25+273.15))/(EXP($A19-BP$7))),((LN((Conductance_Eeq!BP18/MAX(Conductance_Eeq!BP$7:BP$27))))*(1.88E-23)*(25+273.15))/(EXP($A19-BP$7))))</f>
        <v>-5.3876361205939156E-32</v>
      </c>
      <c r="BQ19">
        <f>IF(ISBLANK(Conductance_Eeq!BQ18),"",IF(Conductance_Eeq!BQ18&lt;0,((LN(ABS(((Conductance_Eeq!BQ18/MAX(Conductance_Eeq!BQ$7:BQ$27)))))*(1.88E-23)*(25+273.15))/(EXP($A19-BQ$7))),((LN((Conductance_Eeq!BQ18/MAX(Conductance_Eeq!BQ$7:BQ$27))))*(1.88E-23)*(25+273.15))/(EXP($A19-BQ$7))))</f>
        <v>0</v>
      </c>
      <c r="BR19">
        <f>IF(ISBLANK(Conductance_Eeq!BR18),"",IF(Conductance_Eeq!BR18&lt;0,((LN(ABS(((Conductance_Eeq!BR18/MAX(Conductance_Eeq!BR$7:BR$27)))))*(1.88E-23)*(25+273.15))/(EXP($A19-BR$7))),((LN((Conductance_Eeq!BR18/MAX(Conductance_Eeq!BR$7:BR$27))))*(1.88E-23)*(25+273.15))/(EXP($A19-BR$7))))</f>
        <v>-2.5086363920747866E-32</v>
      </c>
      <c r="BS19">
        <f>IF(ISBLANK(Conductance_Eeq!BS18),"",IF(Conductance_Eeq!BS18&lt;0,((LN(ABS(((Conductance_Eeq!BS18/MAX(Conductance_Eeq!BS$7:BS$27)))))*(1.88E-23)*(25+273.15))/(EXP($A19-BS$7))),((LN((Conductance_Eeq!BS18/MAX(Conductance_Eeq!BS$7:BS$27))))*(1.88E-23)*(25+273.15))/(EXP($A19-BS$7))))</f>
        <v>-1.0433309227176696E-32</v>
      </c>
      <c r="BT19">
        <f>IF(ISBLANK(Conductance_Eeq!BT18),"",IF(Conductance_Eeq!BT18&lt;0,((LN(ABS(((Conductance_Eeq!BT18/MAX(Conductance_Eeq!BT$7:BT$27)))))*(1.88E-23)*(25+273.15))/(EXP($A19-BT$7))),((LN((Conductance_Eeq!BT18/MAX(Conductance_Eeq!BT$7:BT$27))))*(1.88E-23)*(25+273.15))/(EXP($A19-BT$7))))</f>
        <v>0</v>
      </c>
      <c r="BU19">
        <f>IF(ISBLANK(Conductance_Eeq!BU18),"",IF(Conductance_Eeq!BU18&lt;0,((LN(ABS(((Conductance_Eeq!BU18/MAX(Conductance_Eeq!BU$7:BU$27)))))*(1.88E-23)*(25+273.15))/(EXP($A19-BU$7))),((LN((Conductance_Eeq!BU18/MAX(Conductance_Eeq!BU$7:BU$27))))*(1.88E-23)*(25+273.15))/(EXP($A19-BU$7))))</f>
        <v>0</v>
      </c>
      <c r="BV19">
        <f>IF(ISBLANK(Conductance_Eeq!BV18),"",IF(Conductance_Eeq!BV18&lt;0,((LN(ABS(((Conductance_Eeq!BV18/MAX(Conductance_Eeq!BV$7:BV$27)))))*(1.88E-23)*(25+273.15))/(EXP($A19-BV$7))),((LN((Conductance_Eeq!BV18/MAX(Conductance_Eeq!BV$7:BV$27))))*(1.88E-23)*(25+273.15))/(EXP($A19-BV$7))))</f>
        <v>-1.2807507083255165E-32</v>
      </c>
      <c r="BW19">
        <f>IF(ISBLANK(Conductance_Eeq!BW18),"",IF(Conductance_Eeq!BW18&lt;0,((LN(ABS(((Conductance_Eeq!BW18/MAX(Conductance_Eeq!BW$7:BW$27)))))*(1.88E-23)*(25+273.15))/(EXP($A19-BW$7))),((LN((Conductance_Eeq!BW18/MAX(Conductance_Eeq!BW$7:BW$27))))*(1.88E-23)*(25+273.15))/(EXP($A19-BW$7))))</f>
        <v>0</v>
      </c>
      <c r="BX19">
        <f>IF(ISBLANK(Conductance_Eeq!BX18),"",IF(Conductance_Eeq!BX18&lt;0,((LN(ABS(((Conductance_Eeq!BX18/MAX(Conductance_Eeq!BX$7:BX$27)))))*(1.88E-23)*(25+273.15))/(EXP($A19-BX$7))),((LN((Conductance_Eeq!BX18/MAX(Conductance_Eeq!BX$7:BX$27))))*(1.88E-23)*(25+273.15))/(EXP($A19-BX$7))))</f>
        <v>0</v>
      </c>
      <c r="BZ19">
        <f>IF(ISBLANK(Conductance_Eeq!BZ18),"",IF(Conductance_Eeq!BZ18&lt;0,((LN(ABS(((Conductance_Eeq!BZ18/MAX(Conductance_Eeq!BZ$7:BZ$27)))))*(1.88E-23)*(25+273.15))/(EXP($A19-BZ$7))),((LN((Conductance_Eeq!BZ18/MAX(Conductance_Eeq!BZ$7:BZ$27))))*(1.88E-23)*(25+273.15))/(EXP($A19-BZ$7))))</f>
        <v>-3.980715046801122E-32</v>
      </c>
      <c r="CA19">
        <f>IF(ISBLANK(Conductance_Eeq!CA18),"",IF(Conductance_Eeq!CA18&lt;0,((LN(ABS(((Conductance_Eeq!CA18/MAX(Conductance_Eeq!CA$7:CA$27)))))*(1.88E-23)*(25+273.15))/(EXP($A19-CA$7))),((LN((Conductance_Eeq!CA18/MAX(Conductance_Eeq!CA$7:CA$27))))*(1.88E-23)*(25+273.15))/(EXP($A19-CA$7))))</f>
        <v>-1.0527510235518822E-31</v>
      </c>
      <c r="CB19">
        <f>IF(ISBLANK(Conductance_Eeq!CB18),"",IF(Conductance_Eeq!CB18&lt;0,((LN(ABS(((Conductance_Eeq!CB18/MAX(Conductance_Eeq!CB$7:CB$27)))))*(1.88E-23)*(25+273.15))/(EXP($A19-CB$7))),((LN((Conductance_Eeq!CB18/MAX(Conductance_Eeq!CB$7:CB$27))))*(1.88E-23)*(25+273.15))/(EXP($A19-CB$7))))</f>
        <v>0</v>
      </c>
      <c r="CC19">
        <f>IF(ISBLANK(Conductance_Eeq!CC18),"",IF(Conductance_Eeq!CC18&lt;0,((LN(ABS(((Conductance_Eeq!CC18/MAX(Conductance_Eeq!CC$7:CC$27)))))*(1.88E-23)*(25+273.15))/(EXP($A19-CC$7))),((LN((Conductance_Eeq!CC18/MAX(Conductance_Eeq!CC$7:CC$27))))*(1.88E-23)*(25+273.15))/(EXP($A19-CC$7))))</f>
        <v>0</v>
      </c>
      <c r="CD19">
        <f>IF(ISBLANK(Conductance_Eeq!CD18),"",IF(Conductance_Eeq!CD18&lt;0,((LN(ABS(((Conductance_Eeq!CD18/MAX(Conductance_Eeq!CD$7:CD$27)))))*(1.88E-23)*(25+273.15))/(EXP($A19-CD$7))),((LN((Conductance_Eeq!CD18/MAX(Conductance_Eeq!CD$7:CD$27))))*(1.88E-23)*(25+273.15))/(EXP($A19-CD$7))))</f>
        <v>0</v>
      </c>
    </row>
    <row r="20" spans="1:82" x14ac:dyDescent="0.2">
      <c r="A20" s="3">
        <f t="shared" si="0"/>
        <v>40</v>
      </c>
      <c r="B20">
        <f>IF(ISBLANK(Conductance_Eeq!B19),"",IF(Conductance_Eeq!B19&lt;0,((LN(ABS(((Conductance_Eeq!B19/MAX(Conductance_Eeq!B$7:B$27)))))*(1.88E-23)*(25+273.15))/(EXP($A20-B$7))),((LN((Conductance_Eeq!B19/MAX(Conductance_Eeq!B$7:B$27))))*(1.88E-23)*(25+273.15))/(EXP($A20-B$7))))</f>
        <v>0</v>
      </c>
      <c r="C20">
        <f>IF(ISBLANK(Conductance_Eeq!C19),"",IF(Conductance_Eeq!C19&lt;0,((LN(ABS(((Conductance_Eeq!C19/MAX(Conductance_Eeq!C$7:C$27)))))*(1.88E-23)*(25+273.15))/(EXP($A20-C$7))),((LN((Conductance_Eeq!C19/MAX(Conductance_Eeq!C$7:C$27))))*(1.88E-23)*(25+273.15))/(EXP($A20-C$7))))</f>
        <v>-6.4577090742419907E-34</v>
      </c>
      <c r="D20">
        <f>IF(ISBLANK(Conductance_Eeq!D19),"",IF(Conductance_Eeq!D19&lt;0,((LN(ABS(((Conductance_Eeq!D19/MAX(Conductance_Eeq!D$7:D$27)))))*(1.88E-23)*(25+273.15))/(EXP($A20-D$7))),((LN((Conductance_Eeq!D19/MAX(Conductance_Eeq!D$7:D$27))))*(1.88E-23)*(25+273.15))/(EXP($A20-D$7))))</f>
        <v>-9.4870582300878085E-35</v>
      </c>
      <c r="E20">
        <f>IF(ISBLANK(Conductance_Eeq!E19),"",IF(Conductance_Eeq!E19&lt;0,((LN(ABS(((Conductance_Eeq!E19/MAX(Conductance_Eeq!E$7:E$27)))))*(1.88E-23)*(25+273.15))/(EXP($A20-E$7))),((LN((Conductance_Eeq!E19/MAX(Conductance_Eeq!E$7:E$27))))*(1.88E-23)*(25+273.15))/(EXP($A20-E$7))))</f>
        <v>-3.1832256482756897E-35</v>
      </c>
      <c r="F20">
        <f>IF(ISBLANK(Conductance_Eeq!F19),"",IF(Conductance_Eeq!F19&lt;0,((LN(ABS(((Conductance_Eeq!F19/MAX(Conductance_Eeq!F$7:F$27)))))*(1.88E-23)*(25+273.15))/(EXP($A20-F$7))),((LN((Conductance_Eeq!F19/MAX(Conductance_Eeq!F$7:F$27))))*(1.88E-23)*(25+273.15))/(EXP($A20-F$7))))</f>
        <v>-1.1287175302456446E-33</v>
      </c>
      <c r="G20">
        <f>IF(ISBLANK(Conductance_Eeq!G19),"",IF(Conductance_Eeq!G19&lt;0,((LN(ABS(((Conductance_Eeq!G19/MAX(Conductance_Eeq!G$7:G$27)))))*(1.88E-23)*(25+273.15))/(EXP($A20-G$7))),((LN((Conductance_Eeq!G19/MAX(Conductance_Eeq!G$7:G$27))))*(1.88E-23)*(25+273.15))/(EXP($A20-G$7))))</f>
        <v>-1.2755519219221832E-33</v>
      </c>
      <c r="H20">
        <f>IF(ISBLANK(Conductance_Eeq!H19),"",IF(Conductance_Eeq!H19&lt;0,((LN(ABS(((Conductance_Eeq!H19/MAX(Conductance_Eeq!H$7:H$27)))))*(1.88E-23)*(25+273.15))/(EXP($A20-H$7))),((LN((Conductance_Eeq!H19/MAX(Conductance_Eeq!H$7:H$27))))*(1.88E-23)*(25+273.15))/(EXP($A20-H$7))))</f>
        <v>-6.2066391814562051E-34</v>
      </c>
      <c r="I20">
        <f>IF(ISBLANK(Conductance_Eeq!I19),"",IF(Conductance_Eeq!I19&lt;0,((LN(ABS(((Conductance_Eeq!I19/MAX(Conductance_Eeq!I$7:I$27)))))*(1.88E-23)*(25+273.15))/(EXP($A20-I$7))),((LN((Conductance_Eeq!I19/MAX(Conductance_Eeq!I$7:I$27))))*(1.88E-23)*(25+273.15))/(EXP($A20-I$7))))</f>
        <v>-4.6677300144681743E-36</v>
      </c>
      <c r="J20">
        <f>IF(ISBLANK(Conductance_Eeq!J19),"",IF(Conductance_Eeq!J19&lt;0,((LN(ABS(((Conductance_Eeq!J19/MAX(Conductance_Eeq!J$7:J$27)))))*(1.88E-23)*(25+273.15))/(EXP($A20-J$7))),((LN((Conductance_Eeq!J19/MAX(Conductance_Eeq!J$7:J$27))))*(1.88E-23)*(25+273.15))/(EXP($A20-J$7))))</f>
        <v>-7.0177403785394801E-36</v>
      </c>
      <c r="K20">
        <f>IF(ISBLANK(Conductance_Eeq!K19),"",IF(Conductance_Eeq!K19&lt;0,((LN(ABS(((Conductance_Eeq!K19/MAX(Conductance_Eeq!K$7:K$27)))))*(1.88E-23)*(25+273.15))/(EXP($A20-K$7))),((LN((Conductance_Eeq!K19/MAX(Conductance_Eeq!K$7:K$27))))*(1.88E-23)*(25+273.15))/(EXP($A20-K$7))))</f>
        <v>-2.6731439348000043E-34</v>
      </c>
      <c r="L20">
        <f>IF(ISBLANK(Conductance_Eeq!L19),"",IF(Conductance_Eeq!L19&lt;0,((LN(ABS(((Conductance_Eeq!L19/MAX(Conductance_Eeq!L$7:L$27)))))*(1.88E-23)*(25+273.15))/(EXP($A20-L$7))),((LN((Conductance_Eeq!L19/MAX(Conductance_Eeq!L$7:L$27))))*(1.88E-23)*(25+273.15))/(EXP($A20-L$7))))</f>
        <v>-8.2681167864616351E-35</v>
      </c>
      <c r="M20">
        <f>IF(ISBLANK(Conductance_Eeq!M19),"",IF(Conductance_Eeq!M19&lt;0,((LN(ABS(((Conductance_Eeq!M19/MAX(Conductance_Eeq!M$7:M$27)))))*(1.88E-23)*(25+273.15))/(EXP($A20-M$7))),((LN((Conductance_Eeq!M19/MAX(Conductance_Eeq!M$7:M$27))))*(1.88E-23)*(25+273.15))/(EXP($A20-M$7))))</f>
        <v>-1.8082488309510993E-35</v>
      </c>
      <c r="N20">
        <f>IF(ISBLANK(Conductance_Eeq!N19),"",IF(Conductance_Eeq!N19&lt;0,((LN(ABS(((Conductance_Eeq!N19/MAX(Conductance_Eeq!N$7:N$27)))))*(1.88E-23)*(25+273.15))/(EXP($A20-N$7))),((LN((Conductance_Eeq!N19/MAX(Conductance_Eeq!N$7:N$27))))*(1.88E-23)*(25+273.15))/(EXP($A20-N$7))))</f>
        <v>-2.7722162473099971E-36</v>
      </c>
      <c r="O20">
        <f>IF(ISBLANK(Conductance_Eeq!O19),"",IF(Conductance_Eeq!O19&lt;0,((LN(ABS(((Conductance_Eeq!O19/MAX(Conductance_Eeq!O$7:O$27)))))*(1.88E-23)*(25+273.15))/(EXP($A20-O$7))),((LN((Conductance_Eeq!O19/MAX(Conductance_Eeq!O$7:O$27))))*(1.88E-23)*(25+273.15))/(EXP($A20-O$7))))</f>
        <v>-1.6272570314445462E-35</v>
      </c>
      <c r="P20">
        <f>IF(ISBLANK(Conductance_Eeq!P19),"",IF(Conductance_Eeq!P19&lt;0,((LN(ABS(((Conductance_Eeq!P19/MAX(Conductance_Eeq!P$7:P$27)))))*(1.88E-23)*(25+273.15))/(EXP($A20-P$7))),((LN((Conductance_Eeq!P19/MAX(Conductance_Eeq!P$7:P$27))))*(1.88E-23)*(25+273.15))/(EXP($A20-P$7))))</f>
        <v>-7.1722271829948746E-36</v>
      </c>
      <c r="Q20">
        <f>IF(ISBLANK(Conductance_Eeq!Q19),"",IF(Conductance_Eeq!Q19&lt;0,((LN(ABS(((Conductance_Eeq!Q19/MAX(Conductance_Eeq!Q$7:Q$27)))))*(1.88E-23)*(25+273.15))/(EXP($A20-Q$7))),((LN((Conductance_Eeq!Q19/MAX(Conductance_Eeq!Q$7:Q$27))))*(1.88E-23)*(25+273.15))/(EXP($A20-Q$7))))</f>
        <v>-1.7746704962838491E-34</v>
      </c>
      <c r="R20">
        <f>IF(ISBLANK(Conductance_Eeq!R19),"",IF(Conductance_Eeq!R19&lt;0,((LN(ABS(((Conductance_Eeq!R19/MAX(Conductance_Eeq!R$7:R$27)))))*(1.88E-23)*(25+273.15))/(EXP($A20-R$7))),((LN((Conductance_Eeq!R19/MAX(Conductance_Eeq!R$7:R$27))))*(1.88E-23)*(25+273.15))/(EXP($A20-R$7))))</f>
        <v>-1.1553597039474685E-34</v>
      </c>
      <c r="S20">
        <f>IF(ISBLANK(Conductance_Eeq!S19),"",IF(Conductance_Eeq!S19&lt;0,((LN(ABS(((Conductance_Eeq!S19/MAX(Conductance_Eeq!S$7:S$27)))))*(1.88E-23)*(25+273.15))/(EXP($A20-S$7))),((LN((Conductance_Eeq!S19/MAX(Conductance_Eeq!S$7:S$27))))*(1.88E-23)*(25+273.15))/(EXP($A20-S$7))))</f>
        <v>-3.6210659573379509E-34</v>
      </c>
      <c r="T20">
        <f>IF(ISBLANK(Conductance_Eeq!T19),"",IF(Conductance_Eeq!T19&lt;0,((LN(ABS(((Conductance_Eeq!T19/MAX(Conductance_Eeq!T$7:T$27)))))*(1.88E-23)*(25+273.15))/(EXP($A20-T$7))),((LN((Conductance_Eeq!T19/MAX(Conductance_Eeq!T$7:T$27))))*(1.88E-23)*(25+273.15))/(EXP($A20-T$7))))</f>
        <v>-1.0489412376266907E-34</v>
      </c>
      <c r="U20">
        <f>IF(ISBLANK(Conductance_Eeq!U19),"",IF(Conductance_Eeq!U19&lt;0,((LN(ABS(((Conductance_Eeq!U19/MAX(Conductance_Eeq!U$7:U$27)))))*(1.88E-23)*(25+273.15))/(EXP($A20-U$7))),((LN((Conductance_Eeq!U19/MAX(Conductance_Eeq!U$7:U$27))))*(1.88E-23)*(25+273.15))/(EXP($A20-U$7))))</f>
        <v>-1.1967789290309593E-35</v>
      </c>
      <c r="V20">
        <f>IF(ISBLANK(Conductance_Eeq!V19),"",IF(Conductance_Eeq!V19&lt;0,((LN(ABS(((Conductance_Eeq!V19/MAX(Conductance_Eeq!V$7:V$27)))))*(1.88E-23)*(25+273.15))/(EXP($A20-V$7))),((LN((Conductance_Eeq!V19/MAX(Conductance_Eeq!V$7:V$27))))*(1.88E-23)*(25+273.15))/(EXP($A20-V$7))))</f>
        <v>-3.0498916712121822E-34</v>
      </c>
      <c r="W20">
        <f>IF(ISBLANK(Conductance_Eeq!W19),"",IF(Conductance_Eeq!W19&lt;0,((LN(ABS(((Conductance_Eeq!W19/MAX(Conductance_Eeq!W$7:W$27)))))*(1.88E-23)*(25+273.15))/(EXP($A20-W$7))),((LN((Conductance_Eeq!W19/MAX(Conductance_Eeq!W$7:W$27))))*(1.88E-23)*(25+273.15))/(EXP($A20-W$7))))</f>
        <v>-1.2290382572248723E-35</v>
      </c>
      <c r="X20">
        <f>IF(ISBLANK(Conductance_Eeq!X19),"",IF(Conductance_Eeq!X19&lt;0,((LN(ABS(((Conductance_Eeq!X19/MAX(Conductance_Eeq!X$7:X$27)))))*(1.88E-23)*(25+273.15))/(EXP($A20-X$7))),((LN((Conductance_Eeq!X19/MAX(Conductance_Eeq!X$7:X$27))))*(1.88E-23)*(25+273.15))/(EXP($A20-X$7))))</f>
        <v>-5.4982278005120788E-35</v>
      </c>
      <c r="Y20">
        <f>IF(ISBLANK(Conductance_Eeq!Y19),"",IF(Conductance_Eeq!Y19&lt;0,((LN(ABS(((Conductance_Eeq!Y19/MAX(Conductance_Eeq!Y$7:Y$27)))))*(1.88E-23)*(25+273.15))/(EXP($A20-Y$7))),((LN((Conductance_Eeq!Y19/MAX(Conductance_Eeq!Y$7:Y$27))))*(1.88E-23)*(25+273.15))/(EXP($A20-Y$7))))</f>
        <v>-5.2725951577371581E-35</v>
      </c>
      <c r="Z20">
        <f>IF(ISBLANK(Conductance_Eeq!Z19),"",IF(Conductance_Eeq!Z19&lt;0,((LN(ABS(((Conductance_Eeq!Z19/MAX(Conductance_Eeq!Z$7:Z$27)))))*(1.88E-23)*(25+273.15))/(EXP($A20-Z$7))),((LN((Conductance_Eeq!Z19/MAX(Conductance_Eeq!Z$7:Z$27))))*(1.88E-23)*(25+273.15))/(EXP($A20-Z$7))))</f>
        <v>-5.3283789718989955E-34</v>
      </c>
      <c r="AA20">
        <f>IF(ISBLANK(Conductance_Eeq!AA19),"",IF(Conductance_Eeq!AA19&lt;0,((LN(ABS(((Conductance_Eeq!AA19/MAX(Conductance_Eeq!AA$7:AA$27)))))*(1.88E-23)*(25+273.15))/(EXP($A20-AA$7))),((LN((Conductance_Eeq!AA19/MAX(Conductance_Eeq!AA$7:AA$27))))*(1.88E-23)*(25+273.15))/(EXP($A20-AA$7))))</f>
        <v>-3.2331422493145111E-34</v>
      </c>
      <c r="AB20">
        <f>IF(ISBLANK(Conductance_Eeq!AB19),"",IF(Conductance_Eeq!AB19&lt;0,((LN(ABS(((Conductance_Eeq!AB19/MAX(Conductance_Eeq!AB$7:AB$27)))))*(1.88E-23)*(25+273.15))/(EXP($A20-AB$7))),((LN((Conductance_Eeq!AB19/MAX(Conductance_Eeq!AB$7:AB$27))))*(1.88E-23)*(25+273.15))/(EXP($A20-AB$7))))</f>
        <v>-4.7180367787958201E-35</v>
      </c>
      <c r="AC20">
        <f>IF(ISBLANK(Conductance_Eeq!AC19),"",IF(Conductance_Eeq!AC19&lt;0,((LN(ABS(((Conductance_Eeq!AC19/MAX(Conductance_Eeq!AC$7:AC$27)))))*(1.88E-23)*(25+273.15))/(EXP($A20-AC$7))),((LN((Conductance_Eeq!AC19/MAX(Conductance_Eeq!AC$7:AC$27))))*(1.88E-23)*(25+273.15))/(EXP($A20-AC$7))))</f>
        <v>-8.7687487040413187E-35</v>
      </c>
      <c r="AD20">
        <f>IF(ISBLANK(Conductance_Eeq!AD19),"",IF(Conductance_Eeq!AD19&lt;0,((LN(ABS(((Conductance_Eeq!AD19/MAX(Conductance_Eeq!AD$7:AD$27)))))*(1.88E-23)*(25+273.15))/(EXP($A20-AD$7))),((LN((Conductance_Eeq!AD19/MAX(Conductance_Eeq!AD$7:AD$27))))*(1.88E-23)*(25+273.15))/(EXP($A20-AD$7))))</f>
        <v>-7.8064691281403443E-35</v>
      </c>
      <c r="AE20">
        <f>IF(ISBLANK(Conductance_Eeq!AE19),"",IF(Conductance_Eeq!AE19&lt;0,((LN(ABS(((Conductance_Eeq!AE19/MAX(Conductance_Eeq!AE$7:AE$27)))))*(1.88E-23)*(25+273.15))/(EXP($A20-AE$7))),((LN((Conductance_Eeq!AE19/MAX(Conductance_Eeq!AE$7:AE$27))))*(1.88E-23)*(25+273.15))/(EXP($A20-AE$7))))</f>
        <v>-1.1555659895727586E-32</v>
      </c>
      <c r="AF20">
        <f>IF(ISBLANK(Conductance_Eeq!AF19),"",IF(Conductance_Eeq!AF19&lt;0,((LN(ABS(((Conductance_Eeq!AF19/MAX(Conductance_Eeq!AF$7:AF$27)))))*(1.88E-23)*(25+273.15))/(EXP($A20-AF$7))),((LN((Conductance_Eeq!AF19/MAX(Conductance_Eeq!AF$7:AF$27))))*(1.88E-23)*(25+273.15))/(EXP($A20-AF$7))))</f>
        <v>-5.0549433336482157E-34</v>
      </c>
      <c r="AG20">
        <f>IF(ISBLANK(Conductance_Eeq!AG19),"",IF(Conductance_Eeq!AG19&lt;0,((LN(ABS(((Conductance_Eeq!AG19/MAX(Conductance_Eeq!AG$7:AG$27)))))*(1.88E-23)*(25+273.15))/(EXP($A20-AG$7))),((LN((Conductance_Eeq!AG19/MAX(Conductance_Eeq!AG$7:AG$27))))*(1.88E-23)*(25+273.15))/(EXP($A20-AG$7))))</f>
        <v>-2.7109437862104783E-34</v>
      </c>
      <c r="AH20">
        <f>IF(ISBLANK(Conductance_Eeq!AH19),"",IF(Conductance_Eeq!AH19&lt;0,((LN(ABS(((Conductance_Eeq!AH19/MAX(Conductance_Eeq!AH$7:AH$27)))))*(1.88E-23)*(25+273.15))/(EXP($A20-AH$7))),((LN((Conductance_Eeq!AH19/MAX(Conductance_Eeq!AH$7:AH$27))))*(1.88E-23)*(25+273.15))/(EXP($A20-AH$7))))</f>
        <v>-1.770514109306534E-34</v>
      </c>
      <c r="AI20">
        <f>IF(ISBLANK(Conductance_Eeq!AI19),"",IF(Conductance_Eeq!AI19&lt;0,((LN(ABS(((Conductance_Eeq!AI19/MAX(Conductance_Eeq!AI$7:AI$27)))))*(1.88E-23)*(25+273.15))/(EXP($A20-AI$7))),((LN((Conductance_Eeq!AI19/MAX(Conductance_Eeq!AI$7:AI$27))))*(1.88E-23)*(25+273.15))/(EXP($A20-AI$7))))</f>
        <v>-6.8708032337543994E-35</v>
      </c>
      <c r="AJ20">
        <f>IF(ISBLANK(Conductance_Eeq!AJ19),"",IF(Conductance_Eeq!AJ19&lt;0,((LN(ABS(((Conductance_Eeq!AJ19/MAX(Conductance_Eeq!AJ$7:AJ$27)))))*(1.88E-23)*(25+273.15))/(EXP($A20-AJ$7))),((LN((Conductance_Eeq!AJ19/MAX(Conductance_Eeq!AJ$7:AJ$27))))*(1.88E-23)*(25+273.15))/(EXP($A20-AJ$7))))</f>
        <v>-1.7201323740924627E-34</v>
      </c>
      <c r="AK20">
        <f>IF(ISBLANK(Conductance_Eeq!AK19),"",IF(Conductance_Eeq!AK19&lt;0,((LN(ABS(((Conductance_Eeq!AK19/MAX(Conductance_Eeq!AK$7:AK$27)))))*(1.88E-23)*(25+273.15))/(EXP($A20-AK$7))),((LN((Conductance_Eeq!AK19/MAX(Conductance_Eeq!AK$7:AK$27))))*(1.88E-23)*(25+273.15))/(EXP($A20-AK$7))))</f>
        <v>-9.8427143383827349E-35</v>
      </c>
      <c r="AL20">
        <f>IF(ISBLANK(Conductance_Eeq!AL19),"",IF(Conductance_Eeq!AL19&lt;0,((LN(ABS(((Conductance_Eeq!AL19/MAX(Conductance_Eeq!AL$7:AL$27)))))*(1.88E-23)*(25+273.15))/(EXP($A20-AL$7))),((LN((Conductance_Eeq!AL19/MAX(Conductance_Eeq!AL$7:AL$27))))*(1.88E-23)*(25+273.15))/(EXP($A20-AL$7))))</f>
        <v>-2.6640407581100781E-35</v>
      </c>
      <c r="AM20">
        <f>IF(ISBLANK(Conductance_Eeq!AM19),"",IF(Conductance_Eeq!AM19&lt;0,((LN(ABS(((Conductance_Eeq!AM19/MAX(Conductance_Eeq!AM$7:AM$27)))))*(1.88E-23)*(25+273.15))/(EXP($A20-AM$7))),((LN((Conductance_Eeq!AM19/MAX(Conductance_Eeq!AM$7:AM$27))))*(1.88E-23)*(25+273.15))/(EXP($A20-AM$7))))</f>
        <v>-6.8614221903741289E-35</v>
      </c>
      <c r="AN20" t="str">
        <f>IF(ISBLANK(Conductance_Eeq!AN19),"",IF(Conductance_Eeq!AN19&lt;0,((LN(ABS(((Conductance_Eeq!AN19/MAX(Conductance_Eeq!AN$7:AN$27)))))*(1.88E-23)*(25+273.15))/(EXP($A20-AN$7))),((LN((Conductance_Eeq!AN19/MAX(Conductance_Eeq!AN$7:AN$27))))*(1.88E-23)*(25+273.15))/(EXP($A20-AN$7))))</f>
        <v/>
      </c>
      <c r="AO20">
        <f>IF(ISBLANK(Conductance_Eeq!AO19),"",IF(Conductance_Eeq!AO19&lt;0,((LN(ABS(((Conductance_Eeq!AO19/MAX(Conductance_Eeq!AO$7:AO$27)))))*(1.88E-23)*(25+273.15))/(EXP($A20-AO$7))),((LN((Conductance_Eeq!AO19/MAX(Conductance_Eeq!AO$7:AO$27))))*(1.88E-23)*(25+273.15))/(EXP($A20-AO$7))))</f>
        <v>-2.1736021937462487E-34</v>
      </c>
      <c r="AP20">
        <f>IF(ISBLANK(Conductance_Eeq!AP19),"",IF(Conductance_Eeq!AP19&lt;0,((LN(ABS(((Conductance_Eeq!AP19/MAX(Conductance_Eeq!AP$7:AP$27)))))*(1.88E-23)*(25+273.15))/(EXP($A20-AP$7))),((LN((Conductance_Eeq!AP19/MAX(Conductance_Eeq!AP$7:AP$27))))*(1.88E-23)*(25+273.15))/(EXP($A20-AP$7))))</f>
        <v>-2.2471481289723133E-35</v>
      </c>
      <c r="AQ20">
        <f>IF(ISBLANK(Conductance_Eeq!AQ19),"",IF(Conductance_Eeq!AQ19&lt;0,((LN(ABS(((Conductance_Eeq!AQ19/MAX(Conductance_Eeq!AQ$7:AQ$27)))))*(1.88E-23)*(25+273.15))/(EXP($A20-AQ$7))),((LN((Conductance_Eeq!AQ19/MAX(Conductance_Eeq!AQ$7:AQ$27))))*(1.88E-23)*(25+273.15))/(EXP($A20-AQ$7))))</f>
        <v>-2.2426342676295311E-34</v>
      </c>
      <c r="AR20">
        <f>IF(ISBLANK(Conductance_Eeq!AR19),"",IF(Conductance_Eeq!AR19&lt;0,((LN(ABS(((Conductance_Eeq!AR19/MAX(Conductance_Eeq!AR$7:AR$27)))))*(1.88E-23)*(25+273.15))/(EXP($A20-AR$7))),((LN((Conductance_Eeq!AR19/MAX(Conductance_Eeq!AR$7:AR$27))))*(1.88E-23)*(25+273.15))/(EXP($A20-AR$7))))</f>
        <v>-7.4594129606202669E-35</v>
      </c>
      <c r="AS20">
        <f>IF(ISBLANK(Conductance_Eeq!AS19),"",IF(Conductance_Eeq!AS19&lt;0,((LN(ABS(((Conductance_Eeq!AS19/MAX(Conductance_Eeq!AS$7:AS$27)))))*(1.88E-23)*(25+273.15))/(EXP($A20-AS$7))),((LN((Conductance_Eeq!AS19/MAX(Conductance_Eeq!AS$7:AS$27))))*(1.88E-23)*(25+273.15))/(EXP($A20-AS$7))))</f>
        <v>-4.6316983987476222E-35</v>
      </c>
      <c r="AT20">
        <f>IF(ISBLANK(Conductance_Eeq!AT19),"",IF(Conductance_Eeq!AT19&lt;0,((LN(ABS(((Conductance_Eeq!AT19/MAX(Conductance_Eeq!AT$7:AT$27)))))*(1.88E-23)*(25+273.15))/(EXP($A20-AT$7))),((LN((Conductance_Eeq!AT19/MAX(Conductance_Eeq!AT$7:AT$27))))*(1.88E-23)*(25+273.15))/(EXP($A20-AT$7))))</f>
        <v>-2.6836027602964613E-34</v>
      </c>
      <c r="AU20">
        <f>IF(ISBLANK(Conductance_Eeq!AU19),"",IF(Conductance_Eeq!AU19&lt;0,((LN(ABS(((Conductance_Eeq!AU19/MAX(Conductance_Eeq!AU$7:AU$27)))))*(1.88E-23)*(25+273.15))/(EXP($A20-AU$7))),((LN((Conductance_Eeq!AU19/MAX(Conductance_Eeq!AU$7:AU$27))))*(1.88E-23)*(25+273.15))/(EXP($A20-AU$7))))</f>
        <v>-4.5412964345760738E-35</v>
      </c>
      <c r="AV20">
        <f>IF(ISBLANK(Conductance_Eeq!AV19),"",IF(Conductance_Eeq!AV19&lt;0,((LN(ABS(((Conductance_Eeq!AV19/MAX(Conductance_Eeq!AV$7:AV$27)))))*(1.88E-23)*(25+273.15))/(EXP($A20-AV$7))),((LN((Conductance_Eeq!AV19/MAX(Conductance_Eeq!AV$7:AV$27))))*(1.88E-23)*(25+273.15))/(EXP($A20-AV$7))))</f>
        <v>-1.844642401500926E-34</v>
      </c>
      <c r="AW20">
        <f>IF(ISBLANK(Conductance_Eeq!AW19),"",IF(Conductance_Eeq!AW19&lt;0,((LN(ABS(((Conductance_Eeq!AW19/MAX(Conductance_Eeq!AW$7:AW$27)))))*(1.88E-23)*(25+273.15))/(EXP($A20-AW$7))),((LN((Conductance_Eeq!AW19/MAX(Conductance_Eeq!AW$7:AW$27))))*(1.88E-23)*(25+273.15))/(EXP($A20-AW$7))))</f>
        <v>-2.482588764599215E-34</v>
      </c>
      <c r="AX20">
        <f>IF(ISBLANK(Conductance_Eeq!AX19),"",IF(Conductance_Eeq!AX19&lt;0,((LN(ABS(((Conductance_Eeq!AX19/MAX(Conductance_Eeq!AX$7:AX$27)))))*(1.88E-23)*(25+273.15))/(EXP($A20-AX$7))),((LN((Conductance_Eeq!AX19/MAX(Conductance_Eeq!AX$7:AX$27))))*(1.88E-23)*(25+273.15))/(EXP($A20-AX$7))))</f>
        <v>-6.550769103305493E-34</v>
      </c>
      <c r="AY20">
        <f>IF(ISBLANK(Conductance_Eeq!AY19),"",IF(Conductance_Eeq!AY19&lt;0,((LN(ABS(((Conductance_Eeq!AY19/MAX(Conductance_Eeq!AY$7:AY$27)))))*(1.88E-23)*(25+273.15))/(EXP($A20-AY$7))),((LN((Conductance_Eeq!AY19/MAX(Conductance_Eeq!AY$7:AY$27))))*(1.88E-23)*(25+273.15))/(EXP($A20-AY$7))))</f>
        <v>-3.8017755386523304E-34</v>
      </c>
      <c r="AZ20">
        <f>IF(ISBLANK(Conductance_Eeq!AZ19),"",IF(Conductance_Eeq!AZ19&lt;0,((LN(ABS(((Conductance_Eeq!AZ19/MAX(Conductance_Eeq!AZ$7:AZ$27)))))*(1.88E-23)*(25+273.15))/(EXP($A20-AZ$7))),((LN((Conductance_Eeq!AZ19/MAX(Conductance_Eeq!AZ$7:AZ$27))))*(1.88E-23)*(25+273.15))/(EXP($A20-AZ$7))))</f>
        <v>-1.0400513341850797E-33</v>
      </c>
      <c r="BA20">
        <f>IF(ISBLANK(Conductance_Eeq!BA19),"",IF(Conductance_Eeq!BA19&lt;0,((LN(ABS(((Conductance_Eeq!BA19/MAX(Conductance_Eeq!BA$7:BA$27)))))*(1.88E-23)*(25+273.15))/(EXP($A20-BA$7))),((LN((Conductance_Eeq!BA19/MAX(Conductance_Eeq!BA$7:BA$27))))*(1.88E-23)*(25+273.15))/(EXP($A20-BA$7))))</f>
        <v>-6.6527435146708847E-34</v>
      </c>
      <c r="BB20">
        <f>IF(ISBLANK(Conductance_Eeq!BB19),"",IF(Conductance_Eeq!BB19&lt;0,((LN(ABS(((Conductance_Eeq!BB19/MAX(Conductance_Eeq!BB$7:BB$27)))))*(1.88E-23)*(25+273.15))/(EXP($A20-BB$7))),((LN((Conductance_Eeq!BB19/MAX(Conductance_Eeq!BB$7:BB$27))))*(1.88E-23)*(25+273.15))/(EXP($A20-BB$7))))</f>
        <v>-1.6746049099142479E-33</v>
      </c>
      <c r="BC20">
        <f>IF(ISBLANK(Conductance_Eeq!BC19),"",IF(Conductance_Eeq!BC19&lt;0,((LN(ABS(((Conductance_Eeq!BC19/MAX(Conductance_Eeq!BC$7:BC$27)))))*(1.88E-23)*(25+273.15))/(EXP($A20-BC$7))),((LN((Conductance_Eeq!BC19/MAX(Conductance_Eeq!BC$7:BC$27))))*(1.88E-23)*(25+273.15))/(EXP($A20-BC$7))))</f>
        <v>-3.6573177602256928E-35</v>
      </c>
      <c r="BD20">
        <f>IF(ISBLANK(Conductance_Eeq!BD19),"",IF(Conductance_Eeq!BD19&lt;0,((LN(ABS(((Conductance_Eeq!BD19/MAX(Conductance_Eeq!BD$7:BD$27)))))*(1.88E-23)*(25+273.15))/(EXP($A20-BD$7))),((LN((Conductance_Eeq!BD19/MAX(Conductance_Eeq!BD$7:BD$27))))*(1.88E-23)*(25+273.15))/(EXP($A20-BD$7))))</f>
        <v>-4.6376470863133297E-35</v>
      </c>
      <c r="BE20">
        <f>IF(ISBLANK(Conductance_Eeq!BE19),"",IF(Conductance_Eeq!BE19&lt;0,((LN(ABS(((Conductance_Eeq!BE19/MAX(Conductance_Eeq!BE$7:BE$27)))))*(1.88E-23)*(25+273.15))/(EXP($A20-BE$7))),((LN((Conductance_Eeq!BE19/MAX(Conductance_Eeq!BE$7:BE$27))))*(1.88E-23)*(25+273.15))/(EXP($A20-BE$7))))</f>
        <v>-1.3780047814781075E-34</v>
      </c>
      <c r="BF20">
        <f>IF(ISBLANK(Conductance_Eeq!BF19),"",IF(Conductance_Eeq!BF19&lt;0,((LN(ABS(((Conductance_Eeq!BF19/MAX(Conductance_Eeq!BF$7:BF$27)))))*(1.88E-23)*(25+273.15))/(EXP($A20-BF$7))),((LN((Conductance_Eeq!BF19/MAX(Conductance_Eeq!BF$7:BF$27))))*(1.88E-23)*(25+273.15))/(EXP($A20-BF$7))))</f>
        <v>-1.5971767523779518E-34</v>
      </c>
      <c r="BG20">
        <f>IF(ISBLANK(Conductance_Eeq!BG19),"",IF(Conductance_Eeq!BG19&lt;0,((LN(ABS(((Conductance_Eeq!BG19/MAX(Conductance_Eeq!BG$7:BG$27)))))*(1.88E-23)*(25+273.15))/(EXP($A20-BG$7))),((LN((Conductance_Eeq!BG19/MAX(Conductance_Eeq!BG$7:BG$27))))*(1.88E-23)*(25+273.15))/(EXP($A20-BG$7))))</f>
        <v>-1.5376814280876177E-33</v>
      </c>
      <c r="BH20">
        <f>IF(ISBLANK(Conductance_Eeq!BH19),"",IF(Conductance_Eeq!BH19&lt;0,((LN(ABS(((Conductance_Eeq!BH19/MAX(Conductance_Eeq!BH$7:BH$27)))))*(1.88E-23)*(25+273.15))/(EXP($A20-BH$7))),((LN((Conductance_Eeq!BH19/MAX(Conductance_Eeq!BH$7:BH$27))))*(1.88E-23)*(25+273.15))/(EXP($A20-BH$7))))</f>
        <v>-2.0064945601066182E-35</v>
      </c>
      <c r="BI20">
        <f>IF(ISBLANK(Conductance_Eeq!BI19),"",IF(Conductance_Eeq!BI19&lt;0,((LN(ABS(((Conductance_Eeq!BI19/MAX(Conductance_Eeq!BI$7:BI$27)))))*(1.88E-23)*(25+273.15))/(EXP($A20-BI$7))),((LN((Conductance_Eeq!BI19/MAX(Conductance_Eeq!BI$7:BI$27))))*(1.88E-23)*(25+273.15))/(EXP($A20-BI$7))))</f>
        <v>-3.6460601358930433E-35</v>
      </c>
      <c r="BJ20">
        <f>IF(ISBLANK(Conductance_Eeq!BJ19),"",IF(Conductance_Eeq!BJ19&lt;0,((LN(ABS(((Conductance_Eeq!BJ19/MAX(Conductance_Eeq!BJ$7:BJ$27)))))*(1.88E-23)*(25+273.15))/(EXP($A20-BJ$7))),((LN((Conductance_Eeq!BJ19/MAX(Conductance_Eeq!BJ$7:BJ$27))))*(1.88E-23)*(25+273.15))/(EXP($A20-BJ$7))))</f>
        <v>-1.4402185334161622E-34</v>
      </c>
      <c r="BK20">
        <f>IF(ISBLANK(Conductance_Eeq!BK19),"",IF(Conductance_Eeq!BK19&lt;0,((LN(ABS(((Conductance_Eeq!BK19/MAX(Conductance_Eeq!BK$7:BK$27)))))*(1.88E-23)*(25+273.15))/(EXP($A20-BK$7))),((LN((Conductance_Eeq!BK19/MAX(Conductance_Eeq!BK$7:BK$27))))*(1.88E-23)*(25+273.15))/(EXP($A20-BK$7))))</f>
        <v>-1.4976965960410076E-34</v>
      </c>
      <c r="BL20">
        <f>IF(ISBLANK(Conductance_Eeq!BL19),"",IF(Conductance_Eeq!BL19&lt;0,((LN(ABS(((Conductance_Eeq!BL19/MAX(Conductance_Eeq!BL$7:BL$27)))))*(1.88E-23)*(25+273.15))/(EXP($A20-BL$7))),((LN((Conductance_Eeq!BL19/MAX(Conductance_Eeq!BL$7:BL$27))))*(1.88E-23)*(25+273.15))/(EXP($A20-BL$7))))</f>
        <v>-1.7033898901972102E-34</v>
      </c>
      <c r="BM20">
        <f>IF(ISBLANK(Conductance_Eeq!BM19),"",IF(Conductance_Eeq!BM19&lt;0,((LN(ABS(((Conductance_Eeq!BM19/MAX(Conductance_Eeq!BM$7:BM$27)))))*(1.88E-23)*(25+273.15))/(EXP($A20-BM$7))),((LN((Conductance_Eeq!BM19/MAX(Conductance_Eeq!BM$7:BM$27))))*(1.88E-23)*(25+273.15))/(EXP($A20-BM$7))))</f>
        <v>-3.6864952786261585E-34</v>
      </c>
      <c r="BN20">
        <f>IF(ISBLANK(Conductance_Eeq!BN19),"",IF(Conductance_Eeq!BN19&lt;0,((LN(ABS(((Conductance_Eeq!BN19/MAX(Conductance_Eeq!BN$7:BN$27)))))*(1.88E-23)*(25+273.15))/(EXP($A20-BN$7))),((LN((Conductance_Eeq!BN19/MAX(Conductance_Eeq!BN$7:BN$27))))*(1.88E-23)*(25+273.15))/(EXP($A20-BN$7))))</f>
        <v>-8.637507766489547E-36</v>
      </c>
      <c r="BO20">
        <f>IF(ISBLANK(Conductance_Eeq!BO19),"",IF(Conductance_Eeq!BO19&lt;0,((LN(ABS(((Conductance_Eeq!BO19/MAX(Conductance_Eeq!BO$7:BO$27)))))*(1.88E-23)*(25+273.15))/(EXP($A20-BO$7))),((LN((Conductance_Eeq!BO19/MAX(Conductance_Eeq!BO$7:BO$27))))*(1.88E-23)*(25+273.15))/(EXP($A20-BO$7))))</f>
        <v>-1.2817113162612458E-35</v>
      </c>
      <c r="BP20">
        <f>IF(ISBLANK(Conductance_Eeq!BP19),"",IF(Conductance_Eeq!BP19&lt;0,((LN(ABS(((Conductance_Eeq!BP19/MAX(Conductance_Eeq!BP$7:BP$27)))))*(1.88E-23)*(25+273.15))/(EXP($A20-BP$7))),((LN((Conductance_Eeq!BP19/MAX(Conductance_Eeq!BP$7:BP$27))))*(1.88E-23)*(25+273.15))/(EXP($A20-BP$7))))</f>
        <v>-7.2891225499164526E-35</v>
      </c>
      <c r="BQ20">
        <f>IF(ISBLANK(Conductance_Eeq!BQ19),"",IF(Conductance_Eeq!BQ19&lt;0,((LN(ABS(((Conductance_Eeq!BQ19/MAX(Conductance_Eeq!BQ$7:BQ$27)))))*(1.88E-23)*(25+273.15))/(EXP($A20-BQ$7))),((LN((Conductance_Eeq!BQ19/MAX(Conductance_Eeq!BQ$7:BQ$27))))*(1.88E-23)*(25+273.15))/(EXP($A20-BQ$7))))</f>
        <v>-3.4358274755906652E-34</v>
      </c>
      <c r="BR20">
        <f>IF(ISBLANK(Conductance_Eeq!BR19),"",IF(Conductance_Eeq!BR19&lt;0,((LN(ABS(((Conductance_Eeq!BR19/MAX(Conductance_Eeq!BR$7:BR$27)))))*(1.88E-23)*(25+273.15))/(EXP($A20-BR$7))),((LN((Conductance_Eeq!BR19/MAX(Conductance_Eeq!BR$7:BR$27))))*(1.88E-23)*(25+273.15))/(EXP($A20-BR$7))))</f>
        <v>-3.1950121867226056E-35</v>
      </c>
      <c r="BS20">
        <f>IF(ISBLANK(Conductance_Eeq!BS19),"",IF(Conductance_Eeq!BS19&lt;0,((LN(ABS(((Conductance_Eeq!BS19/MAX(Conductance_Eeq!BS$7:BS$27)))))*(1.88E-23)*(25+273.15))/(EXP($A20-BS$7))),((LN((Conductance_Eeq!BS19/MAX(Conductance_Eeq!BS$7:BS$27))))*(1.88E-23)*(25+273.15))/(EXP($A20-BS$7))))</f>
        <v>-4.9388915075438243E-35</v>
      </c>
      <c r="BT20">
        <f>IF(ISBLANK(Conductance_Eeq!BT19),"",IF(Conductance_Eeq!BT19&lt;0,((LN(ABS(((Conductance_Eeq!BT19/MAX(Conductance_Eeq!BT$7:BT$27)))))*(1.88E-23)*(25+273.15))/(EXP($A20-BT$7))),((LN((Conductance_Eeq!BT19/MAX(Conductance_Eeq!BT$7:BT$27))))*(1.88E-23)*(25+273.15))/(EXP($A20-BT$7))))</f>
        <v>-2.7785965864530746E-34</v>
      </c>
      <c r="BU20">
        <f>IF(ISBLANK(Conductance_Eeq!BU19),"",IF(Conductance_Eeq!BU19&lt;0,((LN(ABS(((Conductance_Eeq!BU19/MAX(Conductance_Eeq!BU$7:BU$27)))))*(1.88E-23)*(25+273.15))/(EXP($A20-BU$7))),((LN((Conductance_Eeq!BU19/MAX(Conductance_Eeq!BU$7:BU$27))))*(1.88E-23)*(25+273.15))/(EXP($A20-BU$7))))</f>
        <v>-6.6882718426138351E-34</v>
      </c>
      <c r="BV20">
        <f>IF(ISBLANK(Conductance_Eeq!BV19),"",IF(Conductance_Eeq!BV19&lt;0,((LN(ABS(((Conductance_Eeq!BV19/MAX(Conductance_Eeq!BV$7:BV$27)))))*(1.88E-23)*(25+273.15))/(EXP($A20-BV$7))),((LN((Conductance_Eeq!BV19/MAX(Conductance_Eeq!BV$7:BV$27))))*(1.88E-23)*(25+273.15))/(EXP($A20-BV$7))))</f>
        <v>-1.5590976343493588E-34</v>
      </c>
      <c r="BW20">
        <f>IF(ISBLANK(Conductance_Eeq!BW19),"",IF(Conductance_Eeq!BW19&lt;0,((LN(ABS(((Conductance_Eeq!BW19/MAX(Conductance_Eeq!BW$7:BW$27)))))*(1.88E-23)*(25+273.15))/(EXP($A20-BW$7))),((LN((Conductance_Eeq!BW19/MAX(Conductance_Eeq!BW$7:BW$27))))*(1.88E-23)*(25+273.15))/(EXP($A20-BW$7))))</f>
        <v>-2.0669265364072655E-34</v>
      </c>
      <c r="BX20">
        <f>IF(ISBLANK(Conductance_Eeq!BX19),"",IF(Conductance_Eeq!BX19&lt;0,((LN(ABS(((Conductance_Eeq!BX19/MAX(Conductance_Eeq!BX$7:BX$27)))))*(1.88E-23)*(25+273.15))/(EXP($A20-BX$7))),((LN((Conductance_Eeq!BX19/MAX(Conductance_Eeq!BX$7:BX$27))))*(1.88E-23)*(25+273.15))/(EXP($A20-BX$7))))</f>
        <v>-1.8174652303327489E-34</v>
      </c>
      <c r="BY20" t="str">
        <f>IF(ISBLANK(Conductance_Eeq!BY19),"",IF(Conductance_Eeq!BY19&lt;0,((LN(ABS(((Conductance_Eeq!BY19/MAX(Conductance_Eeq!BY$7:BY$27)))))*(1.88E-23)*(25+273.15))/(EXP($A20-BY$7))),((LN((Conductance_Eeq!BY19/MAX(Conductance_Eeq!BY$7:BY$27))))*(1.88E-23)*(25+273.15))/(EXP($A20-BY$7))))</f>
        <v/>
      </c>
      <c r="BZ20">
        <f>IF(ISBLANK(Conductance_Eeq!BZ19),"",IF(Conductance_Eeq!BZ19&lt;0,((LN(ABS(((Conductance_Eeq!BZ19/MAX(Conductance_Eeq!BZ$7:BZ$27)))))*(1.88E-23)*(25+273.15))/(EXP($A20-BZ$7))),((LN((Conductance_Eeq!BZ19/MAX(Conductance_Eeq!BZ$7:BZ$27))))*(1.88E-23)*(25+273.15))/(EXP($A20-BZ$7))))</f>
        <v>-2.6684689807673479E-35</v>
      </c>
      <c r="CA20">
        <f>IF(ISBLANK(Conductance_Eeq!CA19),"",IF(Conductance_Eeq!CA19&lt;0,((LN(ABS(((Conductance_Eeq!CA19/MAX(Conductance_Eeq!CA$7:CA$27)))))*(1.88E-23)*(25+273.15))/(EXP($A20-CA$7))),((LN((Conductance_Eeq!CA19/MAX(Conductance_Eeq!CA$7:CA$27))))*(1.88E-23)*(25+273.15))/(EXP($A20-CA$7))))</f>
        <v>-1.1681397707449936E-34</v>
      </c>
      <c r="CB20">
        <f>IF(ISBLANK(Conductance_Eeq!CB19),"",IF(Conductance_Eeq!CB19&lt;0,((LN(ABS(((Conductance_Eeq!CB19/MAX(Conductance_Eeq!CB$7:CB$27)))))*(1.88E-23)*(25+273.15))/(EXP($A20-CB$7))),((LN((Conductance_Eeq!CB19/MAX(Conductance_Eeq!CB$7:CB$27))))*(1.88E-23)*(25+273.15))/(EXP($A20-CB$7))))</f>
        <v>-5.0968858691497556E-34</v>
      </c>
      <c r="CC20">
        <f>IF(ISBLANK(Conductance_Eeq!CC19),"",IF(Conductance_Eeq!CC19&lt;0,((LN(ABS(((Conductance_Eeq!CC19/MAX(Conductance_Eeq!CC$7:CC$27)))))*(1.88E-23)*(25+273.15))/(EXP($A20-CC$7))),((LN((Conductance_Eeq!CC19/MAX(Conductance_Eeq!CC$7:CC$27))))*(1.88E-23)*(25+273.15))/(EXP($A20-CC$7))))</f>
        <v>-2.1509986294480429E-32</v>
      </c>
      <c r="CD20">
        <f>IF(ISBLANK(Conductance_Eeq!CD19),"",IF(Conductance_Eeq!CD19&lt;0,((LN(ABS(((Conductance_Eeq!CD19/MAX(Conductance_Eeq!CD$7:CD$27)))))*(1.88E-23)*(25+273.15))/(EXP($A20-CD$7))),((LN((Conductance_Eeq!CD19/MAX(Conductance_Eeq!CD$7:CD$27))))*(1.88E-23)*(25+273.15))/(EXP($A20-CD$7))))</f>
        <v>-7.388353794777731E-34</v>
      </c>
    </row>
    <row r="21" spans="1:82" x14ac:dyDescent="0.2">
      <c r="A21" s="3">
        <f t="shared" si="0"/>
        <v>50</v>
      </c>
      <c r="B21">
        <f>IF(ISBLANK(Conductance_Eeq!B20),"",IF(Conductance_Eeq!B20&lt;0,((LN(ABS(((Conductance_Eeq!B20/MAX(Conductance_Eeq!B$7:B$27)))))*(1.88E-23)*(25+273.15))/(EXP($A21-B$7))),((LN((Conductance_Eeq!B20/MAX(Conductance_Eeq!B$7:B$27))))*(1.88E-23)*(25+273.15))/(EXP($A21-B$7))))</f>
        <v>-2.663078042031996E-38</v>
      </c>
      <c r="C21">
        <f>IF(ISBLANK(Conductance_Eeq!C20),"",IF(Conductance_Eeq!C20&lt;0,((LN(ABS(((Conductance_Eeq!C20/MAX(Conductance_Eeq!C$7:C$27)))))*(1.88E-23)*(25+273.15))/(EXP($A21-C$7))),((LN((Conductance_Eeq!C20/MAX(Conductance_Eeq!C$7:C$27))))*(1.88E-23)*(25+273.15))/(EXP($A21-C$7))))</f>
        <v>-1.9296922699212195E-38</v>
      </c>
      <c r="D21">
        <f>IF(ISBLANK(Conductance_Eeq!D20),"",IF(Conductance_Eeq!D20&lt;0,((LN(ABS(((Conductance_Eeq!D20/MAX(Conductance_Eeq!D$7:D$27)))))*(1.88E-23)*(25+273.15))/(EXP($A21-D$7))),((LN((Conductance_Eeq!D20/MAX(Conductance_Eeq!D$7:D$27))))*(1.88E-23)*(25+273.15))/(EXP($A21-D$7))))</f>
        <v>-5.140385923946751E-39</v>
      </c>
      <c r="E21">
        <f>IF(ISBLANK(Conductance_Eeq!E20),"",IF(Conductance_Eeq!E20&lt;0,((LN(ABS(((Conductance_Eeq!E20/MAX(Conductance_Eeq!E$7:E$27)))))*(1.88E-23)*(25+273.15))/(EXP($A21-E$7))),((LN((Conductance_Eeq!E20/MAX(Conductance_Eeq!E$7:E$27))))*(1.88E-23)*(25+273.15))/(EXP($A21-E$7))))</f>
        <v>-1.8556611086489705E-39</v>
      </c>
      <c r="F21">
        <f>IF(ISBLANK(Conductance_Eeq!F20),"",IF(Conductance_Eeq!F20&lt;0,((LN(ABS(((Conductance_Eeq!F20/MAX(Conductance_Eeq!F$7:F$27)))))*(1.88E-23)*(25+273.15))/(EXP($A21-F$7))),((LN((Conductance_Eeq!F20/MAX(Conductance_Eeq!F$7:F$27))))*(1.88E-23)*(25+273.15))/(EXP($A21-F$7))))</f>
        <v>-6.4891909161541408E-38</v>
      </c>
      <c r="G21">
        <f>IF(ISBLANK(Conductance_Eeq!G20),"",IF(Conductance_Eeq!G20&lt;0,((LN(ABS(((Conductance_Eeq!G20/MAX(Conductance_Eeq!G$7:G$27)))))*(1.88E-23)*(25+273.15))/(EXP($A21-G$7))),((LN((Conductance_Eeq!G20/MAX(Conductance_Eeq!G$7:G$27))))*(1.88E-23)*(25+273.15))/(EXP($A21-G$7))))</f>
        <v>-6.6170043842160736E-38</v>
      </c>
      <c r="H21">
        <f>IF(ISBLANK(Conductance_Eeq!H20),"",IF(Conductance_Eeq!H20&lt;0,((LN(ABS(((Conductance_Eeq!H20/MAX(Conductance_Eeq!H$7:H$27)))))*(1.88E-23)*(25+273.15))/(EXP($A21-H$7))),((LN((Conductance_Eeq!H20/MAX(Conductance_Eeq!H$7:H$27))))*(1.88E-23)*(25+273.15))/(EXP($A21-H$7))))</f>
        <v>-2.9472090801511473E-38</v>
      </c>
      <c r="I21">
        <f>IF(ISBLANK(Conductance_Eeq!I20),"",IF(Conductance_Eeq!I20&lt;0,((LN(ABS(((Conductance_Eeq!I20/MAX(Conductance_Eeq!I$7:I$27)))))*(1.88E-23)*(25+273.15))/(EXP($A21-I$7))),((LN((Conductance_Eeq!I20/MAX(Conductance_Eeq!I$7:I$27))))*(1.88E-23)*(25+273.15))/(EXP($A21-I$7))))</f>
        <v>-2.3462261525934638E-40</v>
      </c>
      <c r="J21">
        <f>IF(ISBLANK(Conductance_Eeq!J20),"",IF(Conductance_Eeq!J20&lt;0,((LN(ABS(((Conductance_Eeq!J20/MAX(Conductance_Eeq!J$7:J$27)))))*(1.88E-23)*(25+273.15))/(EXP($A21-J$7))),((LN((Conductance_Eeq!J20/MAX(Conductance_Eeq!J$7:J$27))))*(1.88E-23)*(25+273.15))/(EXP($A21-J$7))))</f>
        <v>-3.7582762093434146E-40</v>
      </c>
      <c r="K21">
        <f>IF(ISBLANK(Conductance_Eeq!K20),"",IF(Conductance_Eeq!K20&lt;0,((LN(ABS(((Conductance_Eeq!K20/MAX(Conductance_Eeq!K$7:K$27)))))*(1.88E-23)*(25+273.15))/(EXP($A21-K$7))),((LN((Conductance_Eeq!K20/MAX(Conductance_Eeq!K$7:K$27))))*(1.88E-23)*(25+273.15))/(EXP($A21-K$7))))</f>
        <v>-1.3232614896107105E-38</v>
      </c>
      <c r="L21">
        <f>IF(ISBLANK(Conductance_Eeq!L20),"",IF(Conductance_Eeq!L20&lt;0,((LN(ABS(((Conductance_Eeq!L20/MAX(Conductance_Eeq!L$7:L$27)))))*(1.88E-23)*(25+273.15))/(EXP($A21-L$7))),((LN((Conductance_Eeq!L20/MAX(Conductance_Eeq!L$7:L$27))))*(1.88E-23)*(25+273.15))/(EXP($A21-L$7))))</f>
        <v>-3.9028246638576061E-39</v>
      </c>
      <c r="M21">
        <f>IF(ISBLANK(Conductance_Eeq!M20),"",IF(Conductance_Eeq!M20&lt;0,((LN(ABS(((Conductance_Eeq!M20/MAX(Conductance_Eeq!M$7:M$27)))))*(1.88E-23)*(25+273.15))/(EXP($A21-M$7))),((LN((Conductance_Eeq!M20/MAX(Conductance_Eeq!M$7:M$27))))*(1.88E-23)*(25+273.15))/(EXP($A21-M$7))))</f>
        <v>-8.836850606274787E-40</v>
      </c>
      <c r="N21">
        <f>IF(ISBLANK(Conductance_Eeq!N20),"",IF(Conductance_Eeq!N20&lt;0,((LN(ABS(((Conductance_Eeq!N20/MAX(Conductance_Eeq!N$7:N$27)))))*(1.88E-23)*(25+273.15))/(EXP($A21-N$7))),((LN((Conductance_Eeq!N20/MAX(Conductance_Eeq!N$7:N$27))))*(1.88E-23)*(25+273.15))/(EXP($A21-N$7))))</f>
        <v>-1.382734081001215E-40</v>
      </c>
      <c r="O21">
        <f>IF(ISBLANK(Conductance_Eeq!O20),"",IF(Conductance_Eeq!O20&lt;0,((LN(ABS(((Conductance_Eeq!O20/MAX(Conductance_Eeq!O$7:O$27)))))*(1.88E-23)*(25+273.15))/(EXP($A21-O$7))),((LN((Conductance_Eeq!O20/MAX(Conductance_Eeq!O$7:O$27))))*(1.88E-23)*(25+273.15))/(EXP($A21-O$7))))</f>
        <v>-8.4516849072570369E-40</v>
      </c>
      <c r="P21">
        <f>IF(ISBLANK(Conductance_Eeq!P20),"",IF(Conductance_Eeq!P20&lt;0,((LN(ABS(((Conductance_Eeq!P20/MAX(Conductance_Eeq!P$7:P$27)))))*(1.88E-23)*(25+273.15))/(EXP($A21-P$7))),((LN((Conductance_Eeq!P20/MAX(Conductance_Eeq!P$7:P$27))))*(1.88E-23)*(25+273.15))/(EXP($A21-P$7))))</f>
        <v>-3.810935312241911E-40</v>
      </c>
      <c r="Q21">
        <f>IF(ISBLANK(Conductance_Eeq!Q20),"",IF(Conductance_Eeq!Q20&lt;0,((LN(ABS(((Conductance_Eeq!Q20/MAX(Conductance_Eeq!Q$7:Q$27)))))*(1.88E-23)*(25+273.15))/(EXP($A21-Q$7))),((LN((Conductance_Eeq!Q20/MAX(Conductance_Eeq!Q$7:Q$27))))*(1.88E-23)*(25+273.15))/(EXP($A21-Q$7))))</f>
        <v>-8.8470893224952341E-39</v>
      </c>
      <c r="R21">
        <f>IF(ISBLANK(Conductance_Eeq!R20),"",IF(Conductance_Eeq!R20&lt;0,((LN(ABS(((Conductance_Eeq!R20/MAX(Conductance_Eeq!R$7:R$27)))))*(1.88E-23)*(25+273.15))/(EXP($A21-R$7))),((LN((Conductance_Eeq!R20/MAX(Conductance_Eeq!R$7:R$27))))*(1.88E-23)*(25+273.15))/(EXP($A21-R$7))))</f>
        <v>-6.308591864997509E-39</v>
      </c>
      <c r="S21">
        <f>IF(ISBLANK(Conductance_Eeq!S20),"",IF(Conductance_Eeq!S20&lt;0,((LN(ABS(((Conductance_Eeq!S20/MAX(Conductance_Eeq!S$7:S$27)))))*(1.88E-23)*(25+273.15))/(EXP($A21-S$7))),((LN((Conductance_Eeq!S20/MAX(Conductance_Eeq!S$7:S$27))))*(1.88E-23)*(25+273.15))/(EXP($A21-S$7))))</f>
        <v>-1.9929612991026304E-38</v>
      </c>
      <c r="T21">
        <f>IF(ISBLANK(Conductance_Eeq!T20),"",IF(Conductance_Eeq!T20&lt;0,((LN(ABS(((Conductance_Eeq!T20/MAX(Conductance_Eeq!T$7:T$27)))))*(1.88E-23)*(25+273.15))/(EXP($A21-T$7))),((LN((Conductance_Eeq!T20/MAX(Conductance_Eeq!T$7:T$27))))*(1.88E-23)*(25+273.15))/(EXP($A21-T$7))))</f>
        <v>-5.5438845307050696E-39</v>
      </c>
      <c r="U21">
        <f>IF(ISBLANK(Conductance_Eeq!U20),"",IF(Conductance_Eeq!U20&lt;0,((LN(ABS(((Conductance_Eeq!U20/MAX(Conductance_Eeq!U$7:U$27)))))*(1.88E-23)*(25+273.15))/(EXP($A21-U$7))),((LN((Conductance_Eeq!U20/MAX(Conductance_Eeq!U$7:U$27))))*(1.88E-23)*(25+273.15))/(EXP($A21-U$7))))</f>
        <v>-6.5737835527817794E-40</v>
      </c>
      <c r="V21">
        <f>IF(ISBLANK(Conductance_Eeq!V20),"",IF(Conductance_Eeq!V20&lt;0,((LN(ABS(((Conductance_Eeq!V20/MAX(Conductance_Eeq!V$7:V$27)))))*(1.88E-23)*(25+273.15))/(EXP($A21-V$7))),((LN((Conductance_Eeq!V20/MAX(Conductance_Eeq!V$7:V$27))))*(1.88E-23)*(25+273.15))/(EXP($A21-V$7))))</f>
        <v>-1.663162761629483E-38</v>
      </c>
      <c r="W21">
        <f>IF(ISBLANK(Conductance_Eeq!W20),"",IF(Conductance_Eeq!W20&lt;0,((LN(ABS(((Conductance_Eeq!W20/MAX(Conductance_Eeq!W$7:W$27)))))*(1.88E-23)*(25+273.15))/(EXP($A21-W$7))),((LN((Conductance_Eeq!W20/MAX(Conductance_Eeq!W$7:W$27))))*(1.88E-23)*(25+273.15))/(EXP($A21-W$7))))</f>
        <v>-6.5961008580265834E-40</v>
      </c>
      <c r="X21">
        <f>IF(ISBLANK(Conductance_Eeq!X20),"",IF(Conductance_Eeq!X20&lt;0,((LN(ABS(((Conductance_Eeq!X20/MAX(Conductance_Eeq!X$7:X$27)))))*(1.88E-23)*(25+273.15))/(EXP($A21-X$7))),((LN((Conductance_Eeq!X20/MAX(Conductance_Eeq!X$7:X$27))))*(1.88E-23)*(25+273.15))/(EXP($A21-X$7))))</f>
        <v>-3.0607225571953067E-39</v>
      </c>
      <c r="Y21">
        <f>IF(ISBLANK(Conductance_Eeq!Y20),"",IF(Conductance_Eeq!Y20&lt;0,((LN(ABS(((Conductance_Eeq!Y20/MAX(Conductance_Eeq!Y$7:Y$27)))))*(1.88E-23)*(25+273.15))/(EXP($A21-Y$7))),((LN((Conductance_Eeq!Y20/MAX(Conductance_Eeq!Y$7:Y$27))))*(1.88E-23)*(25+273.15))/(EXP($A21-Y$7))))</f>
        <v>-2.9169230049627984E-39</v>
      </c>
      <c r="Z21">
        <f>IF(ISBLANK(Conductance_Eeq!Z20),"",IF(Conductance_Eeq!Z20&lt;0,((LN(ABS(((Conductance_Eeq!Z20/MAX(Conductance_Eeq!Z$7:Z$27)))))*(1.88E-23)*(25+273.15))/(EXP($A21-Z$7))),((LN((Conductance_Eeq!Z20/MAX(Conductance_Eeq!Z$7:Z$27))))*(1.88E-23)*(25+273.15))/(EXP($A21-Z$7))))</f>
        <v>-2.7192217145462133E-38</v>
      </c>
      <c r="AA21">
        <f>IF(ISBLANK(Conductance_Eeq!AA20),"",IF(Conductance_Eeq!AA20&lt;0,((LN(ABS(((Conductance_Eeq!AA20/MAX(Conductance_Eeq!AA$7:AA$27)))))*(1.88E-23)*(25+273.15))/(EXP($A21-AA$7))),((LN((Conductance_Eeq!AA20/MAX(Conductance_Eeq!AA$7:AA$27))))*(1.88E-23)*(25+273.15))/(EXP($A21-AA$7))))</f>
        <v>-1.6729665687880684E-38</v>
      </c>
      <c r="AB21">
        <f>IF(ISBLANK(Conductance_Eeq!AB20),"",IF(Conductance_Eeq!AB20&lt;0,((LN(ABS(((Conductance_Eeq!AB20/MAX(Conductance_Eeq!AB$7:AB$27)))))*(1.88E-23)*(25+273.15))/(EXP($A21-AB$7))),((LN((Conductance_Eeq!AB20/MAX(Conductance_Eeq!AB$7:AB$27))))*(1.88E-23)*(25+273.15))/(EXP($A21-AB$7))))</f>
        <v>-2.4525556198561758E-39</v>
      </c>
      <c r="AC21">
        <f>IF(ISBLANK(Conductance_Eeq!AC20),"",IF(Conductance_Eeq!AC20&lt;0,((LN(ABS(((Conductance_Eeq!AC20/MAX(Conductance_Eeq!AC$7:AC$27)))))*(1.88E-23)*(25+273.15))/(EXP($A21-AC$7))),((LN((Conductance_Eeq!AC20/MAX(Conductance_Eeq!AC$7:AC$27))))*(1.88E-23)*(25+273.15))/(EXP($A21-AC$7))))</f>
        <v>-4.4795095360590769E-39</v>
      </c>
      <c r="AD21">
        <f>IF(ISBLANK(Conductance_Eeq!AD20),"",IF(Conductance_Eeq!AD20&lt;0,((LN(ABS(((Conductance_Eeq!AD20/MAX(Conductance_Eeq!AD$7:AD$27)))))*(1.88E-23)*(25+273.15))/(EXP($A21-AD$7))),((LN((Conductance_Eeq!AD20/MAX(Conductance_Eeq!AD$7:AD$27))))*(1.88E-23)*(25+273.15))/(EXP($A21-AD$7))))</f>
        <v>-3.9716769129659622E-39</v>
      </c>
      <c r="AE21">
        <f>IF(ISBLANK(Conductance_Eeq!AE20),"",IF(Conductance_Eeq!AE20&lt;0,((LN(ABS(((Conductance_Eeq!AE20/MAX(Conductance_Eeq!AE$7:AE$27)))))*(1.88E-23)*(25+273.15))/(EXP($A21-AE$7))),((LN((Conductance_Eeq!AE20/MAX(Conductance_Eeq!AE$7:AE$27))))*(1.88E-23)*(25+273.15))/(EXP($A21-AE$7))))</f>
        <v>-6.3633114400044221E-37</v>
      </c>
      <c r="AF21">
        <f>IF(ISBLANK(Conductance_Eeq!AF20),"",IF(Conductance_Eeq!AF20&lt;0,((LN(ABS(((Conductance_Eeq!AF20/MAX(Conductance_Eeq!AF$7:AF$27)))))*(1.88E-23)*(25+273.15))/(EXP($A21-AF$7))),((LN((Conductance_Eeq!AF20/MAX(Conductance_Eeq!AF$7:AF$27))))*(1.88E-23)*(25+273.15))/(EXP($A21-AF$7))))</f>
        <v>-2.6543422237565237E-38</v>
      </c>
      <c r="AG21">
        <f>IF(ISBLANK(Conductance_Eeq!AG20),"",IF(Conductance_Eeq!AG20&lt;0,((LN(ABS(((Conductance_Eeq!AG20/MAX(Conductance_Eeq!AG$7:AG$27)))))*(1.88E-23)*(25+273.15))/(EXP($A21-AG$7))),((LN((Conductance_Eeq!AG20/MAX(Conductance_Eeq!AG$7:AG$27))))*(1.88E-23)*(25+273.15))/(EXP($A21-AG$7))))</f>
        <v>-1.5074493594996952E-38</v>
      </c>
      <c r="AH21">
        <f>IF(ISBLANK(Conductance_Eeq!AH20),"",IF(Conductance_Eeq!AH20&lt;0,((LN(ABS(((Conductance_Eeq!AH20/MAX(Conductance_Eeq!AH$7:AH$27)))))*(1.88E-23)*(25+273.15))/(EXP($A21-AH$7))),((LN((Conductance_Eeq!AH20/MAX(Conductance_Eeq!AH$7:AH$27))))*(1.88E-23)*(25+273.15))/(EXP($A21-AH$7))))</f>
        <v>-1.0065958092925239E-38</v>
      </c>
      <c r="AI21">
        <f>IF(ISBLANK(Conductance_Eeq!AI20),"",IF(Conductance_Eeq!AI20&lt;0,((LN(ABS(((Conductance_Eeq!AI20/MAX(Conductance_Eeq!AI$7:AI$27)))))*(1.88E-23)*(25+273.15))/(EXP($A21-AI$7))),((LN((Conductance_Eeq!AI20/MAX(Conductance_Eeq!AI$7:AI$27))))*(1.88E-23)*(25+273.15))/(EXP($A21-AI$7))))</f>
        <v>-3.7502751314641696E-39</v>
      </c>
      <c r="AJ21">
        <f>IF(ISBLANK(Conductance_Eeq!AJ20),"",IF(Conductance_Eeq!AJ20&lt;0,((LN(ABS(((Conductance_Eeq!AJ20/MAX(Conductance_Eeq!AJ$7:AJ$27)))))*(1.88E-23)*(25+273.15))/(EXP($A21-AJ$7))),((LN((Conductance_Eeq!AJ20/MAX(Conductance_Eeq!AJ$7:AJ$27))))*(1.88E-23)*(25+273.15))/(EXP($A21-AJ$7))))</f>
        <v>-9.046114791115075E-39</v>
      </c>
      <c r="AK21">
        <f>IF(ISBLANK(Conductance_Eeq!AK20),"",IF(Conductance_Eeq!AK20&lt;0,((LN(ABS(((Conductance_Eeq!AK20/MAX(Conductance_Eeq!AK$7:AK$27)))))*(1.88E-23)*(25+273.15))/(EXP($A21-AK$7))),((LN((Conductance_Eeq!AK20/MAX(Conductance_Eeq!AK$7:AK$27))))*(1.88E-23)*(25+273.15))/(EXP($A21-AK$7))))</f>
        <v>-5.5510733321439875E-39</v>
      </c>
      <c r="AL21">
        <f>IF(ISBLANK(Conductance_Eeq!AL20),"",IF(Conductance_Eeq!AL20&lt;0,((LN(ABS(((Conductance_Eeq!AL20/MAX(Conductance_Eeq!AL$7:AL$27)))))*(1.88E-23)*(25+273.15))/(EXP($A21-AL$7))),((LN((Conductance_Eeq!AL20/MAX(Conductance_Eeq!AL$7:AL$27))))*(1.88E-23)*(25+273.15))/(EXP($A21-AL$7))))</f>
        <v>-1.3991460629632891E-39</v>
      </c>
      <c r="AM21">
        <f>IF(ISBLANK(Conductance_Eeq!AM20),"",IF(Conductance_Eeq!AM20&lt;0,((LN(ABS(((Conductance_Eeq!AM20/MAX(Conductance_Eeq!AM$7:AM$27)))))*(1.88E-23)*(25+273.15))/(EXP($A21-AM$7))),((LN((Conductance_Eeq!AM20/MAX(Conductance_Eeq!AM$7:AM$27))))*(1.88E-23)*(25+273.15))/(EXP($A21-AM$7))))</f>
        <v>-3.7703460062539734E-39</v>
      </c>
      <c r="AN21" t="str">
        <f>IF(ISBLANK(Conductance_Eeq!AN20),"",IF(Conductance_Eeq!AN20&lt;0,((LN(ABS(((Conductance_Eeq!AN20/MAX(Conductance_Eeq!AN$7:AN$27)))))*(1.88E-23)*(25+273.15))/(EXP($A21-AN$7))),((LN((Conductance_Eeq!AN20/MAX(Conductance_Eeq!AN$7:AN$27))))*(1.88E-23)*(25+273.15))/(EXP($A21-AN$7))))</f>
        <v/>
      </c>
      <c r="AO21">
        <f>IF(ISBLANK(Conductance_Eeq!AO20),"",IF(Conductance_Eeq!AO20&lt;0,((LN(ABS(((Conductance_Eeq!AO20/MAX(Conductance_Eeq!AO$7:AO$27)))))*(1.88E-23)*(25+273.15))/(EXP($A21-AO$7))),((LN((Conductance_Eeq!AO20/MAX(Conductance_Eeq!AO$7:AO$27))))*(1.88E-23)*(25+273.15))/(EXP($A21-AO$7))))</f>
        <v>-1.2864959108109229E-38</v>
      </c>
      <c r="AP21">
        <f>IF(ISBLANK(Conductance_Eeq!AP20),"",IF(Conductance_Eeq!AP20&lt;0,((LN(ABS(((Conductance_Eeq!AP20/MAX(Conductance_Eeq!AP$7:AP$27)))))*(1.88E-23)*(25+273.15))/(EXP($A21-AP$7))),((LN((Conductance_Eeq!AP20/MAX(Conductance_Eeq!AP$7:AP$27))))*(1.88E-23)*(25+273.15))/(EXP($A21-AP$7))))</f>
        <v>-1.5147774931190188E-39</v>
      </c>
      <c r="AQ21">
        <f>IF(ISBLANK(Conductance_Eeq!AQ20),"",IF(Conductance_Eeq!AQ20&lt;0,((LN(ABS(((Conductance_Eeq!AQ20/MAX(Conductance_Eeq!AQ$7:AQ$27)))))*(1.88E-23)*(25+273.15))/(EXP($A21-AQ$7))),((LN((Conductance_Eeq!AQ20/MAX(Conductance_Eeq!AQ$7:AQ$27))))*(1.88E-23)*(25+273.15))/(EXP($A21-AQ$7))))</f>
        <v>-1.0719888304919327E-38</v>
      </c>
      <c r="AR21">
        <f>IF(ISBLANK(Conductance_Eeq!AR20),"",IF(Conductance_Eeq!AR20&lt;0,((LN(ABS(((Conductance_Eeq!AR20/MAX(Conductance_Eeq!AR$7:AR$27)))))*(1.88E-23)*(25+273.15))/(EXP($A21-AR$7))),((LN((Conductance_Eeq!AR20/MAX(Conductance_Eeq!AR$7:AR$27))))*(1.88E-23)*(25+273.15))/(EXP($A21-AR$7))))</f>
        <v>-4.4668522260271938E-39</v>
      </c>
      <c r="AS21">
        <f>IF(ISBLANK(Conductance_Eeq!AS20),"",IF(Conductance_Eeq!AS20&lt;0,((LN(ABS(((Conductance_Eeq!AS20/MAX(Conductance_Eeq!AS$7:AS$27)))))*(1.88E-23)*(25+273.15))/(EXP($A21-AS$7))),((LN((Conductance_Eeq!AS20/MAX(Conductance_Eeq!AS$7:AS$27))))*(1.88E-23)*(25+273.15))/(EXP($A21-AS$7))))</f>
        <v>-2.6613397979207509E-39</v>
      </c>
      <c r="AT21">
        <f>IF(ISBLANK(Conductance_Eeq!AT20),"",IF(Conductance_Eeq!AT20&lt;0,((LN(ABS(((Conductance_Eeq!AT20/MAX(Conductance_Eeq!AT$7:AT$27)))))*(1.88E-23)*(25+273.15))/(EXP($A21-AT$7))),((LN((Conductance_Eeq!AT20/MAX(Conductance_Eeq!AT$7:AT$27))))*(1.88E-23)*(25+273.15))/(EXP($A21-AT$7))))</f>
        <v>-1.5138417630220669E-38</v>
      </c>
      <c r="AU21">
        <f>IF(ISBLANK(Conductance_Eeq!AU20),"",IF(Conductance_Eeq!AU20&lt;0,((LN(ABS(((Conductance_Eeq!AU20/MAX(Conductance_Eeq!AU$7:AU$27)))))*(1.88E-23)*(25+273.15))/(EXP($A21-AU$7))),((LN((Conductance_Eeq!AU20/MAX(Conductance_Eeq!AU$7:AU$27))))*(1.88E-23)*(25+273.15))/(EXP($A21-AU$7))))</f>
        <v>-2.5846430554420278E-39</v>
      </c>
      <c r="AV21">
        <f>IF(ISBLANK(Conductance_Eeq!AV20),"",IF(Conductance_Eeq!AV20&lt;0,((LN(ABS(((Conductance_Eeq!AV20/MAX(Conductance_Eeq!AV$7:AV$27)))))*(1.88E-23)*(25+273.15))/(EXP($A21-AV$7))),((LN((Conductance_Eeq!AV20/MAX(Conductance_Eeq!AV$7:AV$27))))*(1.88E-23)*(25+273.15))/(EXP($A21-AV$7))))</f>
        <v>-6.5437346484492862E-39</v>
      </c>
      <c r="AW21">
        <f>IF(ISBLANK(Conductance_Eeq!AW20),"",IF(Conductance_Eeq!AW20&lt;0,((LN(ABS(((Conductance_Eeq!AW20/MAX(Conductance_Eeq!AW$7:AW$27)))))*(1.88E-23)*(25+273.15))/(EXP($A21-AW$7))),((LN((Conductance_Eeq!AW20/MAX(Conductance_Eeq!AW$7:AW$27))))*(1.88E-23)*(25+273.15))/(EXP($A21-AW$7))))</f>
        <v>-1.40034368904367E-38</v>
      </c>
      <c r="AX21">
        <f>IF(ISBLANK(Conductance_Eeq!AX20),"",IF(Conductance_Eeq!AX20&lt;0,((LN(ABS(((Conductance_Eeq!AX20/MAX(Conductance_Eeq!AX$7:AX$27)))))*(1.88E-23)*(25+273.15))/(EXP($A21-AX$7))),((LN((Conductance_Eeq!AX20/MAX(Conductance_Eeq!AX$7:AX$27))))*(1.88E-23)*(25+273.15))/(EXP($A21-AX$7))))</f>
        <v>-3.2840646354492935E-38</v>
      </c>
      <c r="AY21">
        <f>IF(ISBLANK(Conductance_Eeq!AY20),"",IF(Conductance_Eeq!AY20&lt;0,((LN(ABS(((Conductance_Eeq!AY20/MAX(Conductance_Eeq!AY$7:AY$27)))))*(1.88E-23)*(25+273.15))/(EXP($A21-AY$7))),((LN((Conductance_Eeq!AY20/MAX(Conductance_Eeq!AY$7:AY$27))))*(1.88E-23)*(25+273.15))/(EXP($A21-AY$7))))</f>
        <v>-1.9434521849766785E-38</v>
      </c>
      <c r="AZ21">
        <f>IF(ISBLANK(Conductance_Eeq!AZ20),"",IF(Conductance_Eeq!AZ20&lt;0,((LN(ABS(((Conductance_Eeq!AZ20/MAX(Conductance_Eeq!AZ$7:AZ$27)))))*(1.88E-23)*(25+273.15))/(EXP($A21-AZ$7))),((LN((Conductance_Eeq!AZ20/MAX(Conductance_Eeq!AZ$7:AZ$27))))*(1.88E-23)*(25+273.15))/(EXP($A21-AZ$7))))</f>
        <v>-5.3103702247889797E-38</v>
      </c>
      <c r="BA21">
        <f>IF(ISBLANK(Conductance_Eeq!BA20),"",IF(Conductance_Eeq!BA20&lt;0,((LN(ABS(((Conductance_Eeq!BA20/MAX(Conductance_Eeq!BA$7:BA$27)))))*(1.88E-23)*(25+273.15))/(EXP($A21-BA$7))),((LN((Conductance_Eeq!BA20/MAX(Conductance_Eeq!BA$7:BA$27))))*(1.88E-23)*(25+273.15))/(EXP($A21-BA$7))))</f>
        <v>-3.4217510902440169E-38</v>
      </c>
      <c r="BB21">
        <f>IF(ISBLANK(Conductance_Eeq!BB20),"",IF(Conductance_Eeq!BB20&lt;0,((LN(ABS(((Conductance_Eeq!BB20/MAX(Conductance_Eeq!BB$7:BB$27)))))*(1.88E-23)*(25+273.15))/(EXP($A21-BB$7))),((LN((Conductance_Eeq!BB20/MAX(Conductance_Eeq!BB$7:BB$27))))*(1.88E-23)*(25+273.15))/(EXP($A21-BB$7))))</f>
        <v>-8.6183439003183704E-38</v>
      </c>
      <c r="BC21">
        <f>IF(ISBLANK(Conductance_Eeq!BC20),"",IF(Conductance_Eeq!BC20&lt;0,((LN(ABS(((Conductance_Eeq!BC20/MAX(Conductance_Eeq!BC$7:BC$27)))))*(1.88E-23)*(25+273.15))/(EXP($A21-BC$7))),((LN((Conductance_Eeq!BC20/MAX(Conductance_Eeq!BC$7:BC$27))))*(1.88E-23)*(25+273.15))/(EXP($A21-BC$7))))</f>
        <v>-2.1988730302543154E-39</v>
      </c>
      <c r="BD21">
        <f>IF(ISBLANK(Conductance_Eeq!BD20),"",IF(Conductance_Eeq!BD20&lt;0,((LN(ABS(((Conductance_Eeq!BD20/MAX(Conductance_Eeq!BD$7:BD$27)))))*(1.88E-23)*(25+273.15))/(EXP($A21-BD$7))),((LN((Conductance_Eeq!BD20/MAX(Conductance_Eeq!BD$7:BD$27))))*(1.88E-23)*(25+273.15))/(EXP($A21-BD$7))))</f>
        <v>-2.7453091664674629E-39</v>
      </c>
      <c r="BE21">
        <f>IF(ISBLANK(Conductance_Eeq!BE20),"",IF(Conductance_Eeq!BE20&lt;0,((LN(ABS(((Conductance_Eeq!BE20/MAX(Conductance_Eeq!BE$7:BE$27)))))*(1.88E-23)*(25+273.15))/(EXP($A21-BE$7))),((LN((Conductance_Eeq!BE20/MAX(Conductance_Eeq!BE$7:BE$27))))*(1.88E-23)*(25+273.15))/(EXP($A21-BE$7))))</f>
        <v>-7.2118784672154601E-39</v>
      </c>
      <c r="BF21">
        <f>IF(ISBLANK(Conductance_Eeq!BF20),"",IF(Conductance_Eeq!BF20&lt;0,((LN(ABS(((Conductance_Eeq!BF20/MAX(Conductance_Eeq!BF$7:BF$27)))))*(1.88E-23)*(25+273.15))/(EXP($A21-BF$7))),((LN((Conductance_Eeq!BF20/MAX(Conductance_Eeq!BF$7:BF$27))))*(1.88E-23)*(25+273.15))/(EXP($A21-BF$7))))</f>
        <v>-9.6730333182294614E-39</v>
      </c>
      <c r="BG21">
        <f>IF(ISBLANK(Conductance_Eeq!BG20),"",IF(Conductance_Eeq!BG20&lt;0,((LN(ABS(((Conductance_Eeq!BG20/MAX(Conductance_Eeq!BG$7:BG$27)))))*(1.88E-23)*(25+273.15))/(EXP($A21-BG$7))),((LN((Conductance_Eeq!BG20/MAX(Conductance_Eeq!BG$7:BG$27))))*(1.88E-23)*(25+273.15))/(EXP($A21-BG$7))))</f>
        <v>-8.5517999369178388E-38</v>
      </c>
      <c r="BH21">
        <f>IF(ISBLANK(Conductance_Eeq!BH20),"",IF(Conductance_Eeq!BH20&lt;0,((LN(ABS(((Conductance_Eeq!BH20/MAX(Conductance_Eeq!BH$7:BH$27)))))*(1.88E-23)*(25+273.15))/(EXP($A21-BH$7))),((LN((Conductance_Eeq!BH20/MAX(Conductance_Eeq!BH$7:BH$27))))*(1.88E-23)*(25+273.15))/(EXP($A21-BH$7))))</f>
        <v>-4.0492427175511557E-40</v>
      </c>
      <c r="BI21">
        <f>IF(ISBLANK(Conductance_Eeq!BI20),"",IF(Conductance_Eeq!BI20&lt;0,((LN(ABS(((Conductance_Eeq!BI20/MAX(Conductance_Eeq!BI$7:BI$27)))))*(1.88E-23)*(25+273.15))/(EXP($A21-BI$7))),((LN((Conductance_Eeq!BI20/MAX(Conductance_Eeq!BI$7:BI$27))))*(1.88E-23)*(25+273.15))/(EXP($A21-BI$7))))</f>
        <v>-2.2985457108592123E-39</v>
      </c>
      <c r="BJ21">
        <f>IF(ISBLANK(Conductance_Eeq!BJ20),"",IF(Conductance_Eeq!BJ20&lt;0,((LN(ABS(((Conductance_Eeq!BJ20/MAX(Conductance_Eeq!BJ$7:BJ$27)))))*(1.88E-23)*(25+273.15))/(EXP($A21-BJ$7))),((LN((Conductance_Eeq!BJ20/MAX(Conductance_Eeq!BJ$7:BJ$27))))*(1.88E-23)*(25+273.15))/(EXP($A21-BJ$7))))</f>
        <v>-8.1797786463324982E-39</v>
      </c>
      <c r="BK21">
        <f>IF(ISBLANK(Conductance_Eeq!BK20),"",IF(Conductance_Eeq!BK20&lt;0,((LN(ABS(((Conductance_Eeq!BK20/MAX(Conductance_Eeq!BK$7:BK$27)))))*(1.88E-23)*(25+273.15))/(EXP($A21-BK$7))),((LN((Conductance_Eeq!BK20/MAX(Conductance_Eeq!BK$7:BK$27))))*(1.88E-23)*(25+273.15))/(EXP($A21-BK$7))))</f>
        <v>-8.6934953932807734E-39</v>
      </c>
      <c r="BL21">
        <f>IF(ISBLANK(Conductance_Eeq!BL20),"",IF(Conductance_Eeq!BL20&lt;0,((LN(ABS(((Conductance_Eeq!BL20/MAX(Conductance_Eeq!BL$7:BL$27)))))*(1.88E-23)*(25+273.15))/(EXP($A21-BL$7))),((LN((Conductance_Eeq!BL20/MAX(Conductance_Eeq!BL$7:BL$27))))*(1.88E-23)*(25+273.15))/(EXP($A21-BL$7))))</f>
        <v>-9.0464239371211627E-39</v>
      </c>
      <c r="BM21">
        <f>IF(ISBLANK(Conductance_Eeq!BM20),"",IF(Conductance_Eeq!BM20&lt;0,((LN(ABS(((Conductance_Eeq!BM20/MAX(Conductance_Eeq!BM$7:BM$27)))))*(1.88E-23)*(25+273.15))/(EXP($A21-BM$7))),((LN((Conductance_Eeq!BM20/MAX(Conductance_Eeq!BM$7:BM$27))))*(1.88E-23)*(25+273.15))/(EXP($A21-BM$7))))</f>
        <v>-1.9721476636179212E-38</v>
      </c>
      <c r="BN21">
        <f>IF(ISBLANK(Conductance_Eeq!BN20),"",IF(Conductance_Eeq!BN20&lt;0,((LN(ABS(((Conductance_Eeq!BN20/MAX(Conductance_Eeq!BN$7:BN$27)))))*(1.88E-23)*(25+273.15))/(EXP($A21-BN$7))),((LN((Conductance_Eeq!BN20/MAX(Conductance_Eeq!BN$7:BN$27))))*(1.88E-23)*(25+273.15))/(EXP($A21-BN$7))))</f>
        <v>-4.8939427227552638E-40</v>
      </c>
      <c r="BO21">
        <f>IF(ISBLANK(Conductance_Eeq!BO20),"",IF(Conductance_Eeq!BO20&lt;0,((LN(ABS(((Conductance_Eeq!BO20/MAX(Conductance_Eeq!BO$7:BO$27)))))*(1.88E-23)*(25+273.15))/(EXP($A21-BO$7))),((LN((Conductance_Eeq!BO20/MAX(Conductance_Eeq!BO$7:BO$27))))*(1.88E-23)*(25+273.15))/(EXP($A21-BO$7))))</f>
        <v>-6.0101060929600274E-40</v>
      </c>
      <c r="BP21">
        <f>IF(ISBLANK(Conductance_Eeq!BP20),"",IF(Conductance_Eeq!BP20&lt;0,((LN(ABS(((Conductance_Eeq!BP20/MAX(Conductance_Eeq!BP$7:BP$27)))))*(1.88E-23)*(25+273.15))/(EXP($A21-BP$7))),((LN((Conductance_Eeq!BP20/MAX(Conductance_Eeq!BP$7:BP$27))))*(1.88E-23)*(25+273.15))/(EXP($A21-BP$7))))</f>
        <v>-4.5709032039982275E-39</v>
      </c>
      <c r="BQ21">
        <f>IF(ISBLANK(Conductance_Eeq!BQ20),"",IF(Conductance_Eeq!BQ20&lt;0,((LN(ABS(((Conductance_Eeq!BQ20/MAX(Conductance_Eeq!BQ$7:BQ$27)))))*(1.88E-23)*(25+273.15))/(EXP($A21-BQ$7))),((LN((Conductance_Eeq!BQ20/MAX(Conductance_Eeq!BQ$7:BQ$27))))*(1.88E-23)*(25+273.15))/(EXP($A21-BQ$7))))</f>
        <v>-2.089226102605404E-38</v>
      </c>
      <c r="BR21">
        <f>IF(ISBLANK(Conductance_Eeq!BR20),"",IF(Conductance_Eeq!BR20&lt;0,((LN(ABS(((Conductance_Eeq!BR20/MAX(Conductance_Eeq!BR$7:BR$27)))))*(1.88E-23)*(25+273.15))/(EXP($A21-BR$7))),((LN((Conductance_Eeq!BR20/MAX(Conductance_Eeq!BR$7:BR$27))))*(1.88E-23)*(25+273.15))/(EXP($A21-BR$7))))</f>
        <v>-1.8533215735097399E-39</v>
      </c>
      <c r="BS21">
        <f>IF(ISBLANK(Conductance_Eeq!BS20),"",IF(Conductance_Eeq!BS20&lt;0,((LN(ABS(((Conductance_Eeq!BS20/MAX(Conductance_Eeq!BS$7:BS$27)))))*(1.88E-23)*(25+273.15))/(EXP($A21-BS$7))),((LN((Conductance_Eeq!BS20/MAX(Conductance_Eeq!BS$7:BS$27))))*(1.88E-23)*(25+273.15))/(EXP($A21-BS$7))))</f>
        <v>-2.8446320457438084E-39</v>
      </c>
      <c r="BT21">
        <f>IF(ISBLANK(Conductance_Eeq!BT20),"",IF(Conductance_Eeq!BT20&lt;0,((LN(ABS(((Conductance_Eeq!BT20/MAX(Conductance_Eeq!BT$7:BT$27)))))*(1.88E-23)*(25+273.15))/(EXP($A21-BT$7))),((LN((Conductance_Eeq!BT20/MAX(Conductance_Eeq!BT$7:BT$27))))*(1.88E-23)*(25+273.15))/(EXP($A21-BT$7))))</f>
        <v>-1.4160152286097345E-38</v>
      </c>
      <c r="BU21">
        <f>IF(ISBLANK(Conductance_Eeq!BU20),"",IF(Conductance_Eeq!BU20&lt;0,((LN(ABS(((Conductance_Eeq!BU20/MAX(Conductance_Eeq!BU$7:BU$27)))))*(1.88E-23)*(25+273.15))/(EXP($A21-BU$7))),((LN((Conductance_Eeq!BU20/MAX(Conductance_Eeq!BU$7:BU$27))))*(1.88E-23)*(25+273.15))/(EXP($A21-BU$7))))</f>
        <v>-3.3790558416749499E-38</v>
      </c>
      <c r="BV21">
        <f>IF(ISBLANK(Conductance_Eeq!BV20),"",IF(Conductance_Eeq!BV20&lt;0,((LN(ABS(((Conductance_Eeq!BV20/MAX(Conductance_Eeq!BV$7:BV$27)))))*(1.88E-23)*(25+273.15))/(EXP($A21-BV$7))),((LN((Conductance_Eeq!BV20/MAX(Conductance_Eeq!BV$7:BV$27))))*(1.88E-23)*(25+273.15))/(EXP($A21-BV$7))))</f>
        <v>-8.1247530113314097E-39</v>
      </c>
      <c r="BW21">
        <f>IF(ISBLANK(Conductance_Eeq!BW20),"",IF(Conductance_Eeq!BW20&lt;0,((LN(ABS(((Conductance_Eeq!BW20/MAX(Conductance_Eeq!BW$7:BW$27)))))*(1.88E-23)*(25+273.15))/(EXP($A21-BW$7))),((LN((Conductance_Eeq!BW20/MAX(Conductance_Eeq!BW$7:BW$27))))*(1.88E-23)*(25+273.15))/(EXP($A21-BW$7))))</f>
        <v>-1.3517101981616341E-38</v>
      </c>
      <c r="BX21">
        <f>IF(ISBLANK(Conductance_Eeq!BX20),"",IF(Conductance_Eeq!BX20&lt;0,((LN(ABS(((Conductance_Eeq!BX20/MAX(Conductance_Eeq!BX$7:BX$27)))))*(1.88E-23)*(25+273.15))/(EXP($A21-BX$7))),((LN((Conductance_Eeq!BX20/MAX(Conductance_Eeq!BX$7:BX$27))))*(1.88E-23)*(25+273.15))/(EXP($A21-BX$7))))</f>
        <v>-1.0703538267067968E-38</v>
      </c>
      <c r="BY21" t="str">
        <f>IF(ISBLANK(Conductance_Eeq!BY20),"",IF(Conductance_Eeq!BY20&lt;0,((LN(ABS(((Conductance_Eeq!BY20/MAX(Conductance_Eeq!BY$7:BY$27)))))*(1.88E-23)*(25+273.15))/(EXP($A21-BY$7))),((LN((Conductance_Eeq!BY20/MAX(Conductance_Eeq!BY$7:BY$27))))*(1.88E-23)*(25+273.15))/(EXP($A21-BY$7))))</f>
        <v/>
      </c>
      <c r="BZ21">
        <f>IF(ISBLANK(Conductance_Eeq!BZ20),"",IF(Conductance_Eeq!BZ20&lt;0,((LN(ABS(((Conductance_Eeq!BZ20/MAX(Conductance_Eeq!BZ$7:BZ$27)))))*(1.88E-23)*(25+273.15))/(EXP($A21-BZ$7))),((LN((Conductance_Eeq!BZ20/MAX(Conductance_Eeq!BZ$7:BZ$27))))*(1.88E-23)*(25+273.15))/(EXP($A21-BZ$7))))</f>
        <v>-2.5396968674617512E-39</v>
      </c>
      <c r="CA21">
        <f>IF(ISBLANK(Conductance_Eeq!CA20),"",IF(Conductance_Eeq!CA20&lt;0,((LN(ABS(((Conductance_Eeq!CA20/MAX(Conductance_Eeq!CA$7:CA$27)))))*(1.88E-23)*(25+273.15))/(EXP($A21-CA$7))),((LN((Conductance_Eeq!CA20/MAX(Conductance_Eeq!CA$7:CA$27))))*(1.88E-23)*(25+273.15))/(EXP($A21-CA$7))))</f>
        <v>-9.4972715366073825E-39</v>
      </c>
      <c r="CB21">
        <f>IF(ISBLANK(Conductance_Eeq!CB20),"",IF(Conductance_Eeq!CB20&lt;0,((LN(ABS(((Conductance_Eeq!CB20/MAX(Conductance_Eeq!CB$7:CB$27)))))*(1.88E-23)*(25+273.15))/(EXP($A21-CB$7))),((LN((Conductance_Eeq!CB20/MAX(Conductance_Eeq!CB$7:CB$27))))*(1.88E-23)*(25+273.15))/(EXP($A21-CB$7))))</f>
        <v>-3.1236063323239422E-38</v>
      </c>
      <c r="CC21">
        <f>IF(ISBLANK(Conductance_Eeq!CC20),"",IF(Conductance_Eeq!CC20&lt;0,((LN(ABS(((Conductance_Eeq!CC20/MAX(Conductance_Eeq!CC$7:CC$27)))))*(1.88E-23)*(25+273.15))/(EXP($A21-CC$7))),((LN((Conductance_Eeq!CC20/MAX(Conductance_Eeq!CC$7:CC$27))))*(1.88E-23)*(25+273.15))/(EXP($A21-CC$7))))</f>
        <v>-8.4962581950358646E-37</v>
      </c>
      <c r="CD21">
        <f>IF(ISBLANK(Conductance_Eeq!CD20),"",IF(Conductance_Eeq!CD20&lt;0,((LN(ABS(((Conductance_Eeq!CD20/MAX(Conductance_Eeq!CD$7:CD$27)))))*(1.88E-23)*(25+273.15))/(EXP($A21-CD$7))),((LN((Conductance_Eeq!CD20/MAX(Conductance_Eeq!CD$7:CD$27))))*(1.88E-23)*(25+273.15))/(EXP($A21-CD$7))))</f>
        <v>-4.0369840878540656E-38</v>
      </c>
    </row>
    <row r="22" spans="1:82" x14ac:dyDescent="0.2">
      <c r="A22" s="3">
        <f t="shared" si="0"/>
        <v>60</v>
      </c>
      <c r="B22">
        <f>IF(ISBLANK(Conductance_Eeq!B21),"",IF(Conductance_Eeq!B21&lt;0,((LN(ABS(((Conductance_Eeq!B21/MAX(Conductance_Eeq!B$7:B$27)))))*(1.88E-23)*(25+273.15))/(EXP($A22-B$7))),((LN((Conductance_Eeq!B21/MAX(Conductance_Eeq!B$7:B$27))))*(1.88E-23)*(25+273.15))/(EXP($A22-B$7))))</f>
        <v>-4.5235321728244527E-43</v>
      </c>
      <c r="C22">
        <f>IF(ISBLANK(Conductance_Eeq!C21),"",IF(Conductance_Eeq!C21&lt;0,((LN(ABS(((Conductance_Eeq!C21/MAX(Conductance_Eeq!C$7:C$27)))))*(1.88E-23)*(25+273.15))/(EXP($A22-C$7))),((LN((Conductance_Eeq!C21/MAX(Conductance_Eeq!C$7:C$27))))*(1.88E-23)*(25+273.15))/(EXP($A22-C$7))))</f>
        <v>-9.9073839057401362E-43</v>
      </c>
      <c r="D22">
        <f>IF(ISBLANK(Conductance_Eeq!D21),"",IF(Conductance_Eeq!D21&lt;0,((LN(ABS(((Conductance_Eeq!D21/MAX(Conductance_Eeq!D$7:D$27)))))*(1.88E-23)*(25+273.15))/(EXP($A22-D$7))),((LN((Conductance_Eeq!D21/MAX(Conductance_Eeq!D$7:D$27))))*(1.88E-23)*(25+273.15))/(EXP($A22-D$7))))</f>
        <v>-3.0984950689619194E-43</v>
      </c>
      <c r="E22">
        <f>IF(ISBLANK(Conductance_Eeq!E21),"",IF(Conductance_Eeq!E21&lt;0,((LN(ABS(((Conductance_Eeq!E21/MAX(Conductance_Eeq!E$7:E$27)))))*(1.88E-23)*(25+273.15))/(EXP($A22-E$7))),((LN((Conductance_Eeq!E21/MAX(Conductance_Eeq!E$7:E$27))))*(1.88E-23)*(25+273.15))/(EXP($A22-E$7))))</f>
        <v>-1.0703574522545232E-43</v>
      </c>
      <c r="F22">
        <f>IF(ISBLANK(Conductance_Eeq!F21),"",IF(Conductance_Eeq!F21&lt;0,((LN(ABS(((Conductance_Eeq!F21/MAX(Conductance_Eeq!F$7:F$27)))))*(1.88E-23)*(25+273.15))/(EXP($A22-F$7))),((LN((Conductance_Eeq!F21/MAX(Conductance_Eeq!F$7:F$27))))*(1.88E-23)*(25+273.15))/(EXP($A22-F$7))))</f>
        <v>-3.0043842341661634E-42</v>
      </c>
      <c r="G22">
        <f>IF(ISBLANK(Conductance_Eeq!G21),"",IF(Conductance_Eeq!G21&lt;0,((LN(ABS(((Conductance_Eeq!G21/MAX(Conductance_Eeq!G$7:G$27)))))*(1.88E-23)*(25+273.15))/(EXP($A22-G$7))),((LN((Conductance_Eeq!G21/MAX(Conductance_Eeq!G$7:G$27))))*(1.88E-23)*(25+273.15))/(EXP($A22-G$7))))</f>
        <v>-3.0659447502917093E-42</v>
      </c>
      <c r="H22">
        <f>IF(ISBLANK(Conductance_Eeq!H21),"",IF(Conductance_Eeq!H21&lt;0,((LN(ABS(((Conductance_Eeq!H21/MAX(Conductance_Eeq!H$7:H$27)))))*(1.88E-23)*(25+273.15))/(EXP($A22-H$7))),((LN((Conductance_Eeq!H21/MAX(Conductance_Eeq!H$7:H$27))))*(1.88E-23)*(25+273.15))/(EXP($A22-H$7))))</f>
        <v>-1.4750937200673641E-42</v>
      </c>
      <c r="I22">
        <f>IF(ISBLANK(Conductance_Eeq!I21),"",IF(Conductance_Eeq!I21&lt;0,((LN(ABS(((Conductance_Eeq!I21/MAX(Conductance_Eeq!I$7:I$27)))))*(1.88E-23)*(25+273.15))/(EXP($A22-I$7))),((LN((Conductance_Eeq!I21/MAX(Conductance_Eeq!I$7:I$27))))*(1.88E-23)*(25+273.15))/(EXP($A22-I$7))))</f>
        <v>-1.2184468025199422E-44</v>
      </c>
      <c r="J22">
        <f>IF(ISBLANK(Conductance_Eeq!J21),"",IF(Conductance_Eeq!J21&lt;0,((LN(ABS(((Conductance_Eeq!J21/MAX(Conductance_Eeq!J$7:J$27)))))*(1.88E-23)*(25+273.15))/(EXP($A22-J$7))),((LN((Conductance_Eeq!J21/MAX(Conductance_Eeq!J$7:J$27))))*(1.88E-23)*(25+273.15))/(EXP($A22-J$7))))</f>
        <v>-2.0222808264616538E-44</v>
      </c>
      <c r="K22">
        <f>IF(ISBLANK(Conductance_Eeq!K21),"",IF(Conductance_Eeq!K21&lt;0,((LN(ABS(((Conductance_Eeq!K21/MAX(Conductance_Eeq!K$7:K$27)))))*(1.88E-23)*(25+273.15))/(EXP($A22-K$7))),((LN((Conductance_Eeq!K21/MAX(Conductance_Eeq!K$7:K$27))))*(1.88E-23)*(25+273.15))/(EXP($A22-K$7))))</f>
        <v>-6.7036273462579791E-43</v>
      </c>
      <c r="L22">
        <f>IF(ISBLANK(Conductance_Eeq!L21),"",IF(Conductance_Eeq!L21&lt;0,((LN(ABS(((Conductance_Eeq!L21/MAX(Conductance_Eeq!L$7:L$27)))))*(1.88E-23)*(25+273.15))/(EXP($A22-L$7))),((LN((Conductance_Eeq!L21/MAX(Conductance_Eeq!L$7:L$27))))*(1.88E-23)*(25+273.15))/(EXP($A22-L$7))))</f>
        <v>-1.5088032885297564E-43</v>
      </c>
      <c r="M22">
        <f>IF(ISBLANK(Conductance_Eeq!M21),"",IF(Conductance_Eeq!M21&lt;0,((LN(ABS(((Conductance_Eeq!M21/MAX(Conductance_Eeq!M$7:M$27)))))*(1.88E-23)*(25+273.15))/(EXP($A22-M$7))),((LN((Conductance_Eeq!M21/MAX(Conductance_Eeq!M$7:M$27))))*(1.88E-23)*(25+273.15))/(EXP($A22-M$7))))</f>
        <v>-4.6675157250679957E-44</v>
      </c>
      <c r="N22">
        <f>IF(ISBLANK(Conductance_Eeq!N21),"",IF(Conductance_Eeq!N21&lt;0,((LN(ABS(((Conductance_Eeq!N21/MAX(Conductance_Eeq!N$7:N$27)))))*(1.88E-23)*(25+273.15))/(EXP($A22-N$7))),((LN((Conductance_Eeq!N21/MAX(Conductance_Eeq!N$7:N$27))))*(1.88E-23)*(25+273.15))/(EXP($A22-N$7))))</f>
        <v>-7.2799727711021831E-45</v>
      </c>
      <c r="O22">
        <f>IF(ISBLANK(Conductance_Eeq!O21),"",IF(Conductance_Eeq!O21&lt;0,((LN(ABS(((Conductance_Eeq!O21/MAX(Conductance_Eeq!O$7:O$27)))))*(1.88E-23)*(25+273.15))/(EXP($A22-O$7))),((LN((Conductance_Eeq!O21/MAX(Conductance_Eeq!O$7:O$27))))*(1.88E-23)*(25+273.15))/(EXP($A22-O$7))))</f>
        <v>-5.0572691928314411E-44</v>
      </c>
      <c r="P22">
        <f>IF(ISBLANK(Conductance_Eeq!P21),"",IF(Conductance_Eeq!P21&lt;0,((LN(ABS(((Conductance_Eeq!P21/MAX(Conductance_Eeq!P$7:P$27)))))*(1.88E-23)*(25+273.15))/(EXP($A22-P$7))),((LN((Conductance_Eeq!P21/MAX(Conductance_Eeq!P$7:P$27))))*(1.88E-23)*(25+273.15))/(EXP($A22-P$7))))</f>
        <v>-2.2778060995019415E-44</v>
      </c>
      <c r="Q22">
        <f>IF(ISBLANK(Conductance_Eeq!Q21),"",IF(Conductance_Eeq!Q21&lt;0,((LN(ABS(((Conductance_Eeq!Q21/MAX(Conductance_Eeq!Q$7:Q$27)))))*(1.88E-23)*(25+273.15))/(EXP($A22-Q$7))),((LN((Conductance_Eeq!Q21/MAX(Conductance_Eeq!Q$7:Q$27))))*(1.88E-23)*(25+273.15))/(EXP($A22-Q$7))))</f>
        <v>-4.9547607931534408E-43</v>
      </c>
      <c r="R22">
        <f>IF(ISBLANK(Conductance_Eeq!R21),"",IF(Conductance_Eeq!R21&lt;0,((LN(ABS(((Conductance_Eeq!R21/MAX(Conductance_Eeq!R$7:R$27)))))*(1.88E-23)*(25+273.15))/(EXP($A22-R$7))),((LN((Conductance_Eeq!R21/MAX(Conductance_Eeq!R$7:R$27))))*(1.88E-23)*(25+273.15))/(EXP($A22-R$7))))</f>
        <v>-3.648842514262799E-43</v>
      </c>
      <c r="S22">
        <f>IF(ISBLANK(Conductance_Eeq!S21),"",IF(Conductance_Eeq!S21&lt;0,((LN(ABS(((Conductance_Eeq!S21/MAX(Conductance_Eeq!S$7:S$27)))))*(1.88E-23)*(25+273.15))/(EXP($A22-S$7))),((LN((Conductance_Eeq!S21/MAX(Conductance_Eeq!S$7:S$27))))*(1.88E-23)*(25+273.15))/(EXP($A22-S$7))))</f>
        <v>-7.4081660272794774E-43</v>
      </c>
      <c r="T22">
        <f>IF(ISBLANK(Conductance_Eeq!T21),"",IF(Conductance_Eeq!T21&lt;0,((LN(ABS(((Conductance_Eeq!T21/MAX(Conductance_Eeq!T$7:T$27)))))*(1.88E-23)*(25+273.15))/(EXP($A22-T$7))),((LN((Conductance_Eeq!T21/MAX(Conductance_Eeq!T$7:T$27))))*(1.88E-23)*(25+273.15))/(EXP($A22-T$7))))</f>
        <v>-3.333431661917622E-43</v>
      </c>
      <c r="U22">
        <f>IF(ISBLANK(Conductance_Eeq!U21),"",IF(Conductance_Eeq!U21&lt;0,((LN(ABS(((Conductance_Eeq!U21/MAX(Conductance_Eeq!U$7:U$27)))))*(1.88E-23)*(25+273.15))/(EXP($A22-U$7))),((LN((Conductance_Eeq!U21/MAX(Conductance_Eeq!U$7:U$27))))*(1.88E-23)*(25+273.15))/(EXP($A22-U$7))))</f>
        <v>-3.8612610547359755E-44</v>
      </c>
      <c r="V22">
        <f>IF(ISBLANK(Conductance_Eeq!V21),"",IF(Conductance_Eeq!V21&lt;0,((LN(ABS(((Conductance_Eeq!V21/MAX(Conductance_Eeq!V$7:V$27)))))*(1.88E-23)*(25+273.15))/(EXP($A22-V$7))),((LN((Conductance_Eeq!V21/MAX(Conductance_Eeq!V$7:V$27))))*(1.88E-23)*(25+273.15))/(EXP($A22-V$7))))</f>
        <v>-9.1146560752771817E-43</v>
      </c>
      <c r="W22">
        <f>IF(ISBLANK(Conductance_Eeq!W21),"",IF(Conductance_Eeq!W21&lt;0,((LN(ABS(((Conductance_Eeq!W21/MAX(Conductance_Eeq!W$7:W$27)))))*(1.88E-23)*(25+273.15))/(EXP($A22-W$7))),((LN((Conductance_Eeq!W21/MAX(Conductance_Eeq!W$7:W$27))))*(1.88E-23)*(25+273.15))/(EXP($A22-W$7))))</f>
        <v>-2.2585046834225679E-44</v>
      </c>
      <c r="X22">
        <f>IF(ISBLANK(Conductance_Eeq!X21),"",IF(Conductance_Eeq!X21&lt;0,((LN(ABS(((Conductance_Eeq!X21/MAX(Conductance_Eeq!X$7:X$27)))))*(1.88E-23)*(25+273.15))/(EXP($A22-X$7))),((LN((Conductance_Eeq!X21/MAX(Conductance_Eeq!X$7:X$27))))*(1.88E-23)*(25+273.15))/(EXP($A22-X$7))))</f>
        <v>-1.6786492009397096E-43</v>
      </c>
      <c r="Y22">
        <f>IF(ISBLANK(Conductance_Eeq!Y21),"",IF(Conductance_Eeq!Y21&lt;0,((LN(ABS(((Conductance_Eeq!Y21/MAX(Conductance_Eeq!Y$7:Y$27)))))*(1.88E-23)*(25+273.15))/(EXP($A22-Y$7))),((LN((Conductance_Eeq!Y21/MAX(Conductance_Eeq!Y$7:Y$27))))*(1.88E-23)*(25+273.15))/(EXP($A22-Y$7))))</f>
        <v>-1.588909378415229E-43</v>
      </c>
      <c r="Z22">
        <f>IF(ISBLANK(Conductance_Eeq!Z21),"",IF(Conductance_Eeq!Z21&lt;0,((LN(ABS(((Conductance_Eeq!Z21/MAX(Conductance_Eeq!Z$7:Z$27)))))*(1.88E-23)*(25+273.15))/(EXP($A22-Z$7))),((LN((Conductance_Eeq!Z21/MAX(Conductance_Eeq!Z$7:Z$27))))*(1.88E-23)*(25+273.15))/(EXP($A22-Z$7))))</f>
        <v>-1.5830615796120976E-42</v>
      </c>
      <c r="AA22">
        <f>IF(ISBLANK(Conductance_Eeq!AA21),"",IF(Conductance_Eeq!AA21&lt;0,((LN(ABS(((Conductance_Eeq!AA21/MAX(Conductance_Eeq!AA$7:AA$27)))))*(1.88E-23)*(25+273.15))/(EXP($A22-AA$7))),((LN((Conductance_Eeq!AA21/MAX(Conductance_Eeq!AA$7:AA$27))))*(1.88E-23)*(25+273.15))/(EXP($A22-AA$7))))</f>
        <v>-9.7931456216558101E-43</v>
      </c>
      <c r="AB22">
        <f>IF(ISBLANK(Conductance_Eeq!AB21),"",IF(Conductance_Eeq!AB21&lt;0,((LN(ABS(((Conductance_Eeq!AB21/MAX(Conductance_Eeq!AB$7:AB$27)))))*(1.88E-23)*(25+273.15))/(EXP($A22-AB$7))),((LN((Conductance_Eeq!AB21/MAX(Conductance_Eeq!AB$7:AB$27))))*(1.88E-23)*(25+273.15))/(EXP($A22-AB$7))))</f>
        <v>-1.3366961094966189E-43</v>
      </c>
      <c r="AC22">
        <f>IF(ISBLANK(Conductance_Eeq!AC21),"",IF(Conductance_Eeq!AC21&lt;0,((LN(ABS(((Conductance_Eeq!AC21/MAX(Conductance_Eeq!AC$7:AC$27)))))*(1.88E-23)*(25+273.15))/(EXP($A22-AC$7))),((LN((Conductance_Eeq!AC21/MAX(Conductance_Eeq!AC$7:AC$27))))*(1.88E-23)*(25+273.15))/(EXP($A22-AC$7))))</f>
        <v>-2.4289991479632368E-43</v>
      </c>
      <c r="AD22">
        <f>IF(ISBLANK(Conductance_Eeq!AD21),"",IF(Conductance_Eeq!AD21&lt;0,((LN(ABS(((Conductance_Eeq!AD21/MAX(Conductance_Eeq!AD$7:AD$27)))))*(1.88E-23)*(25+273.15))/(EXP($A22-AD$7))),((LN((Conductance_Eeq!AD21/MAX(Conductance_Eeq!AD$7:AD$27))))*(1.88E-23)*(25+273.15))/(EXP($A22-AD$7))))</f>
        <v>-2.0649088031212982E-43</v>
      </c>
      <c r="AE22">
        <f>IF(ISBLANK(Conductance_Eeq!AE21),"",IF(Conductance_Eeq!AE21&lt;0,((LN(ABS(((Conductance_Eeq!AE21/MAX(Conductance_Eeq!AE$7:AE$27)))))*(1.88E-23)*(25+273.15))/(EXP($A22-AE$7))),((LN((Conductance_Eeq!AE21/MAX(Conductance_Eeq!AE$7:AE$27))))*(1.88E-23)*(25+273.15))/(EXP($A22-AE$7))))</f>
        <v>-2.3361853216947727E-41</v>
      </c>
      <c r="AF22">
        <f>IF(ISBLANK(Conductance_Eeq!AF21),"",IF(Conductance_Eeq!AF21&lt;0,((LN(ABS(((Conductance_Eeq!AF21/MAX(Conductance_Eeq!AF$7:AF$27)))))*(1.88E-23)*(25+273.15))/(EXP($A22-AF$7))),((LN((Conductance_Eeq!AF21/MAX(Conductance_Eeq!AF$7:AF$27))))*(1.88E-23)*(25+273.15))/(EXP($A22-AF$7))))</f>
        <v>-1.4278532045482616E-42</v>
      </c>
      <c r="AG22">
        <f>IF(ISBLANK(Conductance_Eeq!AG21),"",IF(Conductance_Eeq!AG21&lt;0,((LN(ABS(((Conductance_Eeq!AG21/MAX(Conductance_Eeq!AG$7:AG$27)))))*(1.88E-23)*(25+273.15))/(EXP($A22-AG$7))),((LN((Conductance_Eeq!AG21/MAX(Conductance_Eeq!AG$7:AG$27))))*(1.88E-23)*(25+273.15))/(EXP($A22-AG$7))))</f>
        <v>-7.3742728785317418E-43</v>
      </c>
      <c r="AH22">
        <f>IF(ISBLANK(Conductance_Eeq!AH21),"",IF(Conductance_Eeq!AH21&lt;0,((LN(ABS(((Conductance_Eeq!AH21/MAX(Conductance_Eeq!AH$7:AH$27)))))*(1.88E-23)*(25+273.15))/(EXP($A22-AH$7))),((LN((Conductance_Eeq!AH21/MAX(Conductance_Eeq!AH$7:AH$27))))*(1.88E-23)*(25+273.15))/(EXP($A22-AH$7))))</f>
        <v>-3.6935401909004441E-43</v>
      </c>
      <c r="AI22">
        <f>IF(ISBLANK(Conductance_Eeq!AI21),"",IF(Conductance_Eeq!AI21&lt;0,((LN(ABS(((Conductance_Eeq!AI21/MAX(Conductance_Eeq!AI$7:AI$27)))))*(1.88E-23)*(25+273.15))/(EXP($A22-AI$7))),((LN((Conductance_Eeq!AI21/MAX(Conductance_Eeq!AI$7:AI$27))))*(1.88E-23)*(25+273.15))/(EXP($A22-AI$7))))</f>
        <v>-1.3812521731138437E-43</v>
      </c>
      <c r="AJ22">
        <f>IF(ISBLANK(Conductance_Eeq!AJ21),"",IF(Conductance_Eeq!AJ21&lt;0,((LN(ABS(((Conductance_Eeq!AJ21/MAX(Conductance_Eeq!AJ$7:AJ$27)))))*(1.88E-23)*(25+273.15))/(EXP($A22-AJ$7))),((LN((Conductance_Eeq!AJ21/MAX(Conductance_Eeq!AJ$7:AJ$27))))*(1.88E-23)*(25+273.15))/(EXP($A22-AJ$7))))</f>
        <v>-5.0360631039535782E-43</v>
      </c>
      <c r="AK22">
        <f>IF(ISBLANK(Conductance_Eeq!AK21),"",IF(Conductance_Eeq!AK21&lt;0,((LN(ABS(((Conductance_Eeq!AK21/MAX(Conductance_Eeq!AK$7:AK$27)))))*(1.88E-23)*(25+273.15))/(EXP($A22-AK$7))),((LN((Conductance_Eeq!AK21/MAX(Conductance_Eeq!AK$7:AK$27))))*(1.88E-23)*(25+273.15))/(EXP($A22-AK$7))))</f>
        <v>-3.4167541892836188E-43</v>
      </c>
      <c r="AL22">
        <f>IF(ISBLANK(Conductance_Eeq!AL21),"",IF(Conductance_Eeq!AL21&lt;0,((LN(ABS(((Conductance_Eeq!AL21/MAX(Conductance_Eeq!AL$7:AL$27)))))*(1.88E-23)*(25+273.15))/(EXP($A22-AL$7))),((LN((Conductance_Eeq!AL21/MAX(Conductance_Eeq!AL$7:AL$27))))*(1.88E-23)*(25+273.15))/(EXP($A22-AL$7))))</f>
        <v>-8.7504657675975501E-44</v>
      </c>
      <c r="AM22">
        <f>IF(ISBLANK(Conductance_Eeq!AM21),"",IF(Conductance_Eeq!AM21&lt;0,((LN(ABS(((Conductance_Eeq!AM21/MAX(Conductance_Eeq!AM$7:AM$27)))))*(1.88E-23)*(25+273.15))/(EXP($A22-AM$7))),((LN((Conductance_Eeq!AM21/MAX(Conductance_Eeq!AM$7:AM$27))))*(1.88E-23)*(25+273.15))/(EXP($A22-AM$7))))</f>
        <v>-2.252902950793394E-43</v>
      </c>
      <c r="AN22" t="str">
        <f>IF(ISBLANK(Conductance_Eeq!AN21),"",IF(Conductance_Eeq!AN21&lt;0,((LN(ABS(((Conductance_Eeq!AN21/MAX(Conductance_Eeq!AN$7:AN$27)))))*(1.88E-23)*(25+273.15))/(EXP($A22-AN$7))),((LN((Conductance_Eeq!AN21/MAX(Conductance_Eeq!AN$7:AN$27))))*(1.88E-23)*(25+273.15))/(EXP($A22-AN$7))))</f>
        <v/>
      </c>
      <c r="AO22">
        <f>IF(ISBLANK(Conductance_Eeq!AO21),"",IF(Conductance_Eeq!AO21&lt;0,((LN(ABS(((Conductance_Eeq!AO21/MAX(Conductance_Eeq!AO$7:AO$27)))))*(1.88E-23)*(25+273.15))/(EXP($A22-AO$7))),((LN((Conductance_Eeq!AO21/MAX(Conductance_Eeq!AO$7:AO$27))))*(1.88E-23)*(25+273.15))/(EXP($A22-AO$7))))</f>
        <v>-1.1225893245992457E-42</v>
      </c>
      <c r="AP22">
        <f>IF(ISBLANK(Conductance_Eeq!AP21),"",IF(Conductance_Eeq!AP21&lt;0,((LN(ABS(((Conductance_Eeq!AP21/MAX(Conductance_Eeq!AP$7:AP$27)))))*(1.88E-23)*(25+273.15))/(EXP($A22-AP$7))),((LN((Conductance_Eeq!AP21/MAX(Conductance_Eeq!AP$7:AP$27))))*(1.88E-23)*(25+273.15))/(EXP($A22-AP$7))))</f>
        <v>-2.9105812423513641E-44</v>
      </c>
      <c r="AQ22">
        <f>IF(ISBLANK(Conductance_Eeq!AQ21),"",IF(Conductance_Eeq!AQ21&lt;0,((LN(ABS(((Conductance_Eeq!AQ21/MAX(Conductance_Eeq!AQ$7:AQ$27)))))*(1.88E-23)*(25+273.15))/(EXP($A22-AQ$7))),((LN((Conductance_Eeq!AQ21/MAX(Conductance_Eeq!AQ$7:AQ$27))))*(1.88E-23)*(25+273.15))/(EXP($A22-AQ$7))))</f>
        <v>-6.7076414454636896E-43</v>
      </c>
      <c r="AR22">
        <f>IF(ISBLANK(Conductance_Eeq!AR21),"",IF(Conductance_Eeq!AR21&lt;0,((LN(ABS(((Conductance_Eeq!AR21/MAX(Conductance_Eeq!AR$7:AR$27)))))*(1.88E-23)*(25+273.15))/(EXP($A22-AR$7))),((LN((Conductance_Eeq!AR21/MAX(Conductance_Eeq!AR$7:AR$27))))*(1.88E-23)*(25+273.15))/(EXP($A22-AR$7))))</f>
        <v>-1.663057479792775E-43</v>
      </c>
      <c r="AS22">
        <f>IF(ISBLANK(Conductance_Eeq!AS21),"",IF(Conductance_Eeq!AS21&lt;0,((LN(ABS(((Conductance_Eeq!AS21/MAX(Conductance_Eeq!AS$7:AS$27)))))*(1.88E-23)*(25+273.15))/(EXP($A22-AS$7))),((LN((Conductance_Eeq!AS21/MAX(Conductance_Eeq!AS$7:AS$27))))*(1.88E-23)*(25+273.15))/(EXP($A22-AS$7))))</f>
        <v>-1.3355667482374046E-43</v>
      </c>
      <c r="AT22">
        <f>IF(ISBLANK(Conductance_Eeq!AT21),"",IF(Conductance_Eeq!AT21&lt;0,((LN(ABS(((Conductance_Eeq!AT21/MAX(Conductance_Eeq!AT$7:AT$27)))))*(1.88E-23)*(25+273.15))/(EXP($A22-AT$7))),((LN((Conductance_Eeq!AT21/MAX(Conductance_Eeq!AT$7:AT$27))))*(1.88E-23)*(25+273.15))/(EXP($A22-AT$7))))</f>
        <v>-1.0114633452378596E-42</v>
      </c>
      <c r="AU22">
        <f>IF(ISBLANK(Conductance_Eeq!AU21),"",IF(Conductance_Eeq!AU21&lt;0,((LN(ABS(((Conductance_Eeq!AU21/MAX(Conductance_Eeq!AU$7:AU$27)))))*(1.88E-23)*(25+273.15))/(EXP($A22-AU$7))),((LN((Conductance_Eeq!AU21/MAX(Conductance_Eeq!AU$7:AU$27))))*(1.88E-23)*(25+273.15))/(EXP($A22-AU$7))))</f>
        <v>-1.5765756815099006E-43</v>
      </c>
      <c r="AV22">
        <f>IF(ISBLANK(Conductance_Eeq!AV21),"",IF(Conductance_Eeq!AV21&lt;0,((LN(ABS(((Conductance_Eeq!AV21/MAX(Conductance_Eeq!AV$7:AV$27)))))*(1.88E-23)*(25+273.15))/(EXP($A22-AV$7))),((LN((Conductance_Eeq!AV21/MAX(Conductance_Eeq!AV$7:AV$27))))*(1.88E-23)*(25+273.15))/(EXP($A22-AV$7))))</f>
        <v>-2.6345866530402727E-43</v>
      </c>
      <c r="AW22">
        <f>IF(ISBLANK(Conductance_Eeq!AW21),"",IF(Conductance_Eeq!AW21&lt;0,((LN(ABS(((Conductance_Eeq!AW21/MAX(Conductance_Eeq!AW$7:AW$27)))))*(1.88E-23)*(25+273.15))/(EXP($A22-AW$7))),((LN((Conductance_Eeq!AW21/MAX(Conductance_Eeq!AW$7:AW$27))))*(1.88E-23)*(25+273.15))/(EXP($A22-AW$7))))</f>
        <v>-8.3428441518077455E-43</v>
      </c>
      <c r="AX22">
        <f>IF(ISBLANK(Conductance_Eeq!AX21),"",IF(Conductance_Eeq!AX21&lt;0,((LN(ABS(((Conductance_Eeq!AX21/MAX(Conductance_Eeq!AX$7:AX$27)))))*(1.88E-23)*(25+273.15))/(EXP($A22-AX$7))),((LN((Conductance_Eeq!AX21/MAX(Conductance_Eeq!AX$7:AX$27))))*(1.88E-23)*(25+273.15))/(EXP($A22-AX$7))))</f>
        <v>-1.6890264436760214E-42</v>
      </c>
      <c r="AY22">
        <f>IF(ISBLANK(Conductance_Eeq!AY21),"",IF(Conductance_Eeq!AY21&lt;0,((LN(ABS(((Conductance_Eeq!AY21/MAX(Conductance_Eeq!AY$7:AY$27)))))*(1.88E-23)*(25+273.15))/(EXP($A22-AY$7))),((LN((Conductance_Eeq!AY21/MAX(Conductance_Eeq!AY$7:AY$27))))*(1.88E-23)*(25+273.15))/(EXP($A22-AY$7))))</f>
        <v>-1.0433332574891841E-42</v>
      </c>
      <c r="AZ22">
        <f>IF(ISBLANK(Conductance_Eeq!AZ21),"",IF(Conductance_Eeq!AZ21&lt;0,((LN(ABS(((Conductance_Eeq!AZ21/MAX(Conductance_Eeq!AZ$7:AZ$27)))))*(1.88E-23)*(25+273.15))/(EXP($A22-AZ$7))),((LN((Conductance_Eeq!AZ21/MAX(Conductance_Eeq!AZ$7:AZ$27))))*(1.88E-23)*(25+273.15))/(EXP($A22-AZ$7))))</f>
        <v>-2.7529501341417658E-42</v>
      </c>
      <c r="BA22">
        <f>IF(ISBLANK(Conductance_Eeq!BA21),"",IF(Conductance_Eeq!BA21&lt;0,((LN(ABS(((Conductance_Eeq!BA21/MAX(Conductance_Eeq!BA$7:BA$27)))))*(1.88E-23)*(25+273.15))/(EXP($A22-BA$7))),((LN((Conductance_Eeq!BA21/MAX(Conductance_Eeq!BA$7:BA$27))))*(1.88E-23)*(25+273.15))/(EXP($A22-BA$7))))</f>
        <v>-1.8336022020355987E-42</v>
      </c>
      <c r="BB22">
        <f>IF(ISBLANK(Conductance_Eeq!BB21),"",IF(Conductance_Eeq!BB21&lt;0,((LN(ABS(((Conductance_Eeq!BB21/MAX(Conductance_Eeq!BB$7:BB$27)))))*(1.88E-23)*(25+273.15))/(EXP($A22-BB$7))),((LN((Conductance_Eeq!BB21/MAX(Conductance_Eeq!BB$7:BB$27))))*(1.88E-23)*(25+273.15))/(EXP($A22-BB$7))))</f>
        <v>-4.6972030050582855E-42</v>
      </c>
      <c r="BC22">
        <f>IF(ISBLANK(Conductance_Eeq!BC21),"",IF(Conductance_Eeq!BC21&lt;0,((LN(ABS(((Conductance_Eeq!BC21/MAX(Conductance_Eeq!BC$7:BC$27)))))*(1.88E-23)*(25+273.15))/(EXP($A22-BC$7))),((LN((Conductance_Eeq!BC21/MAX(Conductance_Eeq!BC$7:BC$27))))*(1.88E-23)*(25+273.15))/(EXP($A22-BC$7))))</f>
        <v>-7.0698078138951113E-44</v>
      </c>
      <c r="BD22">
        <f>IF(ISBLANK(Conductance_Eeq!BD21),"",IF(Conductance_Eeq!BD21&lt;0,((LN(ABS(((Conductance_Eeq!BD21/MAX(Conductance_Eeq!BD$7:BD$27)))))*(1.88E-23)*(25+273.15))/(EXP($A22-BD$7))),((LN((Conductance_Eeq!BD21/MAX(Conductance_Eeq!BD$7:BD$27))))*(1.88E-23)*(25+273.15))/(EXP($A22-BD$7))))</f>
        <v>-9.5763398287043138E-44</v>
      </c>
      <c r="BE22">
        <f>IF(ISBLANK(Conductance_Eeq!BE21),"",IF(Conductance_Eeq!BE21&lt;0,((LN(ABS(((Conductance_Eeq!BE21/MAX(Conductance_Eeq!BE$7:BE$27)))))*(1.88E-23)*(25+273.15))/(EXP($A22-BE$7))),((LN((Conductance_Eeq!BE21/MAX(Conductance_Eeq!BE$7:BE$27))))*(1.88E-23)*(25+273.15))/(EXP($A22-BE$7))))</f>
        <v>-3.9540785325068997E-43</v>
      </c>
      <c r="BF22" t="str">
        <f>IF(ISBLANK(Conductance_Eeq!BF21),"",IF(Conductance_Eeq!BF21&lt;0,((LN(ABS(((Conductance_Eeq!BF21/MAX(Conductance_Eeq!BF$7:BF$27)))))*(1.88E-23)*(25+273.15))/(EXP($A22-BF$7))),((LN((Conductance_Eeq!BF21/MAX(Conductance_Eeq!BF$7:BF$27))))*(1.88E-23)*(25+273.15))/(EXP($A22-BF$7))))</f>
        <v/>
      </c>
      <c r="BG22">
        <f>IF(ISBLANK(Conductance_Eeq!BG21),"",IF(Conductance_Eeq!BG21&lt;0,((LN(ABS(((Conductance_Eeq!BG21/MAX(Conductance_Eeq!BG$7:BG$27)))))*(1.88E-23)*(25+273.15))/(EXP($A22-BG$7))),((LN((Conductance_Eeq!BG21/MAX(Conductance_Eeq!BG$7:BG$27))))*(1.88E-23)*(25+273.15))/(EXP($A22-BG$7))))</f>
        <v>-4.8839111770829583E-42</v>
      </c>
      <c r="BH22">
        <f>IF(ISBLANK(Conductance_Eeq!BH21),"",IF(Conductance_Eeq!BH21&lt;0,((LN(ABS(((Conductance_Eeq!BH21/MAX(Conductance_Eeq!BH$7:BH$27)))))*(1.88E-23)*(25+273.15))/(EXP($A22-BH$7))),((LN((Conductance_Eeq!BH21/MAX(Conductance_Eeq!BH$7:BH$27))))*(1.88E-23)*(25+273.15))/(EXP($A22-BH$7))))</f>
        <v>-2.5269317439315905E-44</v>
      </c>
      <c r="BI22">
        <f>IF(ISBLANK(Conductance_Eeq!BI21),"",IF(Conductance_Eeq!BI21&lt;0,((LN(ABS(((Conductance_Eeq!BI21/MAX(Conductance_Eeq!BI$7:BI$27)))))*(1.88E-23)*(25+273.15))/(EXP($A22-BI$7))),((LN((Conductance_Eeq!BI21/MAX(Conductance_Eeq!BI$7:BI$27))))*(1.88E-23)*(25+273.15))/(EXP($A22-BI$7))))</f>
        <v>-1.5950473853590171E-43</v>
      </c>
      <c r="BJ22">
        <f>IF(ISBLANK(Conductance_Eeq!BJ21),"",IF(Conductance_Eeq!BJ21&lt;0,((LN(ABS(((Conductance_Eeq!BJ21/MAX(Conductance_Eeq!BJ$7:BJ$27)))))*(1.88E-23)*(25+273.15))/(EXP($A22-BJ$7))),((LN((Conductance_Eeq!BJ21/MAX(Conductance_Eeq!BJ$7:BJ$27))))*(1.88E-23)*(25+273.15))/(EXP($A22-BJ$7))))</f>
        <v>-4.8756159937351849E-43</v>
      </c>
      <c r="BK22">
        <f>IF(ISBLANK(Conductance_Eeq!BK21),"",IF(Conductance_Eeq!BK21&lt;0,((LN(ABS(((Conductance_Eeq!BK21/MAX(Conductance_Eeq!BK$7:BK$27)))))*(1.88E-23)*(25+273.15))/(EXP($A22-BK$7))),((LN((Conductance_Eeq!BK21/MAX(Conductance_Eeq!BK$7:BK$27))))*(1.88E-23)*(25+273.15))/(EXP($A22-BK$7))))</f>
        <v>-5.3994773779810908E-43</v>
      </c>
      <c r="BL22">
        <f>IF(ISBLANK(Conductance_Eeq!BL21),"",IF(Conductance_Eeq!BL21&lt;0,((LN(ABS(((Conductance_Eeq!BL21/MAX(Conductance_Eeq!BL$7:BL$27)))))*(1.88E-23)*(25+273.15))/(EXP($A22-BL$7))),((LN((Conductance_Eeq!BL21/MAX(Conductance_Eeq!BL$7:BL$27))))*(1.88E-23)*(25+273.15))/(EXP($A22-BL$7))))</f>
        <v>-3.0330471926744786E-43</v>
      </c>
      <c r="BM22">
        <f>IF(ISBLANK(Conductance_Eeq!BM21),"",IF(Conductance_Eeq!BM21&lt;0,((LN(ABS(((Conductance_Eeq!BM21/MAX(Conductance_Eeq!BM$7:BM$27)))))*(1.88E-23)*(25+273.15))/(EXP($A22-BM$7))),((LN((Conductance_Eeq!BM21/MAX(Conductance_Eeq!BM$7:BM$27))))*(1.88E-23)*(25+273.15))/(EXP($A22-BM$7))))</f>
        <v>-1.0859011292155728E-42</v>
      </c>
      <c r="BN22">
        <f>IF(ISBLANK(Conductance_Eeq!BN21),"",IF(Conductance_Eeq!BN21&lt;0,((LN(ABS(((Conductance_Eeq!BN21/MAX(Conductance_Eeq!BN$7:BN$27)))))*(1.88E-23)*(25+273.15))/(EXP($A22-BN$7))),((LN((Conductance_Eeq!BN21/MAX(Conductance_Eeq!BN$7:BN$27))))*(1.88E-23)*(25+273.15))/(EXP($A22-BN$7))))</f>
        <v>-1.6799694935884838E-44</v>
      </c>
      <c r="BO22">
        <f>IF(ISBLANK(Conductance_Eeq!BO21),"",IF(Conductance_Eeq!BO21&lt;0,((LN(ABS(((Conductance_Eeq!BO21/MAX(Conductance_Eeq!BO$7:BO$27)))))*(1.88E-23)*(25+273.15))/(EXP($A22-BO$7))),((LN((Conductance_Eeq!BO21/MAX(Conductance_Eeq!BO$7:BO$27))))*(1.88E-23)*(25+273.15))/(EXP($A22-BO$7))))</f>
        <v>-3.0614577360882905E-44</v>
      </c>
      <c r="BP22">
        <f>IF(ISBLANK(Conductance_Eeq!BP21),"",IF(Conductance_Eeq!BP21&lt;0,((LN(ABS(((Conductance_Eeq!BP21/MAX(Conductance_Eeq!BP$7:BP$27)))))*(1.88E-23)*(25+273.15))/(EXP($A22-BP$7))),((LN((Conductance_Eeq!BP21/MAX(Conductance_Eeq!BP$7:BP$27))))*(1.88E-23)*(25+273.15))/(EXP($A22-BP$7))))</f>
        <v>-2.3673880965508581E-43</v>
      </c>
      <c r="BQ22">
        <f>IF(ISBLANK(Conductance_Eeq!BQ21),"",IF(Conductance_Eeq!BQ21&lt;0,((LN(ABS(((Conductance_Eeq!BQ21/MAX(Conductance_Eeq!BQ$7:BQ$27)))))*(1.88E-23)*(25+273.15))/(EXP($A22-BQ$7))),((LN((Conductance_Eeq!BQ21/MAX(Conductance_Eeq!BQ$7:BQ$27))))*(1.88E-23)*(25+273.15))/(EXP($A22-BQ$7))))</f>
        <v>-1.0255787784146738E-42</v>
      </c>
      <c r="BR22">
        <f>IF(ISBLANK(Conductance_Eeq!BR21),"",IF(Conductance_Eeq!BR21&lt;0,((LN(ABS(((Conductance_Eeq!BR21/MAX(Conductance_Eeq!BR$7:BR$27)))))*(1.88E-23)*(25+273.15))/(EXP($A22-BR$7))),((LN((Conductance_Eeq!BR21/MAX(Conductance_Eeq!BR$7:BR$27))))*(1.88E-23)*(25+273.15))/(EXP($A22-BR$7))))</f>
        <v>-7.4925678333728079E-44</v>
      </c>
      <c r="BS22">
        <f>IF(ISBLANK(Conductance_Eeq!BS21),"",IF(Conductance_Eeq!BS21&lt;0,((LN(ABS(((Conductance_Eeq!BS21/MAX(Conductance_Eeq!BS$7:BS$27)))))*(1.88E-23)*(25+273.15))/(EXP($A22-BS$7))),((LN((Conductance_Eeq!BS21/MAX(Conductance_Eeq!BS$7:BS$27))))*(1.88E-23)*(25+273.15))/(EXP($A22-BS$7))))</f>
        <v>-1.1505073868337616E-43</v>
      </c>
      <c r="BT22">
        <f>IF(ISBLANK(Conductance_Eeq!BT21),"",IF(Conductance_Eeq!BT21&lt;0,((LN(ABS(((Conductance_Eeq!BT21/MAX(Conductance_Eeq!BT$7:BT$27)))))*(1.88E-23)*(25+273.15))/(EXP($A22-BT$7))),((LN((Conductance_Eeq!BT21/MAX(Conductance_Eeq!BT$7:BT$27))))*(1.88E-23)*(25+273.15))/(EXP($A22-BT$7))))</f>
        <v>-8.4588525646756679E-43</v>
      </c>
      <c r="BU22">
        <f>IF(ISBLANK(Conductance_Eeq!BU21),"",IF(Conductance_Eeq!BU21&lt;0,((LN(ABS(((Conductance_Eeq!BU21/MAX(Conductance_Eeq!BU$7:BU$27)))))*(1.88E-23)*(25+273.15))/(EXP($A22-BU$7))),((LN((Conductance_Eeq!BU21/MAX(Conductance_Eeq!BU$7:BU$27))))*(1.88E-23)*(25+273.15))/(EXP($A22-BU$7))))</f>
        <v>-1.7768534101874372E-42</v>
      </c>
      <c r="BV22">
        <f>IF(ISBLANK(Conductance_Eeq!BV21),"",IF(Conductance_Eeq!BV21&lt;0,((LN(ABS(((Conductance_Eeq!BV21/MAX(Conductance_Eeq!BV$7:BV$27)))))*(1.88E-23)*(25+273.15))/(EXP($A22-BV$7))),((LN((Conductance_Eeq!BV21/MAX(Conductance_Eeq!BV$7:BV$27))))*(1.88E-23)*(25+273.15))/(EXP($A22-BV$7))))</f>
        <v>-2.4653077226493913E-43</v>
      </c>
      <c r="BW22">
        <f>IF(ISBLANK(Conductance_Eeq!BW21),"",IF(Conductance_Eeq!BW21&lt;0,((LN(ABS(((Conductance_Eeq!BW21/MAX(Conductance_Eeq!BW$7:BW$27)))))*(1.88E-23)*(25+273.15))/(EXP($A22-BW$7))),((LN((Conductance_Eeq!BW21/MAX(Conductance_Eeq!BW$7:BW$27))))*(1.88E-23)*(25+273.15))/(EXP($A22-BW$7))))</f>
        <v>-8.051471421767406E-43</v>
      </c>
      <c r="BX22">
        <f>IF(ISBLANK(Conductance_Eeq!BX21),"",IF(Conductance_Eeq!BX21&lt;0,((LN(ABS(((Conductance_Eeq!BX21/MAX(Conductance_Eeq!BX$7:BX$27)))))*(1.88E-23)*(25+273.15))/(EXP($A22-BX$7))),((LN((Conductance_Eeq!BX21/MAX(Conductance_Eeq!BX$7:BX$27))))*(1.88E-23)*(25+273.15))/(EXP($A22-BX$7))))</f>
        <v>-5.5606026193879749E-43</v>
      </c>
      <c r="BY22" t="str">
        <f>IF(ISBLANK(Conductance_Eeq!BY21),"",IF(Conductance_Eeq!BY21&lt;0,((LN(ABS(((Conductance_Eeq!BY21/MAX(Conductance_Eeq!BY$7:BY$27)))))*(1.88E-23)*(25+273.15))/(EXP($A22-BY$7))),((LN((Conductance_Eeq!BY21/MAX(Conductance_Eeq!BY$7:BY$27))))*(1.88E-23)*(25+273.15))/(EXP($A22-BY$7))))</f>
        <v/>
      </c>
      <c r="BZ22">
        <f>IF(ISBLANK(Conductance_Eeq!BZ21),"",IF(Conductance_Eeq!BZ21&lt;0,((LN(ABS(((Conductance_Eeq!BZ21/MAX(Conductance_Eeq!BZ$7:BZ$27)))))*(1.88E-23)*(25+273.15))/(EXP($A22-BZ$7))),((LN((Conductance_Eeq!BZ21/MAX(Conductance_Eeq!BZ$7:BZ$27))))*(1.88E-23)*(25+273.15))/(EXP($A22-BZ$7))))</f>
        <v>-1.2319940479738483E-43</v>
      </c>
      <c r="CA22">
        <f>IF(ISBLANK(Conductance_Eeq!CA21),"",IF(Conductance_Eeq!CA21&lt;0,((LN(ABS(((Conductance_Eeq!CA21/MAX(Conductance_Eeq!CA$7:CA$27)))))*(1.88E-23)*(25+273.15))/(EXP($A22-CA$7))),((LN((Conductance_Eeq!CA21/MAX(Conductance_Eeq!CA$7:CA$27))))*(1.88E-23)*(25+273.15))/(EXP($A22-CA$7))))</f>
        <v>-3.3578042568272644E-43</v>
      </c>
      <c r="CB22">
        <f>IF(ISBLANK(Conductance_Eeq!CB21),"",IF(Conductance_Eeq!CB21&lt;0,((LN(ABS(((Conductance_Eeq!CB21/MAX(Conductance_Eeq!CB$7:CB$27)))))*(1.88E-23)*(25+273.15))/(EXP($A22-CB$7))),((LN((Conductance_Eeq!CB21/MAX(Conductance_Eeq!CB$7:CB$27))))*(1.88E-23)*(25+273.15))/(EXP($A22-CB$7))))</f>
        <v>-1.8957409377939788E-42</v>
      </c>
      <c r="CC22">
        <f>IF(ISBLANK(Conductance_Eeq!CC21),"",IF(Conductance_Eeq!CC21&lt;0,((LN(ABS(((Conductance_Eeq!CC21/MAX(Conductance_Eeq!CC$7:CC$27)))))*(1.88E-23)*(25+273.15))/(EXP($A22-CC$7))),((LN((Conductance_Eeq!CC21/MAX(Conductance_Eeq!CC$7:CC$27))))*(1.88E-23)*(25+273.15))/(EXP($A22-CC$7))))</f>
        <v>-5.9322669480374213E-41</v>
      </c>
      <c r="CD22">
        <f>IF(ISBLANK(Conductance_Eeq!CD21),"",IF(Conductance_Eeq!CD21&lt;0,((LN(ABS(((Conductance_Eeq!CD21/MAX(Conductance_Eeq!CD$7:CD$27)))))*(1.88E-23)*(25+273.15))/(EXP($A22-CD$7))),((LN((Conductance_Eeq!CD21/MAX(Conductance_Eeq!CD$7:CD$27))))*(1.88E-23)*(25+273.15))/(EXP($A22-CD$7))))</f>
        <v>-2.3233034076503269E-42</v>
      </c>
    </row>
    <row r="23" spans="1:82" x14ac:dyDescent="0.2">
      <c r="A23" s="3">
        <f t="shared" si="0"/>
        <v>70</v>
      </c>
      <c r="B23">
        <f>IF(ISBLANK(Conductance_Eeq!B22),"",IF(Conductance_Eeq!B22&lt;0,((LN(ABS(((Conductance_Eeq!B22/MAX(Conductance_Eeq!B$7:B$27)))))*(1.88E-23)*(25+273.15))/(EXP($A23-B$7))),((LN((Conductance_Eeq!B22/MAX(Conductance_Eeq!B$7:B$27))))*(1.88E-23)*(25+273.15))/(EXP($A23-B$7))))</f>
        <v>-3.7841575212205758E-47</v>
      </c>
      <c r="C23">
        <f>IF(ISBLANK(Conductance_Eeq!C22),"",IF(Conductance_Eeq!C22&lt;0,((LN(ABS(((Conductance_Eeq!C22/MAX(Conductance_Eeq!C$7:C$27)))))*(1.88E-23)*(25+273.15))/(EXP($A23-C$7))),((LN((Conductance_Eeq!C22/MAX(Conductance_Eeq!C$7:C$27))))*(1.88E-23)*(25+273.15))/(EXP($A23-C$7))))</f>
        <v>-5.0097253074515792E-47</v>
      </c>
      <c r="D23">
        <f>IF(ISBLANK(Conductance_Eeq!D22),"",IF(Conductance_Eeq!D22&lt;0,((LN(ABS(((Conductance_Eeq!D22/MAX(Conductance_Eeq!D$7:D$27)))))*(1.88E-23)*(25+273.15))/(EXP($A23-D$7))),((LN((Conductance_Eeq!D22/MAX(Conductance_Eeq!D$7:D$27))))*(1.88E-23)*(25+273.15))/(EXP($A23-D$7))))</f>
        <v>-1.3436887678219399E-47</v>
      </c>
      <c r="E23">
        <f>IF(ISBLANK(Conductance_Eeq!E22),"",IF(Conductance_Eeq!E22&lt;0,((LN(ABS(((Conductance_Eeq!E22/MAX(Conductance_Eeq!E$7:E$27)))))*(1.88E-23)*(25+273.15))/(EXP($A23-E$7))),((LN((Conductance_Eeq!E22/MAX(Conductance_Eeq!E$7:E$27))))*(1.88E-23)*(25+273.15))/(EXP($A23-E$7))))</f>
        <v>-4.7377715819430612E-48</v>
      </c>
      <c r="F23">
        <f>IF(ISBLANK(Conductance_Eeq!F22),"",IF(Conductance_Eeq!F22&lt;0,((LN(ABS(((Conductance_Eeq!F22/MAX(Conductance_Eeq!F$7:F$27)))))*(1.88E-23)*(25+273.15))/(EXP($A23-F$7))),((LN((Conductance_Eeq!F22/MAX(Conductance_Eeq!F$7:F$27))))*(1.88E-23)*(25+273.15))/(EXP($A23-F$7))))</f>
        <v>-1.3473178136354531E-46</v>
      </c>
      <c r="G23">
        <f>IF(ISBLANK(Conductance_Eeq!G22),"",IF(Conductance_Eeq!G22&lt;0,((LN(ABS(((Conductance_Eeq!G22/MAX(Conductance_Eeq!G$7:G$27)))))*(1.88E-23)*(25+273.15))/(EXP($A23-G$7))),((LN((Conductance_Eeq!G22/MAX(Conductance_Eeq!G$7:G$27))))*(1.88E-23)*(25+273.15))/(EXP($A23-G$7))))</f>
        <v>-1.3473301037396449E-46</v>
      </c>
      <c r="H23">
        <f>IF(ISBLANK(Conductance_Eeq!H22),"",IF(Conductance_Eeq!H22&lt;0,((LN(ABS(((Conductance_Eeq!H22/MAX(Conductance_Eeq!H$7:H$27)))))*(1.88E-23)*(25+273.15))/(EXP($A23-H$7))),((LN((Conductance_Eeq!H22/MAX(Conductance_Eeq!H$7:H$27))))*(1.88E-23)*(25+273.15))/(EXP($A23-H$7))))</f>
        <v>-7.3282297958519783E-47</v>
      </c>
      <c r="I23">
        <f>IF(ISBLANK(Conductance_Eeq!I22),"",IF(Conductance_Eeq!I22&lt;0,((LN(ABS(((Conductance_Eeq!I22/MAX(Conductance_Eeq!I$7:I$27)))))*(1.88E-23)*(25+273.15))/(EXP($A23-I$7))),((LN((Conductance_Eeq!I22/MAX(Conductance_Eeq!I$7:I$27))))*(1.88E-23)*(25+273.15))/(EXP($A23-I$7))))</f>
        <v>-4.6492342941180246E-49</v>
      </c>
      <c r="J23">
        <f>IF(ISBLANK(Conductance_Eeq!J22),"",IF(Conductance_Eeq!J22&lt;0,((LN(ABS(((Conductance_Eeq!J22/MAX(Conductance_Eeq!J$7:J$27)))))*(1.88E-23)*(25+273.15))/(EXP($A23-J$7))),((LN((Conductance_Eeq!J22/MAX(Conductance_Eeq!J$7:J$27))))*(1.88E-23)*(25+273.15))/(EXP($A23-J$7))))</f>
        <v>-9.509952330221911E-49</v>
      </c>
      <c r="K23">
        <f>IF(ISBLANK(Conductance_Eeq!K22),"",IF(Conductance_Eeq!K22&lt;0,((LN(ABS(((Conductance_Eeq!K22/MAX(Conductance_Eeq!K$7:K$27)))))*(1.88E-23)*(25+273.15))/(EXP($A23-K$7))),((LN((Conductance_Eeq!K22/MAX(Conductance_Eeq!K$7:K$27))))*(1.88E-23)*(25+273.15))/(EXP($A23-K$7))))</f>
        <v>-3.4564118576024468E-47</v>
      </c>
      <c r="L23">
        <f>IF(ISBLANK(Conductance_Eeq!L22),"",IF(Conductance_Eeq!L22&lt;0,((LN(ABS(((Conductance_Eeq!L22/MAX(Conductance_Eeq!L$7:L$27)))))*(1.88E-23)*(25+273.15))/(EXP($A23-L$7))),((LN((Conductance_Eeq!L22/MAX(Conductance_Eeq!L$7:L$27))))*(1.88E-23)*(25+273.15))/(EXP($A23-L$7))))</f>
        <v>-6.6086390659757858E-48</v>
      </c>
      <c r="M23">
        <f>IF(ISBLANK(Conductance_Eeq!M22),"",IF(Conductance_Eeq!M22&lt;0,((LN(ABS(((Conductance_Eeq!M22/MAX(Conductance_Eeq!M$7:M$27)))))*(1.88E-23)*(25+273.15))/(EXP($A23-M$7))),((LN((Conductance_Eeq!M22/MAX(Conductance_Eeq!M$7:M$27))))*(1.88E-23)*(25+273.15))/(EXP($A23-M$7))))</f>
        <v>-2.5506736042720034E-48</v>
      </c>
      <c r="N23">
        <f>IF(ISBLANK(Conductance_Eeq!N22),"",IF(Conductance_Eeq!N22&lt;0,((LN(ABS(((Conductance_Eeq!N22/MAX(Conductance_Eeq!N$7:N$27)))))*(1.88E-23)*(25+273.15))/(EXP($A23-N$7))),((LN((Conductance_Eeq!N22/MAX(Conductance_Eeq!N$7:N$27))))*(1.88E-23)*(25+273.15))/(EXP($A23-N$7))))</f>
        <v>-2.2752291545616068E-49</v>
      </c>
      <c r="O23">
        <f>IF(ISBLANK(Conductance_Eeq!O22),"",IF(Conductance_Eeq!O22&lt;0,((LN(ABS(((Conductance_Eeq!O22/MAX(Conductance_Eeq!O$7:O$27)))))*(1.88E-23)*(25+273.15))/(EXP($A23-O$7))),((LN((Conductance_Eeq!O22/MAX(Conductance_Eeq!O$7:O$27))))*(1.88E-23)*(25+273.15))/(EXP($A23-O$7))))</f>
        <v>-2.0892543262775631E-48</v>
      </c>
      <c r="P23">
        <f>IF(ISBLANK(Conductance_Eeq!P22),"",IF(Conductance_Eeq!P22&lt;0,((LN(ABS(((Conductance_Eeq!P22/MAX(Conductance_Eeq!P$7:P$27)))))*(1.88E-23)*(25+273.15))/(EXP($A23-P$7))),((LN((Conductance_Eeq!P22/MAX(Conductance_Eeq!P$7:P$27))))*(1.88E-23)*(25+273.15))/(EXP($A23-P$7))))</f>
        <v>-1.0293282195842915E-48</v>
      </c>
      <c r="Q23">
        <f>IF(ISBLANK(Conductance_Eeq!Q22),"",IF(Conductance_Eeq!Q22&lt;0,((LN(ABS(((Conductance_Eeq!Q22/MAX(Conductance_Eeq!Q$7:Q$27)))))*(1.88E-23)*(25+273.15))/(EXP($A23-Q$7))),((LN((Conductance_Eeq!Q22/MAX(Conductance_Eeq!Q$7:Q$27))))*(1.88E-23)*(25+273.15))/(EXP($A23-Q$7))))</f>
        <v>-2.3606220016518814E-47</v>
      </c>
      <c r="R23">
        <f>IF(ISBLANK(Conductance_Eeq!R22),"",IF(Conductance_Eeq!R22&lt;0,((LN(ABS(((Conductance_Eeq!R22/MAX(Conductance_Eeq!R$7:R$27)))))*(1.88E-23)*(25+273.15))/(EXP($A23-R$7))),((LN((Conductance_Eeq!R22/MAX(Conductance_Eeq!R$7:R$27))))*(1.88E-23)*(25+273.15))/(EXP($A23-R$7))))</f>
        <v>-1.0148246733934148E-47</v>
      </c>
      <c r="S23">
        <f>IF(ISBLANK(Conductance_Eeq!S22),"",IF(Conductance_Eeq!S22&lt;0,((LN(ABS(((Conductance_Eeq!S22/MAX(Conductance_Eeq!S$7:S$27)))))*(1.88E-23)*(25+273.15))/(EXP($A23-S$7))),((LN((Conductance_Eeq!S22/MAX(Conductance_Eeq!S$7:S$27))))*(1.88E-23)*(25+273.15))/(EXP($A23-S$7))))</f>
        <v>-4.3878941067672298E-47</v>
      </c>
      <c r="T23">
        <f>IF(ISBLANK(Conductance_Eeq!T22),"",IF(Conductance_Eeq!T22&lt;0,((LN(ABS(((Conductance_Eeq!T22/MAX(Conductance_Eeq!T$7:T$27)))))*(1.88E-23)*(25+273.15))/(EXP($A23-T$7))),((LN((Conductance_Eeq!T22/MAX(Conductance_Eeq!T$7:T$27))))*(1.88E-23)*(25+273.15))/(EXP($A23-T$7))))</f>
        <v>-1.5178412465894942E-47</v>
      </c>
      <c r="U23">
        <f>IF(ISBLANK(Conductance_Eeq!U22),"",IF(Conductance_Eeq!U22&lt;0,((LN(ABS(((Conductance_Eeq!U22/MAX(Conductance_Eeq!U$7:U$27)))))*(1.88E-23)*(25+273.15))/(EXP($A23-U$7))),((LN((Conductance_Eeq!U22/MAX(Conductance_Eeq!U$7:U$27))))*(1.88E-23)*(25+273.15))/(EXP($A23-U$7))))</f>
        <v>-1.9109742800861362E-48</v>
      </c>
      <c r="V23">
        <f>IF(ISBLANK(Conductance_Eeq!V22),"",IF(Conductance_Eeq!V22&lt;0,((LN(ABS(((Conductance_Eeq!V22/MAX(Conductance_Eeq!V$7:V$27)))))*(1.88E-23)*(25+273.15))/(EXP($A23-V$7))),((LN((Conductance_Eeq!V22/MAX(Conductance_Eeq!V$7:V$27))))*(1.88E-23)*(25+273.15))/(EXP($A23-V$7))))</f>
        <v>-4.8217845006402904E-47</v>
      </c>
      <c r="W23">
        <f>IF(ISBLANK(Conductance_Eeq!W22),"",IF(Conductance_Eeq!W22&lt;0,((LN(ABS(((Conductance_Eeq!W22/MAX(Conductance_Eeq!W$7:W$27)))))*(1.88E-23)*(25+273.15))/(EXP($A23-W$7))),((LN((Conductance_Eeq!W22/MAX(Conductance_Eeq!W$7:W$27))))*(1.88E-23)*(25+273.15))/(EXP($A23-W$7))))</f>
        <v>-1.6220811609350959E-48</v>
      </c>
      <c r="X23">
        <f>IF(ISBLANK(Conductance_Eeq!X22),"",IF(Conductance_Eeq!X22&lt;0,((LN(ABS(((Conductance_Eeq!X22/MAX(Conductance_Eeq!X$7:X$27)))))*(1.88E-23)*(25+273.15))/(EXP($A23-X$7))),((LN((Conductance_Eeq!X22/MAX(Conductance_Eeq!X$7:X$27))))*(1.88E-23)*(25+273.15))/(EXP($A23-X$7))))</f>
        <v>-7.7931896159831458E-48</v>
      </c>
      <c r="Y23">
        <f>IF(ISBLANK(Conductance_Eeq!Y22),"",IF(Conductance_Eeq!Y22&lt;0,((LN(ABS(((Conductance_Eeq!Y22/MAX(Conductance_Eeq!Y$7:Y$27)))))*(1.88E-23)*(25+273.15))/(EXP($A23-Y$7))),((LN((Conductance_Eeq!Y22/MAX(Conductance_Eeq!Y$7:Y$27))))*(1.88E-23)*(25+273.15))/(EXP($A23-Y$7))))</f>
        <v>-6.9626941418238045E-48</v>
      </c>
      <c r="Z23">
        <f>IF(ISBLANK(Conductance_Eeq!Z22),"",IF(Conductance_Eeq!Z22&lt;0,((LN(ABS(((Conductance_Eeq!Z22/MAX(Conductance_Eeq!Z$7:Z$27)))))*(1.88E-23)*(25+273.15))/(EXP($A23-Z$7))),((LN((Conductance_Eeq!Z22/MAX(Conductance_Eeq!Z$7:Z$27))))*(1.88E-23)*(25+273.15))/(EXP($A23-Z$7))))</f>
        <v>-8.373382208196192E-47</v>
      </c>
      <c r="AA23">
        <f>IF(ISBLANK(Conductance_Eeq!AA22),"",IF(Conductance_Eeq!AA22&lt;0,((LN(ABS(((Conductance_Eeq!AA22/MAX(Conductance_Eeq!AA$7:AA$27)))))*(1.88E-23)*(25+273.15))/(EXP($A23-AA$7))),((LN((Conductance_Eeq!AA22/MAX(Conductance_Eeq!AA$7:AA$27))))*(1.88E-23)*(25+273.15))/(EXP($A23-AA$7))))</f>
        <v>-4.4251181419849215E-47</v>
      </c>
      <c r="AB23">
        <f>IF(ISBLANK(Conductance_Eeq!AB22),"",IF(Conductance_Eeq!AB22&lt;0,((LN(ABS(((Conductance_Eeq!AB22/MAX(Conductance_Eeq!AB$7:AB$27)))))*(1.88E-23)*(25+273.15))/(EXP($A23-AB$7))),((LN((Conductance_Eeq!AB22/MAX(Conductance_Eeq!AB$7:AB$27))))*(1.88E-23)*(25+273.15))/(EXP($A23-AB$7))))</f>
        <v>-4.3242622178006833E-48</v>
      </c>
      <c r="AC23">
        <f>IF(ISBLANK(Conductance_Eeq!AC22),"",IF(Conductance_Eeq!AC22&lt;0,((LN(ABS(((Conductance_Eeq!AC22/MAX(Conductance_Eeq!AC$7:AC$27)))))*(1.88E-23)*(25+273.15))/(EXP($A23-AC$7))),((LN((Conductance_Eeq!AC22/MAX(Conductance_Eeq!AC$7:AC$27))))*(1.88E-23)*(25+273.15))/(EXP($A23-AC$7))))</f>
        <v>-1.3582773337481099E-47</v>
      </c>
      <c r="AD23">
        <f>IF(ISBLANK(Conductance_Eeq!AD22),"",IF(Conductance_Eeq!AD22&lt;0,((LN(ABS(((Conductance_Eeq!AD22/MAX(Conductance_Eeq!AD$7:AD$27)))))*(1.88E-23)*(25+273.15))/(EXP($A23-AD$7))),((LN((Conductance_Eeq!AD22/MAX(Conductance_Eeq!AD$7:AD$27))))*(1.88E-23)*(25+273.15))/(EXP($A23-AD$7))))</f>
        <v>-7.7181064411201017E-48</v>
      </c>
      <c r="AE23">
        <f>IF(ISBLANK(Conductance_Eeq!AE22),"",IF(Conductance_Eeq!AE22&lt;0,((LN(ABS(((Conductance_Eeq!AE22/MAX(Conductance_Eeq!AE$7:AE$27)))))*(1.88E-23)*(25+273.15))/(EXP($A23-AE$7))),((LN((Conductance_Eeq!AE22/MAX(Conductance_Eeq!AE$7:AE$27))))*(1.88E-23)*(25+273.15))/(EXP($A23-AE$7))))</f>
        <v>-1.287882321573955E-45</v>
      </c>
      <c r="AF23">
        <f>IF(ISBLANK(Conductance_Eeq!AF22),"",IF(Conductance_Eeq!AF22&lt;0,((LN(ABS(((Conductance_Eeq!AF22/MAX(Conductance_Eeq!AF$7:AF$27)))))*(1.88E-23)*(25+273.15))/(EXP($A23-AF$7))),((LN((Conductance_Eeq!AF22/MAX(Conductance_Eeq!AF$7:AF$27))))*(1.88E-23)*(25+273.15))/(EXP($A23-AF$7))))</f>
        <v>-7.7913984559568841E-47</v>
      </c>
      <c r="AG23">
        <f>IF(ISBLANK(Conductance_Eeq!AG22),"",IF(Conductance_Eeq!AG22&lt;0,((LN(ABS(((Conductance_Eeq!AG22/MAX(Conductance_Eeq!AG$7:AG$27)))))*(1.88E-23)*(25+273.15))/(EXP($A23-AG$7))),((LN((Conductance_Eeq!AG22/MAX(Conductance_Eeq!AG$7:AG$27))))*(1.88E-23)*(25+273.15))/(EXP($A23-AG$7))))</f>
        <v>-3.9866149230157869E-47</v>
      </c>
      <c r="AH23">
        <f>IF(ISBLANK(Conductance_Eeq!AH22),"",IF(Conductance_Eeq!AH22&lt;0,((LN(ABS(((Conductance_Eeq!AH22/MAX(Conductance_Eeq!AH$7:AH$27)))))*(1.88E-23)*(25+273.15))/(EXP($A23-AH$7))),((LN((Conductance_Eeq!AH22/MAX(Conductance_Eeq!AH$7:AH$27))))*(1.88E-23)*(25+273.15))/(EXP($A23-AH$7))))</f>
        <v>-2.7662186638728315E-47</v>
      </c>
      <c r="AI23">
        <f>IF(ISBLANK(Conductance_Eeq!AI22),"",IF(Conductance_Eeq!AI22&lt;0,((LN(ABS(((Conductance_Eeq!AI22/MAX(Conductance_Eeq!AI$7:AI$27)))))*(1.88E-23)*(25+273.15))/(EXP($A23-AI$7))),((LN((Conductance_Eeq!AI22/MAX(Conductance_Eeq!AI$7:AI$27))))*(1.88E-23)*(25+273.15))/(EXP($A23-AI$7))))</f>
        <v>-5.427151575765229E-48</v>
      </c>
      <c r="AJ23">
        <f>IF(ISBLANK(Conductance_Eeq!AJ22),"",IF(Conductance_Eeq!AJ22&lt;0,((LN(ABS(((Conductance_Eeq!AJ22/MAX(Conductance_Eeq!AJ$7:AJ$27)))))*(1.88E-23)*(25+273.15))/(EXP($A23-AJ$7))),((LN((Conductance_Eeq!AJ22/MAX(Conductance_Eeq!AJ$7:AJ$27))))*(1.88E-23)*(25+273.15))/(EXP($A23-AJ$7))))</f>
        <v>-2.6704814948477999E-47</v>
      </c>
      <c r="AK23">
        <f>IF(ISBLANK(Conductance_Eeq!AK22),"",IF(Conductance_Eeq!AK22&lt;0,((LN(ABS(((Conductance_Eeq!AK22/MAX(Conductance_Eeq!AK$7:AK$27)))))*(1.88E-23)*(25+273.15))/(EXP($A23-AK$7))),((LN((Conductance_Eeq!AK22/MAX(Conductance_Eeq!AK$7:AK$27))))*(1.88E-23)*(25+273.15))/(EXP($A23-AK$7))))</f>
        <v>-1.1230743039162922E-47</v>
      </c>
      <c r="AL23">
        <f>IF(ISBLANK(Conductance_Eeq!AL22),"",IF(Conductance_Eeq!AL22&lt;0,((LN(ABS(((Conductance_Eeq!AL22/MAX(Conductance_Eeq!AL$7:AL$27)))))*(1.88E-23)*(25+273.15))/(EXP($A23-AL$7))),((LN((Conductance_Eeq!AL22/MAX(Conductance_Eeq!AL$7:AL$27))))*(1.88E-23)*(25+273.15))/(EXP($A23-AL$7))))</f>
        <v>-4.2522376844669374E-48</v>
      </c>
      <c r="AM23">
        <f>IF(ISBLANK(Conductance_Eeq!AM22),"",IF(Conductance_Eeq!AM22&lt;0,((LN(ABS(((Conductance_Eeq!AM22/MAX(Conductance_Eeq!AM$7:AM$27)))))*(1.88E-23)*(25+273.15))/(EXP($A23-AM$7))),((LN((Conductance_Eeq!AM22/MAX(Conductance_Eeq!AM$7:AM$27))))*(1.88E-23)*(25+273.15))/(EXP($A23-AM$7))))</f>
        <v>-7.6115074339439133E-48</v>
      </c>
      <c r="AN23" t="str">
        <f>IF(ISBLANK(Conductance_Eeq!AN22),"",IF(Conductance_Eeq!AN22&lt;0,((LN(ABS(((Conductance_Eeq!AN22/MAX(Conductance_Eeq!AN$7:AN$27)))))*(1.88E-23)*(25+273.15))/(EXP($A23-AN$7))),((LN((Conductance_Eeq!AN22/MAX(Conductance_Eeq!AN$7:AN$27))))*(1.88E-23)*(25+273.15))/(EXP($A23-AN$7))))</f>
        <v/>
      </c>
      <c r="AO23">
        <f>IF(ISBLANK(Conductance_Eeq!AO22),"",IF(Conductance_Eeq!AO22&lt;0,((LN(ABS(((Conductance_Eeq!AO22/MAX(Conductance_Eeq!AO$7:AO$27)))))*(1.88E-23)*(25+273.15))/(EXP($A23-AO$7))),((LN((Conductance_Eeq!AO22/MAX(Conductance_Eeq!AO$7:AO$27))))*(1.88E-23)*(25+273.15))/(EXP($A23-AO$7))))</f>
        <v>-2.8697171171206741E-47</v>
      </c>
      <c r="AP23">
        <f>IF(ISBLANK(Conductance_Eeq!AP22),"",IF(Conductance_Eeq!AP22&lt;0,((LN(ABS(((Conductance_Eeq!AP22/MAX(Conductance_Eeq!AP$7:AP$27)))))*(1.88E-23)*(25+273.15))/(EXP($A23-AP$7))),((LN((Conductance_Eeq!AP22/MAX(Conductance_Eeq!AP$7:AP$27))))*(1.88E-23)*(25+273.15))/(EXP($A23-AP$7))))</f>
        <v>-2.6629359632591451E-48</v>
      </c>
      <c r="AQ23">
        <f>IF(ISBLANK(Conductance_Eeq!AQ22),"",IF(Conductance_Eeq!AQ22&lt;0,((LN(ABS(((Conductance_Eeq!AQ22/MAX(Conductance_Eeq!AQ$7:AQ$27)))))*(1.88E-23)*(25+273.15))/(EXP($A23-AQ$7))),((LN((Conductance_Eeq!AQ22/MAX(Conductance_Eeq!AQ$7:AQ$27))))*(1.88E-23)*(25+273.15))/(EXP($A23-AQ$7))))</f>
        <v>-2.1951872289764617E-47</v>
      </c>
      <c r="AR23">
        <f>IF(ISBLANK(Conductance_Eeq!AR22),"",IF(Conductance_Eeq!AR22&lt;0,((LN(ABS(((Conductance_Eeq!AR22/MAX(Conductance_Eeq!AR$7:AR$27)))))*(1.88E-23)*(25+273.15))/(EXP($A23-AR$7))),((LN((Conductance_Eeq!AR22/MAX(Conductance_Eeq!AR$7:AR$27))))*(1.88E-23)*(25+273.15))/(EXP($A23-AR$7))))</f>
        <v>-5.6935444881500545E-48</v>
      </c>
      <c r="AS23">
        <f>IF(ISBLANK(Conductance_Eeq!AS22),"",IF(Conductance_Eeq!AS22&lt;0,((LN(ABS(((Conductance_Eeq!AS22/MAX(Conductance_Eeq!AS$7:AS$27)))))*(1.88E-23)*(25+273.15))/(EXP($A23-AS$7))),((LN((Conductance_Eeq!AS22/MAX(Conductance_Eeq!AS$7:AS$27))))*(1.88E-23)*(25+273.15))/(EXP($A23-AS$7))))</f>
        <v>-9.0282967584129617E-48</v>
      </c>
      <c r="AT23">
        <f>IF(ISBLANK(Conductance_Eeq!AT22),"",IF(Conductance_Eeq!AT22&lt;0,((LN(ABS(((Conductance_Eeq!AT22/MAX(Conductance_Eeq!AT$7:AT$27)))))*(1.88E-23)*(25+273.15))/(EXP($A23-AT$7))),((LN((Conductance_Eeq!AT22/MAX(Conductance_Eeq!AT$7:AT$27))))*(1.88E-23)*(25+273.15))/(EXP($A23-AT$7))))</f>
        <v>-4.5734131851345649E-47</v>
      </c>
      <c r="AU23">
        <f>IF(ISBLANK(Conductance_Eeq!AU22),"",IF(Conductance_Eeq!AU22&lt;0,((LN(ABS(((Conductance_Eeq!AU22/MAX(Conductance_Eeq!AU$7:AU$27)))))*(1.88E-23)*(25+273.15))/(EXP($A23-AU$7))),((LN((Conductance_Eeq!AU22/MAX(Conductance_Eeq!AU$7:AU$27))))*(1.88E-23)*(25+273.15))/(EXP($A23-AU$7))))</f>
        <v>-7.8691254790536161E-48</v>
      </c>
      <c r="AV23">
        <f>IF(ISBLANK(Conductance_Eeq!AV22),"",IF(Conductance_Eeq!AV22&lt;0,((LN(ABS(((Conductance_Eeq!AV22/MAX(Conductance_Eeq!AV$7:AV$27)))))*(1.88E-23)*(25+273.15))/(EXP($A23-AV$7))),((LN((Conductance_Eeq!AV22/MAX(Conductance_Eeq!AV$7:AV$27))))*(1.88E-23)*(25+273.15))/(EXP($A23-AV$7))))</f>
        <v>-1.8367480254182573E-47</v>
      </c>
      <c r="AW23">
        <f>IF(ISBLANK(Conductance_Eeq!AW22),"",IF(Conductance_Eeq!AW22&lt;0,((LN(ABS(((Conductance_Eeq!AW22/MAX(Conductance_Eeq!AW$7:AW$27)))))*(1.88E-23)*(25+273.15))/(EXP($A23-AW$7))),((LN((Conductance_Eeq!AW22/MAX(Conductance_Eeq!AW$7:AW$27))))*(1.88E-23)*(25+273.15))/(EXP($A23-AW$7))))</f>
        <v>-4.1118248944698181E-47</v>
      </c>
      <c r="AX23">
        <f>IF(ISBLANK(Conductance_Eeq!AX22),"",IF(Conductance_Eeq!AX22&lt;0,((LN(ABS(((Conductance_Eeq!AX22/MAX(Conductance_Eeq!AX$7:AX$27)))))*(1.88E-23)*(25+273.15))/(EXP($A23-AX$7))),((LN((Conductance_Eeq!AX22/MAX(Conductance_Eeq!AX$7:AX$27))))*(1.88E-23)*(25+273.15))/(EXP($A23-AX$7))))</f>
        <v>-9.2651418365432519E-47</v>
      </c>
      <c r="AY23">
        <f>IF(ISBLANK(Conductance_Eeq!AY22),"",IF(Conductance_Eeq!AY22&lt;0,((LN(ABS(((Conductance_Eeq!AY22/MAX(Conductance_Eeq!AY$7:AY$27)))))*(1.88E-23)*(25+273.15))/(EXP($A23-AY$7))),((LN((Conductance_Eeq!AY22/MAX(Conductance_Eeq!AY$7:AY$27))))*(1.88E-23)*(25+273.15))/(EXP($A23-AY$7))))</f>
        <v>-3.4390325356458547E-47</v>
      </c>
      <c r="AZ23">
        <f>IF(ISBLANK(Conductance_Eeq!AZ22),"",IF(Conductance_Eeq!AZ22&lt;0,((LN(ABS(((Conductance_Eeq!AZ22/MAX(Conductance_Eeq!AZ$7:AZ$27)))))*(1.88E-23)*(25+273.15))/(EXP($A23-AZ$7))),((LN((Conductance_Eeq!AZ22/MAX(Conductance_Eeq!AZ$7:AZ$27))))*(1.88E-23)*(25+273.15))/(EXP($A23-AZ$7))))</f>
        <v>-1.5415721090945104E-46</v>
      </c>
      <c r="BA23">
        <f>IF(ISBLANK(Conductance_Eeq!BA22),"",IF(Conductance_Eeq!BA22&lt;0,((LN(ABS(((Conductance_Eeq!BA22/MAX(Conductance_Eeq!BA$7:BA$27)))))*(1.88E-23)*(25+273.15))/(EXP($A23-BA$7))),((LN((Conductance_Eeq!BA22/MAX(Conductance_Eeq!BA$7:BA$27))))*(1.88E-23)*(25+273.15))/(EXP($A23-BA$7))))</f>
        <v>-1.0272635848653519E-46</v>
      </c>
      <c r="BB23">
        <f>IF(ISBLANK(Conductance_Eeq!BB22),"",IF(Conductance_Eeq!BB22&lt;0,((LN(ABS(((Conductance_Eeq!BB22/MAX(Conductance_Eeq!BB$7:BB$27)))))*(1.88E-23)*(25+273.15))/(EXP($A23-BB$7))),((LN((Conductance_Eeq!BB22/MAX(Conductance_Eeq!BB$7:BB$27))))*(1.88E-23)*(25+273.15))/(EXP($A23-BB$7))))</f>
        <v>-1.0981977358754784E-46</v>
      </c>
      <c r="BC23">
        <f>IF(ISBLANK(Conductance_Eeq!BC22),"",IF(Conductance_Eeq!BC22&lt;0,((LN(ABS(((Conductance_Eeq!BC22/MAX(Conductance_Eeq!BC$7:BC$27)))))*(1.88E-23)*(25+273.15))/(EXP($A23-BC$7))),((LN((Conductance_Eeq!BC22/MAX(Conductance_Eeq!BC$7:BC$27))))*(1.88E-23)*(25+273.15))/(EXP($A23-BC$7))))</f>
        <v>-3.1727560637685105E-48</v>
      </c>
      <c r="BD23">
        <f>IF(ISBLANK(Conductance_Eeq!BD22),"",IF(Conductance_Eeq!BD22&lt;0,((LN(ABS(((Conductance_Eeq!BD22/MAX(Conductance_Eeq!BD$7:BD$27)))))*(1.88E-23)*(25+273.15))/(EXP($A23-BD$7))),((LN((Conductance_Eeq!BD22/MAX(Conductance_Eeq!BD$7:BD$27))))*(1.88E-23)*(25+273.15))/(EXP($A23-BD$7))))</f>
        <v>-5.9433624602691879E-48</v>
      </c>
      <c r="BE23">
        <f>IF(ISBLANK(Conductance_Eeq!BE22),"",IF(Conductance_Eeq!BE22&lt;0,((LN(ABS(((Conductance_Eeq!BE22/MAX(Conductance_Eeq!BE$7:BE$27)))))*(1.88E-23)*(25+273.15))/(EXP($A23-BE$7))),((LN((Conductance_Eeq!BE22/MAX(Conductance_Eeq!BE$7:BE$27))))*(1.88E-23)*(25+273.15))/(EXP($A23-BE$7))))</f>
        <v>-2.1784096468929084E-47</v>
      </c>
      <c r="BF23">
        <f>IF(ISBLANK(Conductance_Eeq!BF22),"",IF(Conductance_Eeq!BF22&lt;0,((LN(ABS(((Conductance_Eeq!BF22/MAX(Conductance_Eeq!BF$7:BF$27)))))*(1.88E-23)*(25+273.15))/(EXP($A23-BF$7))),((LN((Conductance_Eeq!BF22/MAX(Conductance_Eeq!BF$7:BF$27))))*(1.88E-23)*(25+273.15))/(EXP($A23-BF$7))))</f>
        <v>-2.0050511582825458E-47</v>
      </c>
      <c r="BG23">
        <f>IF(ISBLANK(Conductance_Eeq!BG22),"",IF(Conductance_Eeq!BG22&lt;0,((LN(ABS(((Conductance_Eeq!BG22/MAX(Conductance_Eeq!BG$7:BG$27)))))*(1.88E-23)*(25+273.15))/(EXP($A23-BG$7))),((LN((Conductance_Eeq!BG22/MAX(Conductance_Eeq!BG$7:BG$27))))*(1.88E-23)*(25+273.15))/(EXP($A23-BG$7))))</f>
        <v>-3.0922683470972937E-46</v>
      </c>
      <c r="BH23">
        <f>IF(ISBLANK(Conductance_Eeq!BH22),"",IF(Conductance_Eeq!BH22&lt;0,((LN(ABS(((Conductance_Eeq!BH22/MAX(Conductance_Eeq!BH$7:BH$27)))))*(1.88E-23)*(25+273.15))/(EXP($A23-BH$7))),((LN((Conductance_Eeq!BH22/MAX(Conductance_Eeq!BH$7:BH$27))))*(1.88E-23)*(25+273.15))/(EXP($A23-BH$7))))</f>
        <v>-7.3143295519073124E-49</v>
      </c>
      <c r="BI23">
        <f>IF(ISBLANK(Conductance_Eeq!BI22),"",IF(Conductance_Eeq!BI22&lt;0,((LN(ABS(((Conductance_Eeq!BI22/MAX(Conductance_Eeq!BI$7:BI$27)))))*(1.88E-23)*(25+273.15))/(EXP($A23-BI$7))),((LN((Conductance_Eeq!BI22/MAX(Conductance_Eeq!BI$7:BI$27))))*(1.88E-23)*(25+273.15))/(EXP($A23-BI$7))))</f>
        <v>-4.7064702542968475E-48</v>
      </c>
      <c r="BJ23">
        <f>IF(ISBLANK(Conductance_Eeq!BJ22),"",IF(Conductance_Eeq!BJ22&lt;0,((LN(ABS(((Conductance_Eeq!BJ22/MAX(Conductance_Eeq!BJ$7:BJ$27)))))*(1.88E-23)*(25+273.15))/(EXP($A23-BJ$7))),((LN((Conductance_Eeq!BJ22/MAX(Conductance_Eeq!BJ$7:BJ$27))))*(1.88E-23)*(25+273.15))/(EXP($A23-BJ$7))))</f>
        <v>-2.2123426139960444E-47</v>
      </c>
      <c r="BK23">
        <f>IF(ISBLANK(Conductance_Eeq!BK22),"",IF(Conductance_Eeq!BK22&lt;0,((LN(ABS(((Conductance_Eeq!BK22/MAX(Conductance_Eeq!BK$7:BK$27)))))*(1.88E-23)*(25+273.15))/(EXP($A23-BK$7))),((LN((Conductance_Eeq!BK22/MAX(Conductance_Eeq!BK$7:BK$27))))*(1.88E-23)*(25+273.15))/(EXP($A23-BK$7))))</f>
        <v>-3.3744571778709389E-47</v>
      </c>
      <c r="BL23">
        <f>IF(ISBLANK(Conductance_Eeq!BL22),"",IF(Conductance_Eeq!BL22&lt;0,((LN(ABS(((Conductance_Eeq!BL22/MAX(Conductance_Eeq!BL$7:BL$27)))))*(1.88E-23)*(25+273.15))/(EXP($A23-BL$7))),((LN((Conductance_Eeq!BL22/MAX(Conductance_Eeq!BL$7:BL$27))))*(1.88E-23)*(25+273.15))/(EXP($A23-BL$7))))</f>
        <v>-1.2923488239895084E-47</v>
      </c>
      <c r="BM23">
        <f>IF(ISBLANK(Conductance_Eeq!BM22),"",IF(Conductance_Eeq!BM22&lt;0,((LN(ABS(((Conductance_Eeq!BM22/MAX(Conductance_Eeq!BM$7:BM$27)))))*(1.88E-23)*(25+273.15))/(EXP($A23-BM$7))),((LN((Conductance_Eeq!BM22/MAX(Conductance_Eeq!BM$7:BM$27))))*(1.88E-23)*(25+273.15))/(EXP($A23-BM$7))))</f>
        <v>-3.2989088389695072E-47</v>
      </c>
      <c r="BN23">
        <f>IF(ISBLANK(Conductance_Eeq!BN22),"",IF(Conductance_Eeq!BN22&lt;0,((LN(ABS(((Conductance_Eeq!BN22/MAX(Conductance_Eeq!BN$7:BN$27)))))*(1.88E-23)*(25+273.15))/(EXP($A23-BN$7))),((LN((Conductance_Eeq!BN22/MAX(Conductance_Eeq!BN$7:BN$27))))*(1.88E-23)*(25+273.15))/(EXP($A23-BN$7))))</f>
        <v>-6.3002223876294425E-49</v>
      </c>
      <c r="BO23">
        <f>IF(ISBLANK(Conductance_Eeq!BO22),"",IF(Conductance_Eeq!BO22&lt;0,((LN(ABS(((Conductance_Eeq!BO22/MAX(Conductance_Eeq!BO$7:BO$27)))))*(1.88E-23)*(25+273.15))/(EXP($A23-BO$7))),((LN((Conductance_Eeq!BO22/MAX(Conductance_Eeq!BO$7:BO$27))))*(1.88E-23)*(25+273.15))/(EXP($A23-BO$7))))</f>
        <v>-1.1634163577521289E-48</v>
      </c>
      <c r="BP23">
        <f>IF(ISBLANK(Conductance_Eeq!BP22),"",IF(Conductance_Eeq!BP22&lt;0,((LN(ABS(((Conductance_Eeq!BP22/MAX(Conductance_Eeq!BP$7:BP$27)))))*(1.88E-23)*(25+273.15))/(EXP($A23-BP$7))),((LN((Conductance_Eeq!BP22/MAX(Conductance_Eeq!BP$7:BP$27))))*(1.88E-23)*(25+273.15))/(EXP($A23-BP$7))))</f>
        <v>-8.8566017863062569E-48</v>
      </c>
      <c r="BQ23">
        <f>IF(ISBLANK(Conductance_Eeq!BQ22),"",IF(Conductance_Eeq!BQ22&lt;0,((LN(ABS(((Conductance_Eeq!BQ22/MAX(Conductance_Eeq!BQ$7:BQ$27)))))*(1.88E-23)*(25+273.15))/(EXP($A23-BQ$7))),((LN((Conductance_Eeq!BQ22/MAX(Conductance_Eeq!BQ$7:BQ$27))))*(1.88E-23)*(25+273.15))/(EXP($A23-BQ$7))))</f>
        <v>-3.5946810694005595E-47</v>
      </c>
      <c r="BR23">
        <f>IF(ISBLANK(Conductance_Eeq!BR22),"",IF(Conductance_Eeq!BR22&lt;0,((LN(ABS(((Conductance_Eeq!BR22/MAX(Conductance_Eeq!BR$7:BR$27)))))*(1.88E-23)*(25+273.15))/(EXP($A23-BR$7))),((LN((Conductance_Eeq!BR22/MAX(Conductance_Eeq!BR$7:BR$27))))*(1.88E-23)*(25+273.15))/(EXP($A23-BR$7))))</f>
        <v>-3.650445626789725E-48</v>
      </c>
      <c r="BS23">
        <f>IF(ISBLANK(Conductance_Eeq!BS22),"",IF(Conductance_Eeq!BS22&lt;0,((LN(ABS(((Conductance_Eeq!BS22/MAX(Conductance_Eeq!BS$7:BS$27)))))*(1.88E-23)*(25+273.15))/(EXP($A23-BS$7))),((LN((Conductance_Eeq!BS22/MAX(Conductance_Eeq!BS$7:BS$27))))*(1.88E-23)*(25+273.15))/(EXP($A23-BS$7))))</f>
        <v>-6.6013830348163405E-48</v>
      </c>
      <c r="BT23">
        <f>IF(ISBLANK(Conductance_Eeq!BT22),"",IF(Conductance_Eeq!BT22&lt;0,((LN(ABS(((Conductance_Eeq!BT22/MAX(Conductance_Eeq!BT$7:BT$27)))))*(1.88E-23)*(25+273.15))/(EXP($A23-BT$7))),((LN((Conductance_Eeq!BT22/MAX(Conductance_Eeq!BT$7:BT$27))))*(1.88E-23)*(25+273.15))/(EXP($A23-BT$7))))</f>
        <v>-1.9270413640448785E-47</v>
      </c>
      <c r="BU23">
        <f>IF(ISBLANK(Conductance_Eeq!BU22),"",IF(Conductance_Eeq!BU22&lt;0,((LN(ABS(((Conductance_Eeq!BU22/MAX(Conductance_Eeq!BU$7:BU$27)))))*(1.88E-23)*(25+273.15))/(EXP($A23-BU$7))),((LN((Conductance_Eeq!BU22/MAX(Conductance_Eeq!BU$7:BU$27))))*(1.88E-23)*(25+273.15))/(EXP($A23-BU$7))))</f>
        <v>-8.9632206997091435E-47</v>
      </c>
      <c r="BV23">
        <f>IF(ISBLANK(Conductance_Eeq!BV22),"",IF(Conductance_Eeq!BV22&lt;0,((LN(ABS(((Conductance_Eeq!BV22/MAX(Conductance_Eeq!BV$7:BV$27)))))*(1.88E-23)*(25+273.15))/(EXP($A23-BV$7))),((LN((Conductance_Eeq!BV22/MAX(Conductance_Eeq!BV$7:BV$27))))*(1.88E-23)*(25+273.15))/(EXP($A23-BV$7))))</f>
        <v>-2.2808949125105668E-47</v>
      </c>
      <c r="BW23">
        <f>IF(ISBLANK(Conductance_Eeq!BW22),"",IF(Conductance_Eeq!BW22&lt;0,((LN(ABS(((Conductance_Eeq!BW22/MAX(Conductance_Eeq!BW$7:BW$27)))))*(1.88E-23)*(25+273.15))/(EXP($A23-BW$7))),((LN((Conductance_Eeq!BW22/MAX(Conductance_Eeq!BW$7:BW$27))))*(1.88E-23)*(25+273.15))/(EXP($A23-BW$7))))</f>
        <v>-2.7427231906579185E-47</v>
      </c>
      <c r="BX23">
        <f>IF(ISBLANK(Conductance_Eeq!BX22),"",IF(Conductance_Eeq!BX22&lt;0,((LN(ABS(((Conductance_Eeq!BX22/MAX(Conductance_Eeq!BX$7:BX$27)))))*(1.88E-23)*(25+273.15))/(EXP($A23-BX$7))),((LN((Conductance_Eeq!BX22/MAX(Conductance_Eeq!BX$7:BX$27))))*(1.88E-23)*(25+273.15))/(EXP($A23-BX$7))))</f>
        <v>-2.3644183566413881E-47</v>
      </c>
      <c r="BY23" t="str">
        <f>IF(ISBLANK(Conductance_Eeq!BY22),"",IF(Conductance_Eeq!BY22&lt;0,((LN(ABS(((Conductance_Eeq!BY22/MAX(Conductance_Eeq!BY$7:BY$27)))))*(1.88E-23)*(25+273.15))/(EXP($A23-BY$7))),((LN((Conductance_Eeq!BY22/MAX(Conductance_Eeq!BY$7:BY$27))))*(1.88E-23)*(25+273.15))/(EXP($A23-BY$7))))</f>
        <v/>
      </c>
      <c r="BZ23">
        <f>IF(ISBLANK(Conductance_Eeq!BZ22),"",IF(Conductance_Eeq!BZ22&lt;0,((LN(ABS(((Conductance_Eeq!BZ22/MAX(Conductance_Eeq!BZ$7:BZ$27)))))*(1.88E-23)*(25+273.15))/(EXP($A23-BZ$7))),((LN((Conductance_Eeq!BZ22/MAX(Conductance_Eeq!BZ$7:BZ$27))))*(1.88E-23)*(25+273.15))/(EXP($A23-BZ$7))))</f>
        <v>-1.1656176001872512E-48</v>
      </c>
      <c r="CA23">
        <f>IF(ISBLANK(Conductance_Eeq!CA22),"",IF(Conductance_Eeq!CA22&lt;0,((LN(ABS(((Conductance_Eeq!CA22/MAX(Conductance_Eeq!CA$7:CA$27)))))*(1.88E-23)*(25+273.15))/(EXP($A23-CA$7))),((LN((Conductance_Eeq!CA22/MAX(Conductance_Eeq!CA$7:CA$27))))*(1.88E-23)*(25+273.15))/(EXP($A23-CA$7))))</f>
        <v>-1.013742071267593E-47</v>
      </c>
      <c r="CB23">
        <f>IF(ISBLANK(Conductance_Eeq!CB22),"",IF(Conductance_Eeq!CB22&lt;0,((LN(ABS(((Conductance_Eeq!CB22/MAX(Conductance_Eeq!CB$7:CB$27)))))*(1.88E-23)*(25+273.15))/(EXP($A23-CB$7))),((LN((Conductance_Eeq!CB22/MAX(Conductance_Eeq!CB$7:CB$27))))*(1.88E-23)*(25+273.15))/(EXP($A23-CB$7))))</f>
        <v>-2.867658333467825E-47</v>
      </c>
      <c r="CC23">
        <f>IF(ISBLANK(Conductance_Eeq!CC22),"",IF(Conductance_Eeq!CC22&lt;0,((LN(ABS(((Conductance_Eeq!CC22/MAX(Conductance_Eeq!CC$7:CC$27)))))*(1.88E-23)*(25+273.15))/(EXP($A23-CC$7))),((LN((Conductance_Eeq!CC22/MAX(Conductance_Eeq!CC$7:CC$27))))*(1.88E-23)*(25+273.15))/(EXP($A23-CC$7))))</f>
        <v>-3.2535336503363302E-45</v>
      </c>
      <c r="CD23">
        <f>IF(ISBLANK(Conductance_Eeq!CD22),"",IF(Conductance_Eeq!CD22&lt;0,((LN(ABS(((Conductance_Eeq!CD22/MAX(Conductance_Eeq!CD$7:CD$27)))))*(1.88E-23)*(25+273.15))/(EXP($A23-CD$7))),((LN((Conductance_Eeq!CD22/MAX(Conductance_Eeq!CD$7:CD$27))))*(1.88E-23)*(25+273.15))/(EXP($A23-CD$7))))</f>
        <v>-7.7152947015300275E-47</v>
      </c>
    </row>
    <row r="24" spans="1:82" x14ac:dyDescent="0.2">
      <c r="A24" s="3">
        <f t="shared" si="0"/>
        <v>80</v>
      </c>
      <c r="B24">
        <f>IF(ISBLANK(Conductance_Eeq!B23),"",IF(Conductance_Eeq!B23&lt;0,((LN(ABS(((Conductance_Eeq!B23/MAX(Conductance_Eeq!B$7:B$27)))))*(1.88E-23)*(25+273.15))/(EXP($A24-B$7))),((LN((Conductance_Eeq!B23/MAX(Conductance_Eeq!B$7:B$27))))*(1.88E-23)*(25+273.15))/(EXP($A24-B$7))))</f>
        <v>-2.7596277007101485E-51</v>
      </c>
      <c r="C24">
        <f>IF(ISBLANK(Conductance_Eeq!C23),"",IF(Conductance_Eeq!C23&lt;0,((LN(ABS(((Conductance_Eeq!C23/MAX(Conductance_Eeq!C$7:C$27)))))*(1.88E-23)*(25+273.15))/(EXP($A24-C$7))),((LN((Conductance_Eeq!C23/MAX(Conductance_Eeq!C$7:C$27))))*(1.88E-23)*(25+273.15))/(EXP($A24-C$7))))</f>
        <v>-2.7088166784109679E-51</v>
      </c>
      <c r="D24">
        <f>IF(ISBLANK(Conductance_Eeq!D23),"",IF(Conductance_Eeq!D23&lt;0,((LN(ABS(((Conductance_Eeq!D23/MAX(Conductance_Eeq!D$7:D$27)))))*(1.88E-23)*(25+273.15))/(EXP($A24-D$7))),((LN((Conductance_Eeq!D23/MAX(Conductance_Eeq!D$7:D$27))))*(1.88E-23)*(25+273.15))/(EXP($A24-D$7))))</f>
        <v>-4.6093440154640663E-52</v>
      </c>
      <c r="E24">
        <f>IF(ISBLANK(Conductance_Eeq!E23),"",IF(Conductance_Eeq!E23&lt;0,((LN(ABS(((Conductance_Eeq!E23/MAX(Conductance_Eeq!E$7:E$27)))))*(1.88E-23)*(25+273.15))/(EXP($A24-E$7))),((LN((Conductance_Eeq!E23/MAX(Conductance_Eeq!E$7:E$27))))*(1.88E-23)*(25+273.15))/(EXP($A24-E$7))))</f>
        <v>-1.8143424393457161E-52</v>
      </c>
      <c r="F24">
        <f>IF(ISBLANK(Conductance_Eeq!F23),"",IF(Conductance_Eeq!F23&lt;0,((LN(ABS(((Conductance_Eeq!F23/MAX(Conductance_Eeq!F$7:F$27)))))*(1.88E-23)*(25+273.15))/(EXP($A24-F$7))),((LN((Conductance_Eeq!F23/MAX(Conductance_Eeq!F$7:F$27))))*(1.88E-23)*(25+273.15))/(EXP($A24-F$7))))</f>
        <v>-5.4327118938518337E-51</v>
      </c>
      <c r="G24">
        <f>IF(ISBLANK(Conductance_Eeq!G23),"",IF(Conductance_Eeq!G23&lt;0,((LN(ABS(((Conductance_Eeq!G23/MAX(Conductance_Eeq!G$7:G$27)))))*(1.88E-23)*(25+273.15))/(EXP($A24-G$7))),((LN((Conductance_Eeq!G23/MAX(Conductance_Eeq!G$7:G$27))))*(1.88E-23)*(25+273.15))/(EXP($A24-G$7))))</f>
        <v>-5.5545501248007851E-51</v>
      </c>
      <c r="H24">
        <f>IF(ISBLANK(Conductance_Eeq!H23),"",IF(Conductance_Eeq!H23&lt;0,((LN(ABS(((Conductance_Eeq!H23/MAX(Conductance_Eeq!H$7:H$27)))))*(1.88E-23)*(25+273.15))/(EXP($A24-H$7))),((LN((Conductance_Eeq!H23/MAX(Conductance_Eeq!H$7:H$27))))*(1.88E-23)*(25+273.15))/(EXP($A24-H$7))))</f>
        <v>-3.770799813306144E-51</v>
      </c>
      <c r="I24">
        <f>IF(ISBLANK(Conductance_Eeq!I23),"",IF(Conductance_Eeq!I23&lt;0,((LN(ABS(((Conductance_Eeq!I23/MAX(Conductance_Eeq!I$7:I$27)))))*(1.88E-23)*(25+273.15))/(EXP($A24-I$7))),((LN((Conductance_Eeq!I23/MAX(Conductance_Eeq!I$7:I$27))))*(1.88E-23)*(25+273.15))/(EXP($A24-I$7))))</f>
        <v>-1.7441306299621628E-53</v>
      </c>
      <c r="J24">
        <f>IF(ISBLANK(Conductance_Eeq!J23),"",IF(Conductance_Eeq!J23&lt;0,((LN(ABS(((Conductance_Eeq!J23/MAX(Conductance_Eeq!J$7:J$27)))))*(1.88E-23)*(25+273.15))/(EXP($A24-J$7))),((LN((Conductance_Eeq!J23/MAX(Conductance_Eeq!J$7:J$27))))*(1.88E-23)*(25+273.15))/(EXP($A24-J$7))))</f>
        <v>-3.3565891390771511E-53</v>
      </c>
      <c r="K24">
        <f>IF(ISBLANK(Conductance_Eeq!K23),"",IF(Conductance_Eeq!K23&lt;0,((LN(ABS(((Conductance_Eeq!K23/MAX(Conductance_Eeq!K$7:K$27)))))*(1.88E-23)*(25+273.15))/(EXP($A24-K$7))),((LN((Conductance_Eeq!K23/MAX(Conductance_Eeq!K$7:K$27))))*(1.88E-23)*(25+273.15))/(EXP($A24-K$7))))</f>
        <v>-1.9839591753881483E-51</v>
      </c>
      <c r="L24">
        <f>IF(ISBLANK(Conductance_Eeq!L23),"",IF(Conductance_Eeq!L23&lt;0,((LN(ABS(((Conductance_Eeq!L23/MAX(Conductance_Eeq!L$7:L$27)))))*(1.88E-23)*(25+273.15))/(EXP($A24-L$7))),((LN((Conductance_Eeq!L23/MAX(Conductance_Eeq!L$7:L$27))))*(1.88E-23)*(25+273.15))/(EXP($A24-L$7))))</f>
        <v>-2.2692710755913539E-52</v>
      </c>
      <c r="M24">
        <f>IF(ISBLANK(Conductance_Eeq!M23),"",IF(Conductance_Eeq!M23&lt;0,((LN(ABS(((Conductance_Eeq!M23/MAX(Conductance_Eeq!M$7:M$27)))))*(1.88E-23)*(25+273.15))/(EXP($A24-M$7))),((LN((Conductance_Eeq!M23/MAX(Conductance_Eeq!M$7:M$27))))*(1.88E-23)*(25+273.15))/(EXP($A24-M$7))))</f>
        <v>-1.2883879130565855E-52</v>
      </c>
      <c r="N24">
        <f>IF(ISBLANK(Conductance_Eeq!N23),"",IF(Conductance_Eeq!N23&lt;0,((LN(ABS(((Conductance_Eeq!N23/MAX(Conductance_Eeq!N$7:N$27)))))*(1.88E-23)*(25+273.15))/(EXP($A24-N$7))),((LN((Conductance_Eeq!N23/MAX(Conductance_Eeq!N$7:N$27))))*(1.88E-23)*(25+273.15))/(EXP($A24-N$7))))</f>
        <v>-1.4106529258358941E-53</v>
      </c>
      <c r="O24">
        <f>IF(ISBLANK(Conductance_Eeq!O23),"",IF(Conductance_Eeq!O23&lt;0,((LN(ABS(((Conductance_Eeq!O23/MAX(Conductance_Eeq!O$7:O$27)))))*(1.88E-23)*(25+273.15))/(EXP($A24-O$7))),((LN((Conductance_Eeq!O23/MAX(Conductance_Eeq!O$7:O$27))))*(1.88E-23)*(25+273.15))/(EXP($A24-O$7))))</f>
        <v>-7.9876425297707922E-53</v>
      </c>
      <c r="P24">
        <f>IF(ISBLANK(Conductance_Eeq!P23),"",IF(Conductance_Eeq!P23&lt;0,((LN(ABS(((Conductance_Eeq!P23/MAX(Conductance_Eeq!P$7:P$27)))))*(1.88E-23)*(25+273.15))/(EXP($A24-P$7))),((LN((Conductance_Eeq!P23/MAX(Conductance_Eeq!P$7:P$27))))*(1.88E-23)*(25+273.15))/(EXP($A24-P$7))))</f>
        <v>-3.7320307450138921E-53</v>
      </c>
      <c r="Q24">
        <f>IF(ISBLANK(Conductance_Eeq!Q23),"",IF(Conductance_Eeq!Q23&lt;0,((LN(ABS(((Conductance_Eeq!Q23/MAX(Conductance_Eeq!Q$7:Q$27)))))*(1.88E-23)*(25+273.15))/(EXP($A24-Q$7))),((LN((Conductance_Eeq!Q23/MAX(Conductance_Eeq!Q$7:Q$27))))*(1.88E-23)*(25+273.15))/(EXP($A24-Q$7))))</f>
        <v>-9.8795821409559965E-52</v>
      </c>
      <c r="R24">
        <f>IF(ISBLANK(Conductance_Eeq!R23),"",IF(Conductance_Eeq!R23&lt;0,((LN(ABS(((Conductance_Eeq!R23/MAX(Conductance_Eeq!R$7:R$27)))))*(1.88E-23)*(25+273.15))/(EXP($A24-R$7))),((LN((Conductance_Eeq!R23/MAX(Conductance_Eeq!R$7:R$27))))*(1.88E-23)*(25+273.15))/(EXP($A24-R$7))))</f>
        <v>-6.8753376284551038E-52</v>
      </c>
      <c r="S24">
        <f>IF(ISBLANK(Conductance_Eeq!S23),"",IF(Conductance_Eeq!S23&lt;0,((LN(ABS(((Conductance_Eeq!S23/MAX(Conductance_Eeq!S$7:S$27)))))*(1.88E-23)*(25+273.15))/(EXP($A24-S$7))),((LN((Conductance_Eeq!S23/MAX(Conductance_Eeq!S$7:S$27))))*(1.88E-23)*(25+273.15))/(EXP($A24-S$7))))</f>
        <v>-1.810553847758004E-51</v>
      </c>
      <c r="T24">
        <f>IF(ISBLANK(Conductance_Eeq!T23),"",IF(Conductance_Eeq!T23&lt;0,((LN(ABS(((Conductance_Eeq!T23/MAX(Conductance_Eeq!T$7:T$27)))))*(1.88E-23)*(25+273.15))/(EXP($A24-T$7))),((LN((Conductance_Eeq!T23/MAX(Conductance_Eeq!T$7:T$27))))*(1.88E-23)*(25+273.15))/(EXP($A24-T$7))))</f>
        <v>-5.7267574816981303E-52</v>
      </c>
      <c r="U24">
        <f>IF(ISBLANK(Conductance_Eeq!U23),"",IF(Conductance_Eeq!U23&lt;0,((LN(ABS(((Conductance_Eeq!U23/MAX(Conductance_Eeq!U$7:U$27)))))*(1.88E-23)*(25+273.15))/(EXP($A24-U$7))),((LN((Conductance_Eeq!U23/MAX(Conductance_Eeq!U$7:U$27))))*(1.88E-23)*(25+273.15))/(EXP($A24-U$7))))</f>
        <v>-6.4736628459106647E-53</v>
      </c>
      <c r="V24">
        <f>IF(ISBLANK(Conductance_Eeq!V23),"",IF(Conductance_Eeq!V23&lt;0,((LN(ABS(((Conductance_Eeq!V23/MAX(Conductance_Eeq!V$7:V$27)))))*(1.88E-23)*(25+273.15))/(EXP($A24-V$7))),((LN((Conductance_Eeq!V23/MAX(Conductance_Eeq!V$7:V$27))))*(1.88E-23)*(25+273.15))/(EXP($A24-V$7))))</f>
        <v>-1.7356417984770631E-51</v>
      </c>
      <c r="W24">
        <f>IF(ISBLANK(Conductance_Eeq!W23),"",IF(Conductance_Eeq!W23&lt;0,((LN(ABS(((Conductance_Eeq!W23/MAX(Conductance_Eeq!W$7:W$27)))))*(1.88E-23)*(25+273.15))/(EXP($A24-W$7))),((LN((Conductance_Eeq!W23/MAX(Conductance_Eeq!W$7:W$27))))*(1.88E-23)*(25+273.15))/(EXP($A24-W$7))))</f>
        <v>-6.3562245282331079E-53</v>
      </c>
      <c r="X24">
        <f>IF(ISBLANK(Conductance_Eeq!X23),"",IF(Conductance_Eeq!X23&lt;0,((LN(ABS(((Conductance_Eeq!X23/MAX(Conductance_Eeq!X$7:X$27)))))*(1.88E-23)*(25+273.15))/(EXP($A24-X$7))),((LN((Conductance_Eeq!X23/MAX(Conductance_Eeq!X$7:X$27))))*(1.88E-23)*(25+273.15))/(EXP($A24-X$7))))</f>
        <v>-3.1703831194499556E-52</v>
      </c>
      <c r="Y24">
        <f>IF(ISBLANK(Conductance_Eeq!Y23),"",IF(Conductance_Eeq!Y23&lt;0,((LN(ABS(((Conductance_Eeq!Y23/MAX(Conductance_Eeq!Y$7:Y$27)))))*(1.88E-23)*(25+273.15))/(EXP($A24-Y$7))),((LN((Conductance_Eeq!Y23/MAX(Conductance_Eeq!Y$7:Y$27))))*(1.88E-23)*(25+273.15))/(EXP($A24-Y$7))))</f>
        <v>-2.8881154012807701E-52</v>
      </c>
      <c r="Z24">
        <f>IF(ISBLANK(Conductance_Eeq!Z23),"",IF(Conductance_Eeq!Z23&lt;0,((LN(ABS(((Conductance_Eeq!Z23/MAX(Conductance_Eeq!Z$7:Z$27)))))*(1.88E-23)*(25+273.15))/(EXP($A24-Z$7))),((LN((Conductance_Eeq!Z23/MAX(Conductance_Eeq!Z$7:Z$27))))*(1.88E-23)*(25+273.15))/(EXP($A24-Z$7))))</f>
        <v>-3.082213623683751E-51</v>
      </c>
      <c r="AA24">
        <f>IF(ISBLANK(Conductance_Eeq!AA23),"",IF(Conductance_Eeq!AA23&lt;0,((LN(ABS(((Conductance_Eeq!AA23/MAX(Conductance_Eeq!AA$7:AA$27)))))*(1.88E-23)*(25+273.15))/(EXP($A24-AA$7))),((LN((Conductance_Eeq!AA23/MAX(Conductance_Eeq!AA$7:AA$27))))*(1.88E-23)*(25+273.15))/(EXP($A24-AA$7))))</f>
        <v>-1.7717081000030736E-51</v>
      </c>
      <c r="AB24">
        <f>IF(ISBLANK(Conductance_Eeq!AB23),"",IF(Conductance_Eeq!AB23&lt;0,((LN(ABS(((Conductance_Eeq!AB23/MAX(Conductance_Eeq!AB$7:AB$27)))))*(1.88E-23)*(25+273.15))/(EXP($A24-AB$7))),((LN((Conductance_Eeq!AB23/MAX(Conductance_Eeq!AB$7:AB$27))))*(1.88E-23)*(25+273.15))/(EXP($A24-AB$7))))</f>
        <v>-2.6913027019243266E-52</v>
      </c>
      <c r="AC24">
        <f>IF(ISBLANK(Conductance_Eeq!AC23),"",IF(Conductance_Eeq!AC23&lt;0,((LN(ABS(((Conductance_Eeq!AC23/MAX(Conductance_Eeq!AC$7:AC$27)))))*(1.88E-23)*(25+273.15))/(EXP($A24-AC$7))),((LN((Conductance_Eeq!AC23/MAX(Conductance_Eeq!AC$7:AC$27))))*(1.88E-23)*(25+273.15))/(EXP($A24-AC$7))))</f>
        <v>-7.1734080984542698E-52</v>
      </c>
      <c r="AD24">
        <f>IF(ISBLANK(Conductance_Eeq!AD23),"",IF(Conductance_Eeq!AD23&lt;0,((LN(ABS(((Conductance_Eeq!AD23/MAX(Conductance_Eeq!AD$7:AD$27)))))*(1.88E-23)*(25+273.15))/(EXP($A24-AD$7))),((LN((Conductance_Eeq!AD23/MAX(Conductance_Eeq!AD$7:AD$27))))*(1.88E-23)*(25+273.15))/(EXP($A24-AD$7))))</f>
        <v>-4.1486918064591082E-52</v>
      </c>
      <c r="AE24">
        <f>IF(ISBLANK(Conductance_Eeq!AE23),"",IF(Conductance_Eeq!AE23&lt;0,((LN(ABS(((Conductance_Eeq!AE23/MAX(Conductance_Eeq!AE$7:AE$27)))))*(1.88E-23)*(25+273.15))/(EXP($A24-AE$7))),((LN((Conductance_Eeq!AE23/MAX(Conductance_Eeq!AE$7:AE$27))))*(1.88E-23)*(25+273.15))/(EXP($A24-AE$7))))</f>
        <v>-4.8813259677430277E-50</v>
      </c>
      <c r="AF24">
        <f>IF(ISBLANK(Conductance_Eeq!AF23),"",IF(Conductance_Eeq!AF23&lt;0,((LN(ABS(((Conductance_Eeq!AF23/MAX(Conductance_Eeq!AF$7:AF$27)))))*(1.88E-23)*(25+273.15))/(EXP($A24-AF$7))),((LN((Conductance_Eeq!AF23/MAX(Conductance_Eeq!AF$7:AF$27))))*(1.88E-23)*(25+273.15))/(EXP($A24-AF$7))))</f>
        <v>-2.9801974059296203E-51</v>
      </c>
      <c r="AG24">
        <f>IF(ISBLANK(Conductance_Eeq!AG23),"",IF(Conductance_Eeq!AG23&lt;0,((LN(ABS(((Conductance_Eeq!AG23/MAX(Conductance_Eeq!AG$7:AG$27)))))*(1.88E-23)*(25+273.15))/(EXP($A24-AG$7))),((LN((Conductance_Eeq!AG23/MAX(Conductance_Eeq!AG$7:AG$27))))*(1.88E-23)*(25+273.15))/(EXP($A24-AG$7))))</f>
        <v>-1.5163157005127622E-51</v>
      </c>
      <c r="AH24">
        <f>IF(ISBLANK(Conductance_Eeq!AH23),"",IF(Conductance_Eeq!AH23&lt;0,((LN(ABS(((Conductance_Eeq!AH23/MAX(Conductance_Eeq!AH$7:AH$27)))))*(1.88E-23)*(25+273.15))/(EXP($A24-AH$7))),((LN((Conductance_Eeq!AH23/MAX(Conductance_Eeq!AH$7:AH$27))))*(1.88E-23)*(25+273.15))/(EXP($A24-AH$7))))</f>
        <v>-1.1232245710211306E-51</v>
      </c>
      <c r="AI24">
        <f>IF(ISBLANK(Conductance_Eeq!AI23),"",IF(Conductance_Eeq!AI23&lt;0,((LN(ABS(((Conductance_Eeq!AI23/MAX(Conductance_Eeq!AI$7:AI$27)))))*(1.88E-23)*(25+273.15))/(EXP($A24-AI$7))),((LN((Conductance_Eeq!AI23/MAX(Conductance_Eeq!AI$7:AI$27))))*(1.88E-23)*(25+273.15))/(EXP($A24-AI$7))))</f>
        <v>-3.6561137467012128E-52</v>
      </c>
      <c r="AJ24">
        <f>IF(ISBLANK(Conductance_Eeq!AJ23),"",IF(Conductance_Eeq!AJ23&lt;0,((LN(ABS(((Conductance_Eeq!AJ23/MAX(Conductance_Eeq!AJ$7:AJ$27)))))*(1.88E-23)*(25+273.15))/(EXP($A24-AJ$7))),((LN((Conductance_Eeq!AJ23/MAX(Conductance_Eeq!AJ$7:AJ$27))))*(1.88E-23)*(25+273.15))/(EXP($A24-AJ$7))))</f>
        <v>-1.169647453290405E-51</v>
      </c>
      <c r="AK24">
        <f>IF(ISBLANK(Conductance_Eeq!AK23),"",IF(Conductance_Eeq!AK23&lt;0,((LN(ABS(((Conductance_Eeq!AK23/MAX(Conductance_Eeq!AK$7:AK$27)))))*(1.88E-23)*(25+273.15))/(EXP($A24-AK$7))),((LN((Conductance_Eeq!AK23/MAX(Conductance_Eeq!AK$7:AK$27))))*(1.88E-23)*(25+273.15))/(EXP($A24-AK$7))))</f>
        <v>-6.8034430514663559E-52</v>
      </c>
      <c r="AL24">
        <f>IF(ISBLANK(Conductance_Eeq!AL23),"",IF(Conductance_Eeq!AL23&lt;0,((LN(ABS(((Conductance_Eeq!AL23/MAX(Conductance_Eeq!AL$7:AL$27)))))*(1.88E-23)*(25+273.15))/(EXP($A24-AL$7))),((LN((Conductance_Eeq!AL23/MAX(Conductance_Eeq!AL$7:AL$27))))*(1.88E-23)*(25+273.15))/(EXP($A24-AL$7))))</f>
        <v>-1.5421367175110064E-52</v>
      </c>
      <c r="AM24">
        <f>IF(ISBLANK(Conductance_Eeq!AM23),"",IF(Conductance_Eeq!AM23&lt;0,((LN(ABS(((Conductance_Eeq!AM23/MAX(Conductance_Eeq!AM$7:AM$27)))))*(1.88E-23)*(25+273.15))/(EXP($A24-AM$7))),((LN((Conductance_Eeq!AM23/MAX(Conductance_Eeq!AM$7:AM$27))))*(1.88E-23)*(25+273.15))/(EXP($A24-AM$7))))</f>
        <v>-4.6932846102918897E-52</v>
      </c>
      <c r="AN24" t="str">
        <f>IF(ISBLANK(Conductance_Eeq!AN23),"",IF(Conductance_Eeq!AN23&lt;0,((LN(ABS(((Conductance_Eeq!AN23/MAX(Conductance_Eeq!AN$7:AN$27)))))*(1.88E-23)*(25+273.15))/(EXP($A24-AN$7))),((LN((Conductance_Eeq!AN23/MAX(Conductance_Eeq!AN$7:AN$27))))*(1.88E-23)*(25+273.15))/(EXP($A24-AN$7))))</f>
        <v/>
      </c>
      <c r="AO24">
        <f>IF(ISBLANK(Conductance_Eeq!AO23),"",IF(Conductance_Eeq!AO23&lt;0,((LN(ABS(((Conductance_Eeq!AO23/MAX(Conductance_Eeq!AO$7:AO$27)))))*(1.88E-23)*(25+273.15))/(EXP($A24-AO$7))),((LN((Conductance_Eeq!AO23/MAX(Conductance_Eeq!AO$7:AO$27))))*(1.88E-23)*(25+273.15))/(EXP($A24-AO$7))))</f>
        <v>-1.0453318766030731E-51</v>
      </c>
      <c r="AP24">
        <f>IF(ISBLANK(Conductance_Eeq!AP23),"",IF(Conductance_Eeq!AP23&lt;0,((LN(ABS(((Conductance_Eeq!AP23/MAX(Conductance_Eeq!AP$7:AP$27)))))*(1.88E-23)*(25+273.15))/(EXP($A24-AP$7))),((LN((Conductance_Eeq!AP23/MAX(Conductance_Eeq!AP$7:AP$27))))*(1.88E-23)*(25+273.15))/(EXP($A24-AP$7))))</f>
        <v>-1.0408401574303156E-52</v>
      </c>
      <c r="AQ24">
        <f>IF(ISBLANK(Conductance_Eeq!AQ23),"",IF(Conductance_Eeq!AQ23&lt;0,((LN(ABS(((Conductance_Eeq!AQ23/MAX(Conductance_Eeq!AQ$7:AQ$27)))))*(1.88E-23)*(25+273.15))/(EXP($A24-AQ$7))),((LN((Conductance_Eeq!AQ23/MAX(Conductance_Eeq!AQ$7:AQ$27))))*(1.88E-23)*(25+273.15))/(EXP($A24-AQ$7))))</f>
        <v>-1.4975247424903169E-51</v>
      </c>
      <c r="AR24">
        <f>IF(ISBLANK(Conductance_Eeq!AR23),"",IF(Conductance_Eeq!AR23&lt;0,((LN(ABS(((Conductance_Eeq!AR23/MAX(Conductance_Eeq!AR$7:AR$27)))))*(1.88E-23)*(25+273.15))/(EXP($A24-AR$7))),((LN((Conductance_Eeq!AR23/MAX(Conductance_Eeq!AR$7:AR$27))))*(1.88E-23)*(25+273.15))/(EXP($A24-AR$7))))</f>
        <v>-2.5517310781302859E-52</v>
      </c>
      <c r="AS24">
        <f>IF(ISBLANK(Conductance_Eeq!AS23),"",IF(Conductance_Eeq!AS23&lt;0,((LN(ABS(((Conductance_Eeq!AS23/MAX(Conductance_Eeq!AS$7:AS$27)))))*(1.88E-23)*(25+273.15))/(EXP($A24-AS$7))),((LN((Conductance_Eeq!AS23/MAX(Conductance_Eeq!AS$7:AS$27))))*(1.88E-23)*(25+273.15))/(EXP($A24-AS$7))))</f>
        <v>-4.0345363557700082E-52</v>
      </c>
      <c r="AT24">
        <f>IF(ISBLANK(Conductance_Eeq!AT23),"",IF(Conductance_Eeq!AT23&lt;0,((LN(ABS(((Conductance_Eeq!AT23/MAX(Conductance_Eeq!AT$7:AT$27)))))*(1.88E-23)*(25+273.15))/(EXP($A24-AT$7))),((LN((Conductance_Eeq!AT23/MAX(Conductance_Eeq!AT$7:AT$27))))*(1.88E-23)*(25+273.15))/(EXP($A24-AT$7))))</f>
        <v>-1.6873972941055161E-51</v>
      </c>
      <c r="AU24">
        <f>IF(ISBLANK(Conductance_Eeq!AU23),"",IF(Conductance_Eeq!AU23&lt;0,((LN(ABS(((Conductance_Eeq!AU23/MAX(Conductance_Eeq!AU$7:AU$27)))))*(1.88E-23)*(25+273.15))/(EXP($A24-AU$7))),((LN((Conductance_Eeq!AU23/MAX(Conductance_Eeq!AU$7:AU$27))))*(1.88E-23)*(25+273.15))/(EXP($A24-AU$7))))</f>
        <v>-2.9812160036289448E-52</v>
      </c>
      <c r="AV24">
        <f>IF(ISBLANK(Conductance_Eeq!AV23),"",IF(Conductance_Eeq!AV23&lt;0,((LN(ABS(((Conductance_Eeq!AV23/MAX(Conductance_Eeq!AV$7:AV$27)))))*(1.88E-23)*(25+273.15))/(EXP($A24-AV$7))),((LN((Conductance_Eeq!AV23/MAX(Conductance_Eeq!AV$7:AV$27))))*(1.88E-23)*(25+273.15))/(EXP($A24-AV$7))))</f>
        <v>-7.2770061178093321E-52</v>
      </c>
      <c r="AW24">
        <f>IF(ISBLANK(Conductance_Eeq!AW23),"",IF(Conductance_Eeq!AW23&lt;0,((LN(ABS(((Conductance_Eeq!AW23/MAX(Conductance_Eeq!AW$7:AW$27)))))*(1.88E-23)*(25+273.15))/(EXP($A24-AW$7))),((LN((Conductance_Eeq!AW23/MAX(Conductance_Eeq!AW$7:AW$27))))*(1.88E-23)*(25+273.15))/(EXP($A24-AW$7))))</f>
        <v>-1.5942499036606375E-51</v>
      </c>
      <c r="AX24">
        <f>IF(ISBLANK(Conductance_Eeq!AX23),"",IF(Conductance_Eeq!AX23&lt;0,((LN(ABS(((Conductance_Eeq!AX23/MAX(Conductance_Eeq!AX$7:AX$27)))))*(1.88E-23)*(25+273.15))/(EXP($A24-AX$7))),((LN((Conductance_Eeq!AX23/MAX(Conductance_Eeq!AX$7:AX$27))))*(1.88E-23)*(25+273.15))/(EXP($A24-AX$7))))</f>
        <v>-3.0516188934817347E-51</v>
      </c>
      <c r="AY24">
        <f>IF(ISBLANK(Conductance_Eeq!AY23),"",IF(Conductance_Eeq!AY23&lt;0,((LN(ABS(((Conductance_Eeq!AY23/MAX(Conductance_Eeq!AY$7:AY$27)))))*(1.88E-23)*(25+273.15))/(EXP($A24-AY$7))),((LN((Conductance_Eeq!AY23/MAX(Conductance_Eeq!AY$7:AY$27))))*(1.88E-23)*(25+273.15))/(EXP($A24-AY$7))))</f>
        <v>-2.0979439032511284E-51</v>
      </c>
      <c r="AZ24">
        <f>IF(ISBLANK(Conductance_Eeq!AZ23),"",IF(Conductance_Eeq!AZ23&lt;0,((LN(ABS(((Conductance_Eeq!AZ23/MAX(Conductance_Eeq!AZ$7:AZ$27)))))*(1.88E-23)*(25+273.15))/(EXP($A24-AZ$7))),((LN((Conductance_Eeq!AZ23/MAX(Conductance_Eeq!AZ$7:AZ$27))))*(1.88E-23)*(25+273.15))/(EXP($A24-AZ$7))))</f>
        <v>-4.170642638799599E-51</v>
      </c>
      <c r="BA24">
        <f>IF(ISBLANK(Conductance_Eeq!BA23),"",IF(Conductance_Eeq!BA23&lt;0,((LN(ABS(((Conductance_Eeq!BA23/MAX(Conductance_Eeq!BA$7:BA$27)))))*(1.88E-23)*(25+273.15))/(EXP($A24-BA$7))),((LN((Conductance_Eeq!BA23/MAX(Conductance_Eeq!BA$7:BA$27))))*(1.88E-23)*(25+273.15))/(EXP($A24-BA$7))))</f>
        <v>-4.5326939018341207E-51</v>
      </c>
      <c r="BB24" t="str">
        <f>IF(ISBLANK(Conductance_Eeq!BB23),"",IF(Conductance_Eeq!BB23&lt;0,((LN(ABS(((Conductance_Eeq!BB23/MAX(Conductance_Eeq!BB$7:BB$27)))))*(1.88E-23)*(25+273.15))/(EXP($A24-BB$7))),((LN((Conductance_Eeq!BB23/MAX(Conductance_Eeq!BB$7:BB$27))))*(1.88E-23)*(25+273.15))/(EXP($A24-BB$7))))</f>
        <v/>
      </c>
      <c r="BC24">
        <f>IF(ISBLANK(Conductance_Eeq!BC23),"",IF(Conductance_Eeq!BC23&lt;0,((LN(ABS(((Conductance_Eeq!BC23/MAX(Conductance_Eeq!BC$7:BC$27)))))*(1.88E-23)*(25+273.15))/(EXP($A24-BC$7))),((LN((Conductance_Eeq!BC23/MAX(Conductance_Eeq!BC$7:BC$27))))*(1.88E-23)*(25+273.15))/(EXP($A24-BC$7))))</f>
        <v>-2.3144636908663362E-52</v>
      </c>
      <c r="BD24">
        <f>IF(ISBLANK(Conductance_Eeq!BD23),"",IF(Conductance_Eeq!BD23&lt;0,((LN(ABS(((Conductance_Eeq!BD23/MAX(Conductance_Eeq!BD$7:BD$27)))))*(1.88E-23)*(25+273.15))/(EXP($A24-BD$7))),((LN((Conductance_Eeq!BD23/MAX(Conductance_Eeq!BD$7:BD$27))))*(1.88E-23)*(25+273.15))/(EXP($A24-BD$7))))</f>
        <v>-2.38985967337492E-52</v>
      </c>
      <c r="BE24">
        <f>IF(ISBLANK(Conductance_Eeq!BE23),"",IF(Conductance_Eeq!BE23&lt;0,((LN(ABS(((Conductance_Eeq!BE23/MAX(Conductance_Eeq!BE$7:BE$27)))))*(1.88E-23)*(25+273.15))/(EXP($A24-BE$7))),((LN((Conductance_Eeq!BE23/MAX(Conductance_Eeq!BE$7:BE$27))))*(1.88E-23)*(25+273.15))/(EXP($A24-BE$7))))</f>
        <v>-8.6146833552619122E-52</v>
      </c>
      <c r="BF24">
        <f>IF(ISBLANK(Conductance_Eeq!BF23),"",IF(Conductance_Eeq!BF23&lt;0,((LN(ABS(((Conductance_Eeq!BF23/MAX(Conductance_Eeq!BF$7:BF$27)))))*(1.88E-23)*(25+273.15))/(EXP($A24-BF$7))),((LN((Conductance_Eeq!BF23/MAX(Conductance_Eeq!BF$7:BF$27))))*(1.88E-23)*(25+273.15))/(EXP($A24-BF$7))))</f>
        <v>-8.269174326066682E-52</v>
      </c>
      <c r="BG24">
        <f>IF(ISBLANK(Conductance_Eeq!BG23),"",IF(Conductance_Eeq!BG23&lt;0,((LN(ABS(((Conductance_Eeq!BG23/MAX(Conductance_Eeq!BG$7:BG$27)))))*(1.88E-23)*(25+273.15))/(EXP($A24-BG$7))),((LN((Conductance_Eeq!BG23/MAX(Conductance_Eeq!BG$7:BG$27))))*(1.88E-23)*(25+273.15))/(EXP($A24-BG$7))))</f>
        <v>-1.4363058828841427E-50</v>
      </c>
      <c r="BH24">
        <f>IF(ISBLANK(Conductance_Eeq!BH23),"",IF(Conductance_Eeq!BH23&lt;0,((LN(ABS(((Conductance_Eeq!BH23/MAX(Conductance_Eeq!BH$7:BH$27)))))*(1.88E-23)*(25+273.15))/(EXP($A24-BH$7))),((LN((Conductance_Eeq!BH23/MAX(Conductance_Eeq!BH$7:BH$27))))*(1.88E-23)*(25+273.15))/(EXP($A24-BH$7))))</f>
        <v>-3.4095256034702476E-53</v>
      </c>
      <c r="BI24" t="str">
        <f>IF(ISBLANK(Conductance_Eeq!BI23),"",IF(Conductance_Eeq!BI23&lt;0,((LN(ABS(((Conductance_Eeq!BI23/MAX(Conductance_Eeq!BI$7:BI$27)))))*(1.88E-23)*(25+273.15))/(EXP($A24-BI$7))),((LN((Conductance_Eeq!BI23/MAX(Conductance_Eeq!BI$7:BI$27))))*(1.88E-23)*(25+273.15))/(EXP($A24-BI$7))))</f>
        <v/>
      </c>
      <c r="BJ24">
        <f>IF(ISBLANK(Conductance_Eeq!BJ23),"",IF(Conductance_Eeq!BJ23&lt;0,((LN(ABS(((Conductance_Eeq!BJ23/MAX(Conductance_Eeq!BJ$7:BJ$27)))))*(1.88E-23)*(25+273.15))/(EXP($A24-BJ$7))),((LN((Conductance_Eeq!BJ23/MAX(Conductance_Eeq!BJ$7:BJ$27))))*(1.88E-23)*(25+273.15))/(EXP($A24-BJ$7))))</f>
        <v>-1.0563758073820149E-51</v>
      </c>
      <c r="BK24">
        <f>IF(ISBLANK(Conductance_Eeq!BK23),"",IF(Conductance_Eeq!BK23&lt;0,((LN(ABS(((Conductance_Eeq!BK23/MAX(Conductance_Eeq!BK$7:BK$27)))))*(1.88E-23)*(25+273.15))/(EXP($A24-BK$7))),((LN((Conductance_Eeq!BK23/MAX(Conductance_Eeq!BK$7:BK$27))))*(1.88E-23)*(25+273.15))/(EXP($A24-BK$7))))</f>
        <v>-1.0084046497172616E-51</v>
      </c>
      <c r="BL24">
        <f>IF(ISBLANK(Conductance_Eeq!BL23),"",IF(Conductance_Eeq!BL23&lt;0,((LN(ABS(((Conductance_Eeq!BL23/MAX(Conductance_Eeq!BL$7:BL$27)))))*(1.88E-23)*(25+273.15))/(EXP($A24-BL$7))),((LN((Conductance_Eeq!BL23/MAX(Conductance_Eeq!BL$7:BL$27))))*(1.88E-23)*(25+273.15))/(EXP($A24-BL$7))))</f>
        <v>-9.2880413022934224E-52</v>
      </c>
      <c r="BM24">
        <f>IF(ISBLANK(Conductance_Eeq!BM23),"",IF(Conductance_Eeq!BM23&lt;0,((LN(ABS(((Conductance_Eeq!BM23/MAX(Conductance_Eeq!BM$7:BM$27)))))*(1.88E-23)*(25+273.15))/(EXP($A24-BM$7))),((LN((Conductance_Eeq!BM23/MAX(Conductance_Eeq!BM$7:BM$27))))*(1.88E-23)*(25+273.15))/(EXP($A24-BM$7))))</f>
        <v>-1.5718589121978251E-51</v>
      </c>
      <c r="BN24">
        <f>IF(ISBLANK(Conductance_Eeq!BN23),"",IF(Conductance_Eeq!BN23&lt;0,((LN(ABS(((Conductance_Eeq!BN23/MAX(Conductance_Eeq!BN$7:BN$27)))))*(1.88E-23)*(25+273.15))/(EXP($A24-BN$7))),((LN((Conductance_Eeq!BN23/MAX(Conductance_Eeq!BN$7:BN$27))))*(1.88E-23)*(25+273.15))/(EXP($A24-BN$7))))</f>
        <v>-2.6182349660628569E-53</v>
      </c>
      <c r="BO24">
        <f>IF(ISBLANK(Conductance_Eeq!BO23),"",IF(Conductance_Eeq!BO23&lt;0,((LN(ABS(((Conductance_Eeq!BO23/MAX(Conductance_Eeq!BO$7:BO$27)))))*(1.88E-23)*(25+273.15))/(EXP($A24-BO$7))),((LN((Conductance_Eeq!BO23/MAX(Conductance_Eeq!BO$7:BO$27))))*(1.88E-23)*(25+273.15))/(EXP($A24-BO$7))))</f>
        <v>-4.6021997472990383E-53</v>
      </c>
      <c r="BP24">
        <f>IF(ISBLANK(Conductance_Eeq!BP23),"",IF(Conductance_Eeq!BP23&lt;0,((LN(ABS(((Conductance_Eeq!BP23/MAX(Conductance_Eeq!BP$7:BP$27)))))*(1.88E-23)*(25+273.15))/(EXP($A24-BP$7))),((LN((Conductance_Eeq!BP23/MAX(Conductance_Eeq!BP$7:BP$27))))*(1.88E-23)*(25+273.15))/(EXP($A24-BP$7))))</f>
        <v>-3.5406544278826513E-52</v>
      </c>
      <c r="BQ24">
        <f>IF(ISBLANK(Conductance_Eeq!BQ23),"",IF(Conductance_Eeq!BQ23&lt;0,((LN(ABS(((Conductance_Eeq!BQ23/MAX(Conductance_Eeq!BQ$7:BQ$27)))))*(1.88E-23)*(25+273.15))/(EXP($A24-BQ$7))),((LN((Conductance_Eeq!BQ23/MAX(Conductance_Eeq!BQ$7:BQ$27))))*(1.88E-23)*(25+273.15))/(EXP($A24-BQ$7))))</f>
        <v>-1.3985398005550883E-51</v>
      </c>
      <c r="BR24">
        <f>IF(ISBLANK(Conductance_Eeq!BR23),"",IF(Conductance_Eeq!BR23&lt;0,((LN(ABS(((Conductance_Eeq!BR23/MAX(Conductance_Eeq!BR$7:BR$27)))))*(1.88E-23)*(25+273.15))/(EXP($A24-BR$7))),((LN((Conductance_Eeq!BR23/MAX(Conductance_Eeq!BR$7:BR$27))))*(1.88E-23)*(25+273.15))/(EXP($A24-BR$7))))</f>
        <v>-1.4100563228847347E-52</v>
      </c>
      <c r="BS24">
        <f>IF(ISBLANK(Conductance_Eeq!BS23),"",IF(Conductance_Eeq!BS23&lt;0,((LN(ABS(((Conductance_Eeq!BS23/MAX(Conductance_Eeq!BS$7:BS$27)))))*(1.88E-23)*(25+273.15))/(EXP($A24-BS$7))),((LN((Conductance_Eeq!BS23/MAX(Conductance_Eeq!BS$7:BS$27))))*(1.88E-23)*(25+273.15))/(EXP($A24-BS$7))))</f>
        <v>-2.4455160685800291E-52</v>
      </c>
      <c r="BT24">
        <f>IF(ISBLANK(Conductance_Eeq!BT23),"",IF(Conductance_Eeq!BT23&lt;0,((LN(ABS(((Conductance_Eeq!BT23/MAX(Conductance_Eeq!BT$7:BT$27)))))*(1.88E-23)*(25+273.15))/(EXP($A24-BT$7))),((LN((Conductance_Eeq!BT23/MAX(Conductance_Eeq!BT$7:BT$27))))*(1.88E-23)*(25+273.15))/(EXP($A24-BT$7))))</f>
        <v>-1.4566714580248412E-51</v>
      </c>
      <c r="BU24">
        <f>IF(ISBLANK(Conductance_Eeq!BU23),"",IF(Conductance_Eeq!BU23&lt;0,((LN(ABS(((Conductance_Eeq!BU23/MAX(Conductance_Eeq!BU$7:BU$27)))))*(1.88E-23)*(25+273.15))/(EXP($A24-BU$7))),((LN((Conductance_Eeq!BU23/MAX(Conductance_Eeq!BU$7:BU$27))))*(1.88E-23)*(25+273.15))/(EXP($A24-BU$7))))</f>
        <v>-4.7349397953144689E-51</v>
      </c>
      <c r="BV24">
        <f>IF(ISBLANK(Conductance_Eeq!BV23),"",IF(Conductance_Eeq!BV23&lt;0,((LN(ABS(((Conductance_Eeq!BV23/MAX(Conductance_Eeq!BV$7:BV$27)))))*(1.88E-23)*(25+273.15))/(EXP($A24-BV$7))),((LN((Conductance_Eeq!BV23/MAX(Conductance_Eeq!BV$7:BV$27))))*(1.88E-23)*(25+273.15))/(EXP($A24-BV$7))))</f>
        <v>-9.9285061685793643E-52</v>
      </c>
      <c r="BW24">
        <f>IF(ISBLANK(Conductance_Eeq!BW23),"",IF(Conductance_Eeq!BW23&lt;0,((LN(ABS(((Conductance_Eeq!BW23/MAX(Conductance_Eeq!BW$7:BW$27)))))*(1.88E-23)*(25+273.15))/(EXP($A24-BW$7))),((LN((Conductance_Eeq!BW23/MAX(Conductance_Eeq!BW$7:BW$27))))*(1.88E-23)*(25+273.15))/(EXP($A24-BW$7))))</f>
        <v>-1.672674022344237E-51</v>
      </c>
      <c r="BX24">
        <f>IF(ISBLANK(Conductance_Eeq!BX23),"",IF(Conductance_Eeq!BX23&lt;0,((LN(ABS(((Conductance_Eeq!BX23/MAX(Conductance_Eeq!BX$7:BX$27)))))*(1.88E-23)*(25+273.15))/(EXP($A24-BX$7))),((LN((Conductance_Eeq!BX23/MAX(Conductance_Eeq!BX$7:BX$27))))*(1.88E-23)*(25+273.15))/(EXP($A24-BX$7))))</f>
        <v>-9.7504970884481604E-52</v>
      </c>
      <c r="BY24" t="str">
        <f>IF(ISBLANK(Conductance_Eeq!BY23),"",IF(Conductance_Eeq!BY23&lt;0,((LN(ABS(((Conductance_Eeq!BY23/MAX(Conductance_Eeq!BY$7:BY$27)))))*(1.88E-23)*(25+273.15))/(EXP($A24-BY$7))),((LN((Conductance_Eeq!BY23/MAX(Conductance_Eeq!BY$7:BY$27))))*(1.88E-23)*(25+273.15))/(EXP($A24-BY$7))))</f>
        <v/>
      </c>
      <c r="BZ24">
        <f>IF(ISBLANK(Conductance_Eeq!BZ23),"",IF(Conductance_Eeq!BZ23&lt;0,((LN(ABS(((Conductance_Eeq!BZ23/MAX(Conductance_Eeq!BZ$7:BZ$27)))))*(1.88E-23)*(25+273.15))/(EXP($A24-BZ$7))),((LN((Conductance_Eeq!BZ23/MAX(Conductance_Eeq!BZ$7:BZ$27))))*(1.88E-23)*(25+273.15))/(EXP($A24-BZ$7))))</f>
        <v>-7.0050865707809926E-53</v>
      </c>
      <c r="CA24">
        <f>IF(ISBLANK(Conductance_Eeq!CA23),"",IF(Conductance_Eeq!CA23&lt;0,((LN(ABS(((Conductance_Eeq!CA23/MAX(Conductance_Eeq!CA$7:CA$27)))))*(1.88E-23)*(25+273.15))/(EXP($A24-CA$7))),((LN((Conductance_Eeq!CA23/MAX(Conductance_Eeq!CA$7:CA$27))))*(1.88E-23)*(25+273.15))/(EXP($A24-CA$7))))</f>
        <v>-3.545765929086779E-52</v>
      </c>
      <c r="CB24">
        <f>IF(ISBLANK(Conductance_Eeq!CB23),"",IF(Conductance_Eeq!CB23&lt;0,((LN(ABS(((Conductance_Eeq!CB23/MAX(Conductance_Eeq!CB$7:CB$27)))))*(1.88E-23)*(25+273.15))/(EXP($A24-CB$7))),((LN((Conductance_Eeq!CB23/MAX(Conductance_Eeq!CB$7:CB$27))))*(1.88E-23)*(25+273.15))/(EXP($A24-CB$7))))</f>
        <v>-1.0467998757557662E-51</v>
      </c>
      <c r="CC24">
        <f>IF(ISBLANK(Conductance_Eeq!CC23),"",IF(Conductance_Eeq!CC23&lt;0,((LN(ABS(((Conductance_Eeq!CC23/MAX(Conductance_Eeq!CC$7:CC$27)))))*(1.88E-23)*(25+273.15))/(EXP($A24-CC$7))),((LN((Conductance_Eeq!CC23/MAX(Conductance_Eeq!CC$7:CC$27))))*(1.88E-23)*(25+273.15))/(EXP($A24-CC$7))))</f>
        <v>-1.9538359772162309E-49</v>
      </c>
      <c r="CD24">
        <f>IF(ISBLANK(Conductance_Eeq!CD23),"",IF(Conductance_Eeq!CD23&lt;0,((LN(ABS(((Conductance_Eeq!CD23/MAX(Conductance_Eeq!CD$7:CD$27)))))*(1.88E-23)*(25+273.15))/(EXP($A24-CD$7))),((LN((Conductance_Eeq!CD23/MAX(Conductance_Eeq!CD$7:CD$27))))*(1.88E-23)*(25+273.15))/(EXP($A24-CD$7))))</f>
        <v>-2.6427392513416792E-51</v>
      </c>
    </row>
    <row r="25" spans="1:82" x14ac:dyDescent="0.2">
      <c r="A25" s="3">
        <f t="shared" si="0"/>
        <v>90</v>
      </c>
      <c r="B25">
        <f>IF(ISBLANK(Conductance_Eeq!B24),"",IF(Conductance_Eeq!B24&lt;0,((LN(ABS(((Conductance_Eeq!B24/MAX(Conductance_Eeq!B$7:B$27)))))*(1.88E-23)*(25+273.15))/(EXP($A25-B$7))),((LN((Conductance_Eeq!B24/MAX(Conductance_Eeq!B$7:B$27))))*(1.88E-23)*(25+273.15))/(EXP($A25-B$7))))</f>
        <v>-7.6848548852926099E-56</v>
      </c>
      <c r="C25">
        <f>IF(ISBLANK(Conductance_Eeq!C24),"",IF(Conductance_Eeq!C24&lt;0,((LN(ABS(((Conductance_Eeq!C24/MAX(Conductance_Eeq!C$7:C$27)))))*(1.88E-23)*(25+273.15))/(EXP($A25-C$7))),((LN((Conductance_Eeq!C24/MAX(Conductance_Eeq!C$7:C$27))))*(1.88E-23)*(25+273.15))/(EXP($A25-C$7))))</f>
        <v>-1.2248271329395917E-55</v>
      </c>
      <c r="D25" t="str">
        <f>IF(ISBLANK(Conductance_Eeq!D24),"",IF(Conductance_Eeq!D24&lt;0,((LN(ABS(((Conductance_Eeq!D24/MAX(Conductance_Eeq!D$7:D$27)))))*(1.88E-23)*(25+273.15))/(EXP($A25-D$7))),((LN((Conductance_Eeq!D24/MAX(Conductance_Eeq!D$7:D$27))))*(1.88E-23)*(25+273.15))/(EXP($A25-D$7))))</f>
        <v/>
      </c>
      <c r="E25" t="str">
        <f>IF(ISBLANK(Conductance_Eeq!E24),"",IF(Conductance_Eeq!E24&lt;0,((LN(ABS(((Conductance_Eeq!E24/MAX(Conductance_Eeq!E$7:E$27)))))*(1.88E-23)*(25+273.15))/(EXP($A25-E$7))),((LN((Conductance_Eeq!E24/MAX(Conductance_Eeq!E$7:E$27))))*(1.88E-23)*(25+273.15))/(EXP($A25-E$7))))</f>
        <v/>
      </c>
      <c r="F25" t="str">
        <f>IF(ISBLANK(Conductance_Eeq!F24),"",IF(Conductance_Eeq!F24&lt;0,((LN(ABS(((Conductance_Eeq!F24/MAX(Conductance_Eeq!F$7:F$27)))))*(1.88E-23)*(25+273.15))/(EXP($A25-F$7))),((LN((Conductance_Eeq!F24/MAX(Conductance_Eeq!F$7:F$27))))*(1.88E-23)*(25+273.15))/(EXP($A25-F$7))))</f>
        <v/>
      </c>
      <c r="G25" t="str">
        <f>IF(ISBLANK(Conductance_Eeq!G24),"",IF(Conductance_Eeq!G24&lt;0,((LN(ABS(((Conductance_Eeq!G24/MAX(Conductance_Eeq!G$7:G$27)))))*(1.88E-23)*(25+273.15))/(EXP($A25-G$7))),((LN((Conductance_Eeq!G24/MAX(Conductance_Eeq!G$7:G$27))))*(1.88E-23)*(25+273.15))/(EXP($A25-G$7))))</f>
        <v/>
      </c>
      <c r="H25" t="str">
        <f>IF(ISBLANK(Conductance_Eeq!H24),"",IF(Conductance_Eeq!H24&lt;0,((LN(ABS(((Conductance_Eeq!H24/MAX(Conductance_Eeq!H$7:H$27)))))*(1.88E-23)*(25+273.15))/(EXP($A25-H$7))),((LN((Conductance_Eeq!H24/MAX(Conductance_Eeq!H$7:H$27))))*(1.88E-23)*(25+273.15))/(EXP($A25-H$7))))</f>
        <v/>
      </c>
      <c r="I25" t="str">
        <f>IF(ISBLANK(Conductance_Eeq!I24),"",IF(Conductance_Eeq!I24&lt;0,((LN(ABS(((Conductance_Eeq!I24/MAX(Conductance_Eeq!I$7:I$27)))))*(1.88E-23)*(25+273.15))/(EXP($A25-I$7))),((LN((Conductance_Eeq!I24/MAX(Conductance_Eeq!I$7:I$27))))*(1.88E-23)*(25+273.15))/(EXP($A25-I$7))))</f>
        <v/>
      </c>
      <c r="J25" t="str">
        <f>IF(ISBLANK(Conductance_Eeq!J24),"",IF(Conductance_Eeq!J24&lt;0,((LN(ABS(((Conductance_Eeq!J24/MAX(Conductance_Eeq!J$7:J$27)))))*(1.88E-23)*(25+273.15))/(EXP($A25-J$7))),((LN((Conductance_Eeq!J24/MAX(Conductance_Eeq!J$7:J$27))))*(1.88E-23)*(25+273.15))/(EXP($A25-J$7))))</f>
        <v/>
      </c>
      <c r="K25">
        <f>IF(ISBLANK(Conductance_Eeq!K24),"",IF(Conductance_Eeq!K24&lt;0,((LN(ABS(((Conductance_Eeq!K24/MAX(Conductance_Eeq!K$7:K$27)))))*(1.88E-23)*(25+273.15))/(EXP($A25-K$7))),((LN((Conductance_Eeq!K24/MAX(Conductance_Eeq!K$7:K$27))))*(1.88E-23)*(25+273.15))/(EXP($A25-K$7))))</f>
        <v>-9.2417596153012854E-56</v>
      </c>
      <c r="L25" t="str">
        <f>IF(ISBLANK(Conductance_Eeq!L24),"",IF(Conductance_Eeq!L24&lt;0,((LN(ABS(((Conductance_Eeq!L24/MAX(Conductance_Eeq!L$7:L$27)))))*(1.88E-23)*(25+273.15))/(EXP($A25-L$7))),((LN((Conductance_Eeq!L24/MAX(Conductance_Eeq!L$7:L$27))))*(1.88E-23)*(25+273.15))/(EXP($A25-L$7))))</f>
        <v/>
      </c>
      <c r="M25">
        <f>IF(ISBLANK(Conductance_Eeq!M24),"",IF(Conductance_Eeq!M24&lt;0,((LN(ABS(((Conductance_Eeq!M24/MAX(Conductance_Eeq!M$7:M$27)))))*(1.88E-23)*(25+273.15))/(EXP($A25-M$7))),((LN((Conductance_Eeq!M24/MAX(Conductance_Eeq!M$7:M$27))))*(1.88E-23)*(25+273.15))/(EXP($A25-M$7))))</f>
        <v>-5.1482928086948331E-57</v>
      </c>
      <c r="N25" t="str">
        <f>IF(ISBLANK(Conductance_Eeq!N24),"",IF(Conductance_Eeq!N24&lt;0,((LN(ABS(((Conductance_Eeq!N24/MAX(Conductance_Eeq!N$7:N$27)))))*(1.88E-23)*(25+273.15))/(EXP($A25-N$7))),((LN((Conductance_Eeq!N24/MAX(Conductance_Eeq!N$7:N$27))))*(1.88E-23)*(25+273.15))/(EXP($A25-N$7))))</f>
        <v/>
      </c>
      <c r="O25" t="str">
        <f>IF(ISBLANK(Conductance_Eeq!O24),"",IF(Conductance_Eeq!O24&lt;0,((LN(ABS(((Conductance_Eeq!O24/MAX(Conductance_Eeq!O$7:O$27)))))*(1.88E-23)*(25+273.15))/(EXP($A25-O$7))),((LN((Conductance_Eeq!O24/MAX(Conductance_Eeq!O$7:O$27))))*(1.88E-23)*(25+273.15))/(EXP($A25-O$7))))</f>
        <v/>
      </c>
      <c r="P25" t="str">
        <f>IF(ISBLANK(Conductance_Eeq!P24),"",IF(Conductance_Eeq!P24&lt;0,((LN(ABS(((Conductance_Eeq!P24/MAX(Conductance_Eeq!P$7:P$27)))))*(1.88E-23)*(25+273.15))/(EXP($A25-P$7))),((LN((Conductance_Eeq!P24/MAX(Conductance_Eeq!P$7:P$27))))*(1.88E-23)*(25+273.15))/(EXP($A25-P$7))))</f>
        <v/>
      </c>
      <c r="Q25" t="str">
        <f>IF(ISBLANK(Conductance_Eeq!Q24),"",IF(Conductance_Eeq!Q24&lt;0,((LN(ABS(((Conductance_Eeq!Q24/MAX(Conductance_Eeq!Q$7:Q$27)))))*(1.88E-23)*(25+273.15))/(EXP($A25-Q$7))),((LN((Conductance_Eeq!Q24/MAX(Conductance_Eeq!Q$7:Q$27))))*(1.88E-23)*(25+273.15))/(EXP($A25-Q$7))))</f>
        <v/>
      </c>
      <c r="R25" t="str">
        <f>IF(ISBLANK(Conductance_Eeq!R24),"",IF(Conductance_Eeq!R24&lt;0,((LN(ABS(((Conductance_Eeq!R24/MAX(Conductance_Eeq!R$7:R$27)))))*(1.88E-23)*(25+273.15))/(EXP($A25-R$7))),((LN((Conductance_Eeq!R24/MAX(Conductance_Eeq!R$7:R$27))))*(1.88E-23)*(25+273.15))/(EXP($A25-R$7))))</f>
        <v/>
      </c>
      <c r="S25" t="str">
        <f>IF(ISBLANK(Conductance_Eeq!S24),"",IF(Conductance_Eeq!S24&lt;0,((LN(ABS(((Conductance_Eeq!S24/MAX(Conductance_Eeq!S$7:S$27)))))*(1.88E-23)*(25+273.15))/(EXP($A25-S$7))),((LN((Conductance_Eeq!S24/MAX(Conductance_Eeq!S$7:S$27))))*(1.88E-23)*(25+273.15))/(EXP($A25-S$7))))</f>
        <v/>
      </c>
      <c r="T25" t="str">
        <f>IF(ISBLANK(Conductance_Eeq!T24),"",IF(Conductance_Eeq!T24&lt;0,((LN(ABS(((Conductance_Eeq!T24/MAX(Conductance_Eeq!T$7:T$27)))))*(1.88E-23)*(25+273.15))/(EXP($A25-T$7))),((LN((Conductance_Eeq!T24/MAX(Conductance_Eeq!T$7:T$27))))*(1.88E-23)*(25+273.15))/(EXP($A25-T$7))))</f>
        <v/>
      </c>
      <c r="U25" t="str">
        <f>IF(ISBLANK(Conductance_Eeq!U24),"",IF(Conductance_Eeq!U24&lt;0,((LN(ABS(((Conductance_Eeq!U24/MAX(Conductance_Eeq!U$7:U$27)))))*(1.88E-23)*(25+273.15))/(EXP($A25-U$7))),((LN((Conductance_Eeq!U24/MAX(Conductance_Eeq!U$7:U$27))))*(1.88E-23)*(25+273.15))/(EXP($A25-U$7))))</f>
        <v/>
      </c>
      <c r="V25" t="str">
        <f>IF(ISBLANK(Conductance_Eeq!V24),"",IF(Conductance_Eeq!V24&lt;0,((LN(ABS(((Conductance_Eeq!V24/MAX(Conductance_Eeq!V$7:V$27)))))*(1.88E-23)*(25+273.15))/(EXP($A25-V$7))),((LN((Conductance_Eeq!V24/MAX(Conductance_Eeq!V$7:V$27))))*(1.88E-23)*(25+273.15))/(EXP($A25-V$7))))</f>
        <v/>
      </c>
      <c r="W25" t="str">
        <f>IF(ISBLANK(Conductance_Eeq!W24),"",IF(Conductance_Eeq!W24&lt;0,((LN(ABS(((Conductance_Eeq!W24/MAX(Conductance_Eeq!W$7:W$27)))))*(1.88E-23)*(25+273.15))/(EXP($A25-W$7))),((LN((Conductance_Eeq!W24/MAX(Conductance_Eeq!W$7:W$27))))*(1.88E-23)*(25+273.15))/(EXP($A25-W$7))))</f>
        <v/>
      </c>
      <c r="X25" t="str">
        <f>IF(ISBLANK(Conductance_Eeq!X24),"",IF(Conductance_Eeq!X24&lt;0,((LN(ABS(((Conductance_Eeq!X24/MAX(Conductance_Eeq!X$7:X$27)))))*(1.88E-23)*(25+273.15))/(EXP($A25-X$7))),((LN((Conductance_Eeq!X24/MAX(Conductance_Eeq!X$7:X$27))))*(1.88E-23)*(25+273.15))/(EXP($A25-X$7))))</f>
        <v/>
      </c>
      <c r="Y25" t="str">
        <f>IF(ISBLANK(Conductance_Eeq!Y24),"",IF(Conductance_Eeq!Y24&lt;0,((LN(ABS(((Conductance_Eeq!Y24/MAX(Conductance_Eeq!Y$7:Y$27)))))*(1.88E-23)*(25+273.15))/(EXP($A25-Y$7))),((LN((Conductance_Eeq!Y24/MAX(Conductance_Eeq!Y$7:Y$27))))*(1.88E-23)*(25+273.15))/(EXP($A25-Y$7))))</f>
        <v/>
      </c>
      <c r="Z25" t="str">
        <f>IF(ISBLANK(Conductance_Eeq!Z24),"",IF(Conductance_Eeq!Z24&lt;0,((LN(ABS(((Conductance_Eeq!Z24/MAX(Conductance_Eeq!Z$7:Z$27)))))*(1.88E-23)*(25+273.15))/(EXP($A25-Z$7))),((LN((Conductance_Eeq!Z24/MAX(Conductance_Eeq!Z$7:Z$27))))*(1.88E-23)*(25+273.15))/(EXP($A25-Z$7))))</f>
        <v/>
      </c>
      <c r="AA25" t="str">
        <f>IF(ISBLANK(Conductance_Eeq!AA24),"",IF(Conductance_Eeq!AA24&lt;0,((LN(ABS(((Conductance_Eeq!AA24/MAX(Conductance_Eeq!AA$7:AA$27)))))*(1.88E-23)*(25+273.15))/(EXP($A25-AA$7))),((LN((Conductance_Eeq!AA24/MAX(Conductance_Eeq!AA$7:AA$27))))*(1.88E-23)*(25+273.15))/(EXP($A25-AA$7))))</f>
        <v/>
      </c>
      <c r="AB25" t="str">
        <f>IF(ISBLANK(Conductance_Eeq!AB24),"",IF(Conductance_Eeq!AB24&lt;0,((LN(ABS(((Conductance_Eeq!AB24/MAX(Conductance_Eeq!AB$7:AB$27)))))*(1.88E-23)*(25+273.15))/(EXP($A25-AB$7))),((LN((Conductance_Eeq!AB24/MAX(Conductance_Eeq!AB$7:AB$27))))*(1.88E-23)*(25+273.15))/(EXP($A25-AB$7))))</f>
        <v/>
      </c>
      <c r="AC25" t="str">
        <f>IF(ISBLANK(Conductance_Eeq!AC24),"",IF(Conductance_Eeq!AC24&lt;0,((LN(ABS(((Conductance_Eeq!AC24/MAX(Conductance_Eeq!AC$7:AC$27)))))*(1.88E-23)*(25+273.15))/(EXP($A25-AC$7))),((LN((Conductance_Eeq!AC24/MAX(Conductance_Eeq!AC$7:AC$27))))*(1.88E-23)*(25+273.15))/(EXP($A25-AC$7))))</f>
        <v/>
      </c>
      <c r="AD25" t="str">
        <f>IF(ISBLANK(Conductance_Eeq!AD24),"",IF(Conductance_Eeq!AD24&lt;0,((LN(ABS(((Conductance_Eeq!AD24/MAX(Conductance_Eeq!AD$7:AD$27)))))*(1.88E-23)*(25+273.15))/(EXP($A25-AD$7))),((LN((Conductance_Eeq!AD24/MAX(Conductance_Eeq!AD$7:AD$27))))*(1.88E-23)*(25+273.15))/(EXP($A25-AD$7))))</f>
        <v/>
      </c>
      <c r="AE25" t="str">
        <f>IF(ISBLANK(Conductance_Eeq!AE24),"",IF(Conductance_Eeq!AE24&lt;0,((LN(ABS(((Conductance_Eeq!AE24/MAX(Conductance_Eeq!AE$7:AE$27)))))*(1.88E-23)*(25+273.15))/(EXP($A25-AE$7))),((LN((Conductance_Eeq!AE24/MAX(Conductance_Eeq!AE$7:AE$27))))*(1.88E-23)*(25+273.15))/(EXP($A25-AE$7))))</f>
        <v/>
      </c>
      <c r="AF25" t="str">
        <f>IF(ISBLANK(Conductance_Eeq!AF24),"",IF(Conductance_Eeq!AF24&lt;0,((LN(ABS(((Conductance_Eeq!AF24/MAX(Conductance_Eeq!AF$7:AF$27)))))*(1.88E-23)*(25+273.15))/(EXP($A25-AF$7))),((LN((Conductance_Eeq!AF24/MAX(Conductance_Eeq!AF$7:AF$27))))*(1.88E-23)*(25+273.15))/(EXP($A25-AF$7))))</f>
        <v/>
      </c>
      <c r="AG25" t="str">
        <f>IF(ISBLANK(Conductance_Eeq!AG24),"",IF(Conductance_Eeq!AG24&lt;0,((LN(ABS(((Conductance_Eeq!AG24/MAX(Conductance_Eeq!AG$7:AG$27)))))*(1.88E-23)*(25+273.15))/(EXP($A25-AG$7))),((LN((Conductance_Eeq!AG24/MAX(Conductance_Eeq!AG$7:AG$27))))*(1.88E-23)*(25+273.15))/(EXP($A25-AG$7))))</f>
        <v/>
      </c>
      <c r="AH25" t="str">
        <f>IF(ISBLANK(Conductance_Eeq!AH24),"",IF(Conductance_Eeq!AH24&lt;0,((LN(ABS(((Conductance_Eeq!AH24/MAX(Conductance_Eeq!AH$7:AH$27)))))*(1.88E-23)*(25+273.15))/(EXP($A25-AH$7))),((LN((Conductance_Eeq!AH24/MAX(Conductance_Eeq!AH$7:AH$27))))*(1.88E-23)*(25+273.15))/(EXP($A25-AH$7))))</f>
        <v/>
      </c>
      <c r="AI25" t="str">
        <f>IF(ISBLANK(Conductance_Eeq!AI24),"",IF(Conductance_Eeq!AI24&lt;0,((LN(ABS(((Conductance_Eeq!AI24/MAX(Conductance_Eeq!AI$7:AI$27)))))*(1.88E-23)*(25+273.15))/(EXP($A25-AI$7))),((LN((Conductance_Eeq!AI24/MAX(Conductance_Eeq!AI$7:AI$27))))*(1.88E-23)*(25+273.15))/(EXP($A25-AI$7))))</f>
        <v/>
      </c>
      <c r="AJ25" t="str">
        <f>IF(ISBLANK(Conductance_Eeq!AJ24),"",IF(Conductance_Eeq!AJ24&lt;0,((LN(ABS(((Conductance_Eeq!AJ24/MAX(Conductance_Eeq!AJ$7:AJ$27)))))*(1.88E-23)*(25+273.15))/(EXP($A25-AJ$7))),((LN((Conductance_Eeq!AJ24/MAX(Conductance_Eeq!AJ$7:AJ$27))))*(1.88E-23)*(25+273.15))/(EXP($A25-AJ$7))))</f>
        <v/>
      </c>
      <c r="AK25" t="str">
        <f>IF(ISBLANK(Conductance_Eeq!AK24),"",IF(Conductance_Eeq!AK24&lt;0,((LN(ABS(((Conductance_Eeq!AK24/MAX(Conductance_Eeq!AK$7:AK$27)))))*(1.88E-23)*(25+273.15))/(EXP($A25-AK$7))),((LN((Conductance_Eeq!AK24/MAX(Conductance_Eeq!AK$7:AK$27))))*(1.88E-23)*(25+273.15))/(EXP($A25-AK$7))))</f>
        <v/>
      </c>
      <c r="AL25" t="str">
        <f>IF(ISBLANK(Conductance_Eeq!AL24),"",IF(Conductance_Eeq!AL24&lt;0,((LN(ABS(((Conductance_Eeq!AL24/MAX(Conductance_Eeq!AL$7:AL$27)))))*(1.88E-23)*(25+273.15))/(EXP($A25-AL$7))),((LN((Conductance_Eeq!AL24/MAX(Conductance_Eeq!AL$7:AL$27))))*(1.88E-23)*(25+273.15))/(EXP($A25-AL$7))))</f>
        <v/>
      </c>
      <c r="AM25" t="str">
        <f>IF(ISBLANK(Conductance_Eeq!AM24),"",IF(Conductance_Eeq!AM24&lt;0,((LN(ABS(((Conductance_Eeq!AM24/MAX(Conductance_Eeq!AM$7:AM$27)))))*(1.88E-23)*(25+273.15))/(EXP($A25-AM$7))),((LN((Conductance_Eeq!AM24/MAX(Conductance_Eeq!AM$7:AM$27))))*(1.88E-23)*(25+273.15))/(EXP($A25-AM$7))))</f>
        <v/>
      </c>
      <c r="AN25" t="str">
        <f>IF(ISBLANK(Conductance_Eeq!AN24),"",IF(Conductance_Eeq!AN24&lt;0,((LN(ABS(((Conductance_Eeq!AN24/MAX(Conductance_Eeq!AN$7:AN$27)))))*(1.88E-23)*(25+273.15))/(EXP($A25-AN$7))),((LN((Conductance_Eeq!AN24/MAX(Conductance_Eeq!AN$7:AN$27))))*(1.88E-23)*(25+273.15))/(EXP($A25-AN$7))))</f>
        <v/>
      </c>
      <c r="AO25" t="str">
        <f>IF(ISBLANK(Conductance_Eeq!AO24),"",IF(Conductance_Eeq!AO24&lt;0,((LN(ABS(((Conductance_Eeq!AO24/MAX(Conductance_Eeq!AO$7:AO$27)))))*(1.88E-23)*(25+273.15))/(EXP($A25-AO$7))),((LN((Conductance_Eeq!AO24/MAX(Conductance_Eeq!AO$7:AO$27))))*(1.88E-23)*(25+273.15))/(EXP($A25-AO$7))))</f>
        <v/>
      </c>
      <c r="AP25" t="str">
        <f>IF(ISBLANK(Conductance_Eeq!AP24),"",IF(Conductance_Eeq!AP24&lt;0,((LN(ABS(((Conductance_Eeq!AP24/MAX(Conductance_Eeq!AP$7:AP$27)))))*(1.88E-23)*(25+273.15))/(EXP($A25-AP$7))),((LN((Conductance_Eeq!AP24/MAX(Conductance_Eeq!AP$7:AP$27))))*(1.88E-23)*(25+273.15))/(EXP($A25-AP$7))))</f>
        <v/>
      </c>
      <c r="AQ25" t="str">
        <f>IF(ISBLANK(Conductance_Eeq!AQ24),"",IF(Conductance_Eeq!AQ24&lt;0,((LN(ABS(((Conductance_Eeq!AQ24/MAX(Conductance_Eeq!AQ$7:AQ$27)))))*(1.88E-23)*(25+273.15))/(EXP($A25-AQ$7))),((LN((Conductance_Eeq!AQ24/MAX(Conductance_Eeq!AQ$7:AQ$27))))*(1.88E-23)*(25+273.15))/(EXP($A25-AQ$7))))</f>
        <v/>
      </c>
      <c r="AR25" t="str">
        <f>IF(ISBLANK(Conductance_Eeq!AR24),"",IF(Conductance_Eeq!AR24&lt;0,((LN(ABS(((Conductance_Eeq!AR24/MAX(Conductance_Eeq!AR$7:AR$27)))))*(1.88E-23)*(25+273.15))/(EXP($A25-AR$7))),((LN((Conductance_Eeq!AR24/MAX(Conductance_Eeq!AR$7:AR$27))))*(1.88E-23)*(25+273.15))/(EXP($A25-AR$7))))</f>
        <v/>
      </c>
      <c r="AS25" t="str">
        <f>IF(ISBLANK(Conductance_Eeq!AS24),"",IF(Conductance_Eeq!AS24&lt;0,((LN(ABS(((Conductance_Eeq!AS24/MAX(Conductance_Eeq!AS$7:AS$27)))))*(1.88E-23)*(25+273.15))/(EXP($A25-AS$7))),((LN((Conductance_Eeq!AS24/MAX(Conductance_Eeq!AS$7:AS$27))))*(1.88E-23)*(25+273.15))/(EXP($A25-AS$7))))</f>
        <v/>
      </c>
      <c r="AT25" t="str">
        <f>IF(ISBLANK(Conductance_Eeq!AT24),"",IF(Conductance_Eeq!AT24&lt;0,((LN(ABS(((Conductance_Eeq!AT24/MAX(Conductance_Eeq!AT$7:AT$27)))))*(1.88E-23)*(25+273.15))/(EXP($A25-AT$7))),((LN((Conductance_Eeq!AT24/MAX(Conductance_Eeq!AT$7:AT$27))))*(1.88E-23)*(25+273.15))/(EXP($A25-AT$7))))</f>
        <v/>
      </c>
      <c r="AU25" t="str">
        <f>IF(ISBLANK(Conductance_Eeq!AU24),"",IF(Conductance_Eeq!AU24&lt;0,((LN(ABS(((Conductance_Eeq!AU24/MAX(Conductance_Eeq!AU$7:AU$27)))))*(1.88E-23)*(25+273.15))/(EXP($A25-AU$7))),((LN((Conductance_Eeq!AU24/MAX(Conductance_Eeq!AU$7:AU$27))))*(1.88E-23)*(25+273.15))/(EXP($A25-AU$7))))</f>
        <v/>
      </c>
      <c r="AV25" t="str">
        <f>IF(ISBLANK(Conductance_Eeq!AV24),"",IF(Conductance_Eeq!AV24&lt;0,((LN(ABS(((Conductance_Eeq!AV24/MAX(Conductance_Eeq!AV$7:AV$27)))))*(1.88E-23)*(25+273.15))/(EXP($A25-AV$7))),((LN((Conductance_Eeq!AV24/MAX(Conductance_Eeq!AV$7:AV$27))))*(1.88E-23)*(25+273.15))/(EXP($A25-AV$7))))</f>
        <v/>
      </c>
      <c r="AW25" t="str">
        <f>IF(ISBLANK(Conductance_Eeq!AW24),"",IF(Conductance_Eeq!AW24&lt;0,((LN(ABS(((Conductance_Eeq!AW24/MAX(Conductance_Eeq!AW$7:AW$27)))))*(1.88E-23)*(25+273.15))/(EXP($A25-AW$7))),((LN((Conductance_Eeq!AW24/MAX(Conductance_Eeq!AW$7:AW$27))))*(1.88E-23)*(25+273.15))/(EXP($A25-AW$7))))</f>
        <v/>
      </c>
      <c r="AX25" t="str">
        <f>IF(ISBLANK(Conductance_Eeq!AX24),"",IF(Conductance_Eeq!AX24&lt;0,((LN(ABS(((Conductance_Eeq!AX24/MAX(Conductance_Eeq!AX$7:AX$27)))))*(1.88E-23)*(25+273.15))/(EXP($A25-AX$7))),((LN((Conductance_Eeq!AX24/MAX(Conductance_Eeq!AX$7:AX$27))))*(1.88E-23)*(25+273.15))/(EXP($A25-AX$7))))</f>
        <v/>
      </c>
      <c r="AY25" t="str">
        <f>IF(ISBLANK(Conductance_Eeq!AY24),"",IF(Conductance_Eeq!AY24&lt;0,((LN(ABS(((Conductance_Eeq!AY24/MAX(Conductance_Eeq!AY$7:AY$27)))))*(1.88E-23)*(25+273.15))/(EXP($A25-AY$7))),((LN((Conductance_Eeq!AY24/MAX(Conductance_Eeq!AY$7:AY$27))))*(1.88E-23)*(25+273.15))/(EXP($A25-AY$7))))</f>
        <v/>
      </c>
      <c r="AZ25" t="str">
        <f>IF(ISBLANK(Conductance_Eeq!AZ24),"",IF(Conductance_Eeq!AZ24&lt;0,((LN(ABS(((Conductance_Eeq!AZ24/MAX(Conductance_Eeq!AZ$7:AZ$27)))))*(1.88E-23)*(25+273.15))/(EXP($A25-AZ$7))),((LN((Conductance_Eeq!AZ24/MAX(Conductance_Eeq!AZ$7:AZ$27))))*(1.88E-23)*(25+273.15))/(EXP($A25-AZ$7))))</f>
        <v/>
      </c>
      <c r="BA25" t="str">
        <f>IF(ISBLANK(Conductance_Eeq!BA24),"",IF(Conductance_Eeq!BA24&lt;0,((LN(ABS(((Conductance_Eeq!BA24/MAX(Conductance_Eeq!BA$7:BA$27)))))*(1.88E-23)*(25+273.15))/(EXP($A25-BA$7))),((LN((Conductance_Eeq!BA24/MAX(Conductance_Eeq!BA$7:BA$27))))*(1.88E-23)*(25+273.15))/(EXP($A25-BA$7))))</f>
        <v/>
      </c>
      <c r="BB25" t="str">
        <f>IF(ISBLANK(Conductance_Eeq!BB24),"",IF(Conductance_Eeq!BB24&lt;0,((LN(ABS(((Conductance_Eeq!BB24/MAX(Conductance_Eeq!BB$7:BB$27)))))*(1.88E-23)*(25+273.15))/(EXP($A25-BB$7))),((LN((Conductance_Eeq!BB24/MAX(Conductance_Eeq!BB$7:BB$27))))*(1.88E-23)*(25+273.15))/(EXP($A25-BB$7))))</f>
        <v/>
      </c>
      <c r="BC25" t="str">
        <f>IF(ISBLANK(Conductance_Eeq!BC24),"",IF(Conductance_Eeq!BC24&lt;0,((LN(ABS(((Conductance_Eeq!BC24/MAX(Conductance_Eeq!BC$7:BC$27)))))*(1.88E-23)*(25+273.15))/(EXP($A25-BC$7))),((LN((Conductance_Eeq!BC24/MAX(Conductance_Eeq!BC$7:BC$27))))*(1.88E-23)*(25+273.15))/(EXP($A25-BC$7))))</f>
        <v/>
      </c>
      <c r="BD25" t="str">
        <f>IF(ISBLANK(Conductance_Eeq!BD24),"",IF(Conductance_Eeq!BD24&lt;0,((LN(ABS(((Conductance_Eeq!BD24/MAX(Conductance_Eeq!BD$7:BD$27)))))*(1.88E-23)*(25+273.15))/(EXP($A25-BD$7))),((LN((Conductance_Eeq!BD24/MAX(Conductance_Eeq!BD$7:BD$27))))*(1.88E-23)*(25+273.15))/(EXP($A25-BD$7))))</f>
        <v/>
      </c>
      <c r="BE25" t="str">
        <f>IF(ISBLANK(Conductance_Eeq!BE24),"",IF(Conductance_Eeq!BE24&lt;0,((LN(ABS(((Conductance_Eeq!BE24/MAX(Conductance_Eeq!BE$7:BE$27)))))*(1.88E-23)*(25+273.15))/(EXP($A25-BE$7))),((LN((Conductance_Eeq!BE24/MAX(Conductance_Eeq!BE$7:BE$27))))*(1.88E-23)*(25+273.15))/(EXP($A25-BE$7))))</f>
        <v/>
      </c>
      <c r="BF25" t="str">
        <f>IF(ISBLANK(Conductance_Eeq!BF24),"",IF(Conductance_Eeq!BF24&lt;0,((LN(ABS(((Conductance_Eeq!BF24/MAX(Conductance_Eeq!BF$7:BF$27)))))*(1.88E-23)*(25+273.15))/(EXP($A25-BF$7))),((LN((Conductance_Eeq!BF24/MAX(Conductance_Eeq!BF$7:BF$27))))*(1.88E-23)*(25+273.15))/(EXP($A25-BF$7))))</f>
        <v/>
      </c>
      <c r="BG25" t="str">
        <f>IF(ISBLANK(Conductance_Eeq!BG24),"",IF(Conductance_Eeq!BG24&lt;0,((LN(ABS(((Conductance_Eeq!BG24/MAX(Conductance_Eeq!BG$7:BG$27)))))*(1.88E-23)*(25+273.15))/(EXP($A25-BG$7))),((LN((Conductance_Eeq!BG24/MAX(Conductance_Eeq!BG$7:BG$27))))*(1.88E-23)*(25+273.15))/(EXP($A25-BG$7))))</f>
        <v/>
      </c>
      <c r="BH25" t="str">
        <f>IF(ISBLANK(Conductance_Eeq!BH24),"",IF(Conductance_Eeq!BH24&lt;0,((LN(ABS(((Conductance_Eeq!BH24/MAX(Conductance_Eeq!BH$7:BH$27)))))*(1.88E-23)*(25+273.15))/(EXP($A25-BH$7))),((LN((Conductance_Eeq!BH24/MAX(Conductance_Eeq!BH$7:BH$27))))*(1.88E-23)*(25+273.15))/(EXP($A25-BH$7))))</f>
        <v/>
      </c>
      <c r="BI25" t="str">
        <f>IF(ISBLANK(Conductance_Eeq!BI24),"",IF(Conductance_Eeq!BI24&lt;0,((LN(ABS(((Conductance_Eeq!BI24/MAX(Conductance_Eeq!BI$7:BI$27)))))*(1.88E-23)*(25+273.15))/(EXP($A25-BI$7))),((LN((Conductance_Eeq!BI24/MAX(Conductance_Eeq!BI$7:BI$27))))*(1.88E-23)*(25+273.15))/(EXP($A25-BI$7))))</f>
        <v/>
      </c>
      <c r="BJ25" t="str">
        <f>IF(ISBLANK(Conductance_Eeq!BJ24),"",IF(Conductance_Eeq!BJ24&lt;0,((LN(ABS(((Conductance_Eeq!BJ24/MAX(Conductance_Eeq!BJ$7:BJ$27)))))*(1.88E-23)*(25+273.15))/(EXP($A25-BJ$7))),((LN((Conductance_Eeq!BJ24/MAX(Conductance_Eeq!BJ$7:BJ$27))))*(1.88E-23)*(25+273.15))/(EXP($A25-BJ$7))))</f>
        <v/>
      </c>
      <c r="BK25" t="str">
        <f>IF(ISBLANK(Conductance_Eeq!BK24),"",IF(Conductance_Eeq!BK24&lt;0,((LN(ABS(((Conductance_Eeq!BK24/MAX(Conductance_Eeq!BK$7:BK$27)))))*(1.88E-23)*(25+273.15))/(EXP($A25-BK$7))),((LN((Conductance_Eeq!BK24/MAX(Conductance_Eeq!BK$7:BK$27))))*(1.88E-23)*(25+273.15))/(EXP($A25-BK$7))))</f>
        <v/>
      </c>
      <c r="BL25" t="str">
        <f>IF(ISBLANK(Conductance_Eeq!BL24),"",IF(Conductance_Eeq!BL24&lt;0,((LN(ABS(((Conductance_Eeq!BL24/MAX(Conductance_Eeq!BL$7:BL$27)))))*(1.88E-23)*(25+273.15))/(EXP($A25-BL$7))),((LN((Conductance_Eeq!BL24/MAX(Conductance_Eeq!BL$7:BL$27))))*(1.88E-23)*(25+273.15))/(EXP($A25-BL$7))))</f>
        <v/>
      </c>
      <c r="BM25" t="str">
        <f>IF(ISBLANK(Conductance_Eeq!BM24),"",IF(Conductance_Eeq!BM24&lt;0,((LN(ABS(((Conductance_Eeq!BM24/MAX(Conductance_Eeq!BM$7:BM$27)))))*(1.88E-23)*(25+273.15))/(EXP($A25-BM$7))),((LN((Conductance_Eeq!BM24/MAX(Conductance_Eeq!BM$7:BM$27))))*(1.88E-23)*(25+273.15))/(EXP($A25-BM$7))))</f>
        <v/>
      </c>
      <c r="BN25" t="str">
        <f>IF(ISBLANK(Conductance_Eeq!BN24),"",IF(Conductance_Eeq!BN24&lt;0,((LN(ABS(((Conductance_Eeq!BN24/MAX(Conductance_Eeq!BN$7:BN$27)))))*(1.88E-23)*(25+273.15))/(EXP($A25-BN$7))),((LN((Conductance_Eeq!BN24/MAX(Conductance_Eeq!BN$7:BN$27))))*(1.88E-23)*(25+273.15))/(EXP($A25-BN$7))))</f>
        <v/>
      </c>
      <c r="BO25" t="str">
        <f>IF(ISBLANK(Conductance_Eeq!BO24),"",IF(Conductance_Eeq!BO24&lt;0,((LN(ABS(((Conductance_Eeq!BO24/MAX(Conductance_Eeq!BO$7:BO$27)))))*(1.88E-23)*(25+273.15))/(EXP($A25-BO$7))),((LN((Conductance_Eeq!BO24/MAX(Conductance_Eeq!BO$7:BO$27))))*(1.88E-23)*(25+273.15))/(EXP($A25-BO$7))))</f>
        <v/>
      </c>
      <c r="BP25" t="str">
        <f>IF(ISBLANK(Conductance_Eeq!BP24),"",IF(Conductance_Eeq!BP24&lt;0,((LN(ABS(((Conductance_Eeq!BP24/MAX(Conductance_Eeq!BP$7:BP$27)))))*(1.88E-23)*(25+273.15))/(EXP($A25-BP$7))),((LN((Conductance_Eeq!BP24/MAX(Conductance_Eeq!BP$7:BP$27))))*(1.88E-23)*(25+273.15))/(EXP($A25-BP$7))))</f>
        <v/>
      </c>
      <c r="BQ25" t="str">
        <f>IF(ISBLANK(Conductance_Eeq!BQ24),"",IF(Conductance_Eeq!BQ24&lt;0,((LN(ABS(((Conductance_Eeq!BQ24/MAX(Conductance_Eeq!BQ$7:BQ$27)))))*(1.88E-23)*(25+273.15))/(EXP($A25-BQ$7))),((LN((Conductance_Eeq!BQ24/MAX(Conductance_Eeq!BQ$7:BQ$27))))*(1.88E-23)*(25+273.15))/(EXP($A25-BQ$7))))</f>
        <v/>
      </c>
      <c r="BR25" t="str">
        <f>IF(ISBLANK(Conductance_Eeq!BR24),"",IF(Conductance_Eeq!BR24&lt;0,((LN(ABS(((Conductance_Eeq!BR24/MAX(Conductance_Eeq!BR$7:BR$27)))))*(1.88E-23)*(25+273.15))/(EXP($A25-BR$7))),((LN((Conductance_Eeq!BR24/MAX(Conductance_Eeq!BR$7:BR$27))))*(1.88E-23)*(25+273.15))/(EXP($A25-BR$7))))</f>
        <v/>
      </c>
      <c r="BS25" t="str">
        <f>IF(ISBLANK(Conductance_Eeq!BS24),"",IF(Conductance_Eeq!BS24&lt;0,((LN(ABS(((Conductance_Eeq!BS24/MAX(Conductance_Eeq!BS$7:BS$27)))))*(1.88E-23)*(25+273.15))/(EXP($A25-BS$7))),((LN((Conductance_Eeq!BS24/MAX(Conductance_Eeq!BS$7:BS$27))))*(1.88E-23)*(25+273.15))/(EXP($A25-BS$7))))</f>
        <v/>
      </c>
      <c r="BT25" t="str">
        <f>IF(ISBLANK(Conductance_Eeq!BT24),"",IF(Conductance_Eeq!BT24&lt;0,((LN(ABS(((Conductance_Eeq!BT24/MAX(Conductance_Eeq!BT$7:BT$27)))))*(1.88E-23)*(25+273.15))/(EXP($A25-BT$7))),((LN((Conductance_Eeq!BT24/MAX(Conductance_Eeq!BT$7:BT$27))))*(1.88E-23)*(25+273.15))/(EXP($A25-BT$7))))</f>
        <v/>
      </c>
      <c r="BU25" t="str">
        <f>IF(ISBLANK(Conductance_Eeq!BU24),"",IF(Conductance_Eeq!BU24&lt;0,((LN(ABS(((Conductance_Eeq!BU24/MAX(Conductance_Eeq!BU$7:BU$27)))))*(1.88E-23)*(25+273.15))/(EXP($A25-BU$7))),((LN((Conductance_Eeq!BU24/MAX(Conductance_Eeq!BU$7:BU$27))))*(1.88E-23)*(25+273.15))/(EXP($A25-BU$7))))</f>
        <v/>
      </c>
      <c r="BV25" t="str">
        <f>IF(ISBLANK(Conductance_Eeq!BV24),"",IF(Conductance_Eeq!BV24&lt;0,((LN(ABS(((Conductance_Eeq!BV24/MAX(Conductance_Eeq!BV$7:BV$27)))))*(1.88E-23)*(25+273.15))/(EXP($A25-BV$7))),((LN((Conductance_Eeq!BV24/MAX(Conductance_Eeq!BV$7:BV$27))))*(1.88E-23)*(25+273.15))/(EXP($A25-BV$7))))</f>
        <v/>
      </c>
      <c r="BW25" t="str">
        <f>IF(ISBLANK(Conductance_Eeq!BW24),"",IF(Conductance_Eeq!BW24&lt;0,((LN(ABS(((Conductance_Eeq!BW24/MAX(Conductance_Eeq!BW$7:BW$27)))))*(1.88E-23)*(25+273.15))/(EXP($A25-BW$7))),((LN((Conductance_Eeq!BW24/MAX(Conductance_Eeq!BW$7:BW$27))))*(1.88E-23)*(25+273.15))/(EXP($A25-BW$7))))</f>
        <v/>
      </c>
      <c r="BX25" t="str">
        <f>IF(ISBLANK(Conductance_Eeq!BX24),"",IF(Conductance_Eeq!BX24&lt;0,((LN(ABS(((Conductance_Eeq!BX24/MAX(Conductance_Eeq!BX$7:BX$27)))))*(1.88E-23)*(25+273.15))/(EXP($A25-BX$7))),((LN((Conductance_Eeq!BX24/MAX(Conductance_Eeq!BX$7:BX$27))))*(1.88E-23)*(25+273.15))/(EXP($A25-BX$7))))</f>
        <v/>
      </c>
      <c r="BY25" t="str">
        <f>IF(ISBLANK(Conductance_Eeq!BY24),"",IF(Conductance_Eeq!BY24&lt;0,((LN(ABS(((Conductance_Eeq!BY24/MAX(Conductance_Eeq!BY$7:BY$27)))))*(1.88E-23)*(25+273.15))/(EXP($A25-BY$7))),((LN((Conductance_Eeq!BY24/MAX(Conductance_Eeq!BY$7:BY$27))))*(1.88E-23)*(25+273.15))/(EXP($A25-BY$7))))</f>
        <v/>
      </c>
      <c r="BZ25" t="str">
        <f>IF(ISBLANK(Conductance_Eeq!BZ24),"",IF(Conductance_Eeq!BZ24&lt;0,((LN(ABS(((Conductance_Eeq!BZ24/MAX(Conductance_Eeq!BZ$7:BZ$27)))))*(1.88E-23)*(25+273.15))/(EXP($A25-BZ$7))),((LN((Conductance_Eeq!BZ24/MAX(Conductance_Eeq!BZ$7:BZ$27))))*(1.88E-23)*(25+273.15))/(EXP($A25-BZ$7))))</f>
        <v/>
      </c>
      <c r="CA25" t="str">
        <f>IF(ISBLANK(Conductance_Eeq!CA24),"",IF(Conductance_Eeq!CA24&lt;0,((LN(ABS(((Conductance_Eeq!CA24/MAX(Conductance_Eeq!CA$7:CA$27)))))*(1.88E-23)*(25+273.15))/(EXP($A25-CA$7))),((LN((Conductance_Eeq!CA24/MAX(Conductance_Eeq!CA$7:CA$27))))*(1.88E-23)*(25+273.15))/(EXP($A25-CA$7))))</f>
        <v/>
      </c>
      <c r="CB25" t="str">
        <f>IF(ISBLANK(Conductance_Eeq!CB24),"",IF(Conductance_Eeq!CB24&lt;0,((LN(ABS(((Conductance_Eeq!CB24/MAX(Conductance_Eeq!CB$7:CB$27)))))*(1.88E-23)*(25+273.15))/(EXP($A25-CB$7))),((LN((Conductance_Eeq!CB24/MAX(Conductance_Eeq!CB$7:CB$27))))*(1.88E-23)*(25+273.15))/(EXP($A25-CB$7))))</f>
        <v/>
      </c>
      <c r="CC25" t="str">
        <f>IF(ISBLANK(Conductance_Eeq!CC24),"",IF(Conductance_Eeq!CC24&lt;0,((LN(ABS(((Conductance_Eeq!CC24/MAX(Conductance_Eeq!CC$7:CC$27)))))*(1.88E-23)*(25+273.15))/(EXP($A25-CC$7))),((LN((Conductance_Eeq!CC24/MAX(Conductance_Eeq!CC$7:CC$27))))*(1.88E-23)*(25+273.15))/(EXP($A25-CC$7))))</f>
        <v/>
      </c>
      <c r="CD25" t="str">
        <f>IF(ISBLANK(Conductance_Eeq!CD24),"",IF(Conductance_Eeq!CD24&lt;0,((LN(ABS(((Conductance_Eeq!CD24/MAX(Conductance_Eeq!CD$7:CD$27)))))*(1.88E-23)*(25+273.15))/(EXP($A25-CD$7))),((LN((Conductance_Eeq!CD24/MAX(Conductance_Eeq!CD$7:CD$27))))*(1.88E-23)*(25+273.15))/(EXP($A25-CD$7))))</f>
        <v/>
      </c>
    </row>
    <row r="26" spans="1:82" x14ac:dyDescent="0.2">
      <c r="A26" s="3">
        <f>A25+10</f>
        <v>100</v>
      </c>
      <c r="B26">
        <f>IF(ISBLANK(Conductance_Eeq!B25),"",IF(Conductance_Eeq!B25&lt;0,((LN(ABS(((Conductance_Eeq!B25/MAX(Conductance_Eeq!B$7:B$27)))))*(1.88E-23)*(25+273.15))/(EXP($A26-B$7))),((LN((Conductance_Eeq!B25/MAX(Conductance_Eeq!B$7:B$27))))*(1.88E-23)*(25+273.15))/(EXP($A26-B$7))))</f>
        <v>-2.3044442859474215E-60</v>
      </c>
      <c r="C26">
        <f>IF(ISBLANK(Conductance_Eeq!C25),"",IF(Conductance_Eeq!C25&lt;0,((LN(ABS(((Conductance_Eeq!C25/MAX(Conductance_Eeq!C$7:C$27)))))*(1.88E-23)*(25+273.15))/(EXP($A26-C$7))),((LN((Conductance_Eeq!C25/MAX(Conductance_Eeq!C$7:C$27))))*(1.88E-23)*(25+273.15))/(EXP($A26-C$7))))</f>
        <v>-5.0084211092628245E-60</v>
      </c>
      <c r="D26" t="str">
        <f>IF(ISBLANK(Conductance_Eeq!D25),"",IF(Conductance_Eeq!D25&lt;0,((LN(ABS(((Conductance_Eeq!D25/MAX(Conductance_Eeq!D$7:D$27)))))*(1.88E-23)*(25+273.15))/(EXP($A26-D$7))),((LN((Conductance_Eeq!D25/MAX(Conductance_Eeq!D$7:D$27))))*(1.88E-23)*(25+273.15))/(EXP($A26-D$7))))</f>
        <v/>
      </c>
      <c r="E26" t="str">
        <f>IF(ISBLANK(Conductance_Eeq!E25),"",IF(Conductance_Eeq!E25&lt;0,((LN(ABS(((Conductance_Eeq!E25/MAX(Conductance_Eeq!E$7:E$27)))))*(1.88E-23)*(25+273.15))/(EXP($A26-E$7))),((LN((Conductance_Eeq!E25/MAX(Conductance_Eeq!E$7:E$27))))*(1.88E-23)*(25+273.15))/(EXP($A26-E$7))))</f>
        <v/>
      </c>
      <c r="F26" t="str">
        <f>IF(ISBLANK(Conductance_Eeq!F25),"",IF(Conductance_Eeq!F25&lt;0,((LN(ABS(((Conductance_Eeq!F25/MAX(Conductance_Eeq!F$7:F$27)))))*(1.88E-23)*(25+273.15))/(EXP($A26-F$7))),((LN((Conductance_Eeq!F25/MAX(Conductance_Eeq!F$7:F$27))))*(1.88E-23)*(25+273.15))/(EXP($A26-F$7))))</f>
        <v/>
      </c>
      <c r="G26" t="str">
        <f>IF(ISBLANK(Conductance_Eeq!G25),"",IF(Conductance_Eeq!G25&lt;0,((LN(ABS(((Conductance_Eeq!G25/MAX(Conductance_Eeq!G$7:G$27)))))*(1.88E-23)*(25+273.15))/(EXP($A26-G$7))),((LN((Conductance_Eeq!G25/MAX(Conductance_Eeq!G$7:G$27))))*(1.88E-23)*(25+273.15))/(EXP($A26-G$7))))</f>
        <v/>
      </c>
      <c r="H26" t="str">
        <f>IF(ISBLANK(Conductance_Eeq!H25),"",IF(Conductance_Eeq!H25&lt;0,((LN(ABS(((Conductance_Eeq!H25/MAX(Conductance_Eeq!H$7:H$27)))))*(1.88E-23)*(25+273.15))/(EXP($A26-H$7))),((LN((Conductance_Eeq!H25/MAX(Conductance_Eeq!H$7:H$27))))*(1.88E-23)*(25+273.15))/(EXP($A26-H$7))))</f>
        <v/>
      </c>
      <c r="I26" t="str">
        <f>IF(ISBLANK(Conductance_Eeq!I25),"",IF(Conductance_Eeq!I25&lt;0,((LN(ABS(((Conductance_Eeq!I25/MAX(Conductance_Eeq!I$7:I$27)))))*(1.88E-23)*(25+273.15))/(EXP($A26-I$7))),((LN((Conductance_Eeq!I25/MAX(Conductance_Eeq!I$7:I$27))))*(1.88E-23)*(25+273.15))/(EXP($A26-I$7))))</f>
        <v/>
      </c>
      <c r="J26" t="str">
        <f>IF(ISBLANK(Conductance_Eeq!J25),"",IF(Conductance_Eeq!J25&lt;0,((LN(ABS(((Conductance_Eeq!J25/MAX(Conductance_Eeq!J$7:J$27)))))*(1.88E-23)*(25+273.15))/(EXP($A26-J$7))),((LN((Conductance_Eeq!J25/MAX(Conductance_Eeq!J$7:J$27))))*(1.88E-23)*(25+273.15))/(EXP($A26-J$7))))</f>
        <v/>
      </c>
      <c r="K26">
        <f>IF(ISBLANK(Conductance_Eeq!K25),"",IF(Conductance_Eeq!K25&lt;0,((LN(ABS(((Conductance_Eeq!K25/MAX(Conductance_Eeq!K$7:K$27)))))*(1.88E-23)*(25+273.15))/(EXP($A26-K$7))),((LN((Conductance_Eeq!K25/MAX(Conductance_Eeq!K$7:K$27))))*(1.88E-23)*(25+273.15))/(EXP($A26-K$7))))</f>
        <v>-3.528722646664526E-60</v>
      </c>
      <c r="L26" t="str">
        <f>IF(ISBLANK(Conductance_Eeq!L25),"",IF(Conductance_Eeq!L25&lt;0,((LN(ABS(((Conductance_Eeq!L25/MAX(Conductance_Eeq!L$7:L$27)))))*(1.88E-23)*(25+273.15))/(EXP($A26-L$7))),((LN((Conductance_Eeq!L25/MAX(Conductance_Eeq!L$7:L$27))))*(1.88E-23)*(25+273.15))/(EXP($A26-L$7))))</f>
        <v/>
      </c>
      <c r="M26">
        <f>IF(ISBLANK(Conductance_Eeq!M25),"",IF(Conductance_Eeq!M25&lt;0,((LN(ABS(((Conductance_Eeq!M25/MAX(Conductance_Eeq!M$7:M$27)))))*(1.88E-23)*(25+273.15))/(EXP($A26-M$7))),((LN((Conductance_Eeq!M25/MAX(Conductance_Eeq!M$7:M$27))))*(1.88E-23)*(25+273.15))/(EXP($A26-M$7))))</f>
        <v>-1.7081187842287943E-61</v>
      </c>
      <c r="N26" t="str">
        <f>IF(ISBLANK(Conductance_Eeq!N25),"",IF(Conductance_Eeq!N25&lt;0,((LN(ABS(((Conductance_Eeq!N25/MAX(Conductance_Eeq!N$7:N$27)))))*(1.88E-23)*(25+273.15))/(EXP($A26-N$7))),((LN((Conductance_Eeq!N25/MAX(Conductance_Eeq!N$7:N$27))))*(1.88E-23)*(25+273.15))/(EXP($A26-N$7))))</f>
        <v/>
      </c>
      <c r="O26" t="str">
        <f>IF(ISBLANK(Conductance_Eeq!O25),"",IF(Conductance_Eeq!O25&lt;0,((LN(ABS(((Conductance_Eeq!O25/MAX(Conductance_Eeq!O$7:O$27)))))*(1.88E-23)*(25+273.15))/(EXP($A26-O$7))),((LN((Conductance_Eeq!O25/MAX(Conductance_Eeq!O$7:O$27))))*(1.88E-23)*(25+273.15))/(EXP($A26-O$7))))</f>
        <v/>
      </c>
      <c r="P26" t="str">
        <f>IF(ISBLANK(Conductance_Eeq!P25),"",IF(Conductance_Eeq!P25&lt;0,((LN(ABS(((Conductance_Eeq!P25/MAX(Conductance_Eeq!P$7:P$27)))))*(1.88E-23)*(25+273.15))/(EXP($A26-P$7))),((LN((Conductance_Eeq!P25/MAX(Conductance_Eeq!P$7:P$27))))*(1.88E-23)*(25+273.15))/(EXP($A26-P$7))))</f>
        <v/>
      </c>
      <c r="Q26" t="str">
        <f>IF(ISBLANK(Conductance_Eeq!Q25),"",IF(Conductance_Eeq!Q25&lt;0,((LN(ABS(((Conductance_Eeq!Q25/MAX(Conductance_Eeq!Q$7:Q$27)))))*(1.88E-23)*(25+273.15))/(EXP($A26-Q$7))),((LN((Conductance_Eeq!Q25/MAX(Conductance_Eeq!Q$7:Q$27))))*(1.88E-23)*(25+273.15))/(EXP($A26-Q$7))))</f>
        <v/>
      </c>
      <c r="R26" t="str">
        <f>IF(ISBLANK(Conductance_Eeq!R25),"",IF(Conductance_Eeq!R25&lt;0,((LN(ABS(((Conductance_Eeq!R25/MAX(Conductance_Eeq!R$7:R$27)))))*(1.88E-23)*(25+273.15))/(EXP($A26-R$7))),((LN((Conductance_Eeq!R25/MAX(Conductance_Eeq!R$7:R$27))))*(1.88E-23)*(25+273.15))/(EXP($A26-R$7))))</f>
        <v/>
      </c>
      <c r="S26" t="str">
        <f>IF(ISBLANK(Conductance_Eeq!S25),"",IF(Conductance_Eeq!S25&lt;0,((LN(ABS(((Conductance_Eeq!S25/MAX(Conductance_Eeq!S$7:S$27)))))*(1.88E-23)*(25+273.15))/(EXP($A26-S$7))),((LN((Conductance_Eeq!S25/MAX(Conductance_Eeq!S$7:S$27))))*(1.88E-23)*(25+273.15))/(EXP($A26-S$7))))</f>
        <v/>
      </c>
      <c r="T26" t="str">
        <f>IF(ISBLANK(Conductance_Eeq!T25),"",IF(Conductance_Eeq!T25&lt;0,((LN(ABS(((Conductance_Eeq!T25/MAX(Conductance_Eeq!T$7:T$27)))))*(1.88E-23)*(25+273.15))/(EXP($A26-T$7))),((LN((Conductance_Eeq!T25/MAX(Conductance_Eeq!T$7:T$27))))*(1.88E-23)*(25+273.15))/(EXP($A26-T$7))))</f>
        <v/>
      </c>
      <c r="U26" t="str">
        <f>IF(ISBLANK(Conductance_Eeq!U25),"",IF(Conductance_Eeq!U25&lt;0,((LN(ABS(((Conductance_Eeq!U25/MAX(Conductance_Eeq!U$7:U$27)))))*(1.88E-23)*(25+273.15))/(EXP($A26-U$7))),((LN((Conductance_Eeq!U25/MAX(Conductance_Eeq!U$7:U$27))))*(1.88E-23)*(25+273.15))/(EXP($A26-U$7))))</f>
        <v/>
      </c>
      <c r="V26" t="str">
        <f>IF(ISBLANK(Conductance_Eeq!V25),"",IF(Conductance_Eeq!V25&lt;0,((LN(ABS(((Conductance_Eeq!V25/MAX(Conductance_Eeq!V$7:V$27)))))*(1.88E-23)*(25+273.15))/(EXP($A26-V$7))),((LN((Conductance_Eeq!V25/MAX(Conductance_Eeq!V$7:V$27))))*(1.88E-23)*(25+273.15))/(EXP($A26-V$7))))</f>
        <v/>
      </c>
      <c r="W26" t="str">
        <f>IF(ISBLANK(Conductance_Eeq!W25),"",IF(Conductance_Eeq!W25&lt;0,((LN(ABS(((Conductance_Eeq!W25/MAX(Conductance_Eeq!W$7:W$27)))))*(1.88E-23)*(25+273.15))/(EXP($A26-W$7))),((LN((Conductance_Eeq!W25/MAX(Conductance_Eeq!W$7:W$27))))*(1.88E-23)*(25+273.15))/(EXP($A26-W$7))))</f>
        <v/>
      </c>
      <c r="X26" t="str">
        <f>IF(ISBLANK(Conductance_Eeq!X25),"",IF(Conductance_Eeq!X25&lt;0,((LN(ABS(((Conductance_Eeq!X25/MAX(Conductance_Eeq!X$7:X$27)))))*(1.88E-23)*(25+273.15))/(EXP($A26-X$7))),((LN((Conductance_Eeq!X25/MAX(Conductance_Eeq!X$7:X$27))))*(1.88E-23)*(25+273.15))/(EXP($A26-X$7))))</f>
        <v/>
      </c>
      <c r="Y26" t="str">
        <f>IF(ISBLANK(Conductance_Eeq!Y25),"",IF(Conductance_Eeq!Y25&lt;0,((LN(ABS(((Conductance_Eeq!Y25/MAX(Conductance_Eeq!Y$7:Y$27)))))*(1.88E-23)*(25+273.15))/(EXP($A26-Y$7))),((LN((Conductance_Eeq!Y25/MAX(Conductance_Eeq!Y$7:Y$27))))*(1.88E-23)*(25+273.15))/(EXP($A26-Y$7))))</f>
        <v/>
      </c>
      <c r="Z26" t="str">
        <f>IF(ISBLANK(Conductance_Eeq!Z25),"",IF(Conductance_Eeq!Z25&lt;0,((LN(ABS(((Conductance_Eeq!Z25/MAX(Conductance_Eeq!Z$7:Z$27)))))*(1.88E-23)*(25+273.15))/(EXP($A26-Z$7))),((LN((Conductance_Eeq!Z25/MAX(Conductance_Eeq!Z$7:Z$27))))*(1.88E-23)*(25+273.15))/(EXP($A26-Z$7))))</f>
        <v/>
      </c>
      <c r="AA26" t="str">
        <f>IF(ISBLANK(Conductance_Eeq!AA25),"",IF(Conductance_Eeq!AA25&lt;0,((LN(ABS(((Conductance_Eeq!AA25/MAX(Conductance_Eeq!AA$7:AA$27)))))*(1.88E-23)*(25+273.15))/(EXP($A26-AA$7))),((LN((Conductance_Eeq!AA25/MAX(Conductance_Eeq!AA$7:AA$27))))*(1.88E-23)*(25+273.15))/(EXP($A26-AA$7))))</f>
        <v/>
      </c>
      <c r="AB26" t="str">
        <f>IF(ISBLANK(Conductance_Eeq!AB25),"",IF(Conductance_Eeq!AB25&lt;0,((LN(ABS(((Conductance_Eeq!AB25/MAX(Conductance_Eeq!AB$7:AB$27)))))*(1.88E-23)*(25+273.15))/(EXP($A26-AB$7))),((LN((Conductance_Eeq!AB25/MAX(Conductance_Eeq!AB$7:AB$27))))*(1.88E-23)*(25+273.15))/(EXP($A26-AB$7))))</f>
        <v/>
      </c>
      <c r="AC26" t="str">
        <f>IF(ISBLANK(Conductance_Eeq!AC25),"",IF(Conductance_Eeq!AC25&lt;0,((LN(ABS(((Conductance_Eeq!AC25/MAX(Conductance_Eeq!AC$7:AC$27)))))*(1.88E-23)*(25+273.15))/(EXP($A26-AC$7))),((LN((Conductance_Eeq!AC25/MAX(Conductance_Eeq!AC$7:AC$27))))*(1.88E-23)*(25+273.15))/(EXP($A26-AC$7))))</f>
        <v/>
      </c>
      <c r="AD26" t="str">
        <f>IF(ISBLANK(Conductance_Eeq!AD25),"",IF(Conductance_Eeq!AD25&lt;0,((LN(ABS(((Conductance_Eeq!AD25/MAX(Conductance_Eeq!AD$7:AD$27)))))*(1.88E-23)*(25+273.15))/(EXP($A26-AD$7))),((LN((Conductance_Eeq!AD25/MAX(Conductance_Eeq!AD$7:AD$27))))*(1.88E-23)*(25+273.15))/(EXP($A26-AD$7))))</f>
        <v/>
      </c>
      <c r="AE26" t="str">
        <f>IF(ISBLANK(Conductance_Eeq!AE25),"",IF(Conductance_Eeq!AE25&lt;0,((LN(ABS(((Conductance_Eeq!AE25/MAX(Conductance_Eeq!AE$7:AE$27)))))*(1.88E-23)*(25+273.15))/(EXP($A26-AE$7))),((LN((Conductance_Eeq!AE25/MAX(Conductance_Eeq!AE$7:AE$27))))*(1.88E-23)*(25+273.15))/(EXP($A26-AE$7))))</f>
        <v/>
      </c>
      <c r="AF26" t="str">
        <f>IF(ISBLANK(Conductance_Eeq!AF25),"",IF(Conductance_Eeq!AF25&lt;0,((LN(ABS(((Conductance_Eeq!AF25/MAX(Conductance_Eeq!AF$7:AF$27)))))*(1.88E-23)*(25+273.15))/(EXP($A26-AF$7))),((LN((Conductance_Eeq!AF25/MAX(Conductance_Eeq!AF$7:AF$27))))*(1.88E-23)*(25+273.15))/(EXP($A26-AF$7))))</f>
        <v/>
      </c>
      <c r="AG26" t="str">
        <f>IF(ISBLANK(Conductance_Eeq!AG25),"",IF(Conductance_Eeq!AG25&lt;0,((LN(ABS(((Conductance_Eeq!AG25/MAX(Conductance_Eeq!AG$7:AG$27)))))*(1.88E-23)*(25+273.15))/(EXP($A26-AG$7))),((LN((Conductance_Eeq!AG25/MAX(Conductance_Eeq!AG$7:AG$27))))*(1.88E-23)*(25+273.15))/(EXP($A26-AG$7))))</f>
        <v/>
      </c>
      <c r="AH26" t="str">
        <f>IF(ISBLANK(Conductance_Eeq!AH25),"",IF(Conductance_Eeq!AH25&lt;0,((LN(ABS(((Conductance_Eeq!AH25/MAX(Conductance_Eeq!AH$7:AH$27)))))*(1.88E-23)*(25+273.15))/(EXP($A26-AH$7))),((LN((Conductance_Eeq!AH25/MAX(Conductance_Eeq!AH$7:AH$27))))*(1.88E-23)*(25+273.15))/(EXP($A26-AH$7))))</f>
        <v/>
      </c>
      <c r="AI26" t="str">
        <f>IF(ISBLANK(Conductance_Eeq!AI25),"",IF(Conductance_Eeq!AI25&lt;0,((LN(ABS(((Conductance_Eeq!AI25/MAX(Conductance_Eeq!AI$7:AI$27)))))*(1.88E-23)*(25+273.15))/(EXP($A26-AI$7))),((LN((Conductance_Eeq!AI25/MAX(Conductance_Eeq!AI$7:AI$27))))*(1.88E-23)*(25+273.15))/(EXP($A26-AI$7))))</f>
        <v/>
      </c>
      <c r="AJ26" t="str">
        <f>IF(ISBLANK(Conductance_Eeq!AJ25),"",IF(Conductance_Eeq!AJ25&lt;0,((LN(ABS(((Conductance_Eeq!AJ25/MAX(Conductance_Eeq!AJ$7:AJ$27)))))*(1.88E-23)*(25+273.15))/(EXP($A26-AJ$7))),((LN((Conductance_Eeq!AJ25/MAX(Conductance_Eeq!AJ$7:AJ$27))))*(1.88E-23)*(25+273.15))/(EXP($A26-AJ$7))))</f>
        <v/>
      </c>
      <c r="AK26" t="str">
        <f>IF(ISBLANK(Conductance_Eeq!AK25),"",IF(Conductance_Eeq!AK25&lt;0,((LN(ABS(((Conductance_Eeq!AK25/MAX(Conductance_Eeq!AK$7:AK$27)))))*(1.88E-23)*(25+273.15))/(EXP($A26-AK$7))),((LN((Conductance_Eeq!AK25/MAX(Conductance_Eeq!AK$7:AK$27))))*(1.88E-23)*(25+273.15))/(EXP($A26-AK$7))))</f>
        <v/>
      </c>
      <c r="AL26" t="str">
        <f>IF(ISBLANK(Conductance_Eeq!AL25),"",IF(Conductance_Eeq!AL25&lt;0,((LN(ABS(((Conductance_Eeq!AL25/MAX(Conductance_Eeq!AL$7:AL$27)))))*(1.88E-23)*(25+273.15))/(EXP($A26-AL$7))),((LN((Conductance_Eeq!AL25/MAX(Conductance_Eeq!AL$7:AL$27))))*(1.88E-23)*(25+273.15))/(EXP($A26-AL$7))))</f>
        <v/>
      </c>
      <c r="AM26" t="str">
        <f>IF(ISBLANK(Conductance_Eeq!AM25),"",IF(Conductance_Eeq!AM25&lt;0,((LN(ABS(((Conductance_Eeq!AM25/MAX(Conductance_Eeq!AM$7:AM$27)))))*(1.88E-23)*(25+273.15))/(EXP($A26-AM$7))),((LN((Conductance_Eeq!AM25/MAX(Conductance_Eeq!AM$7:AM$27))))*(1.88E-23)*(25+273.15))/(EXP($A26-AM$7))))</f>
        <v/>
      </c>
      <c r="AN26" t="str">
        <f>IF(ISBLANK(Conductance_Eeq!AN25),"",IF(Conductance_Eeq!AN25&lt;0,((LN(ABS(((Conductance_Eeq!AN25/MAX(Conductance_Eeq!AN$7:AN$27)))))*(1.88E-23)*(25+273.15))/(EXP($A26-AN$7))),((LN((Conductance_Eeq!AN25/MAX(Conductance_Eeq!AN$7:AN$27))))*(1.88E-23)*(25+273.15))/(EXP($A26-AN$7))))</f>
        <v/>
      </c>
      <c r="AO26" t="str">
        <f>IF(ISBLANK(Conductance_Eeq!AO25),"",IF(Conductance_Eeq!AO25&lt;0,((LN(ABS(((Conductance_Eeq!AO25/MAX(Conductance_Eeq!AO$7:AO$27)))))*(1.88E-23)*(25+273.15))/(EXP($A26-AO$7))),((LN((Conductance_Eeq!AO25/MAX(Conductance_Eeq!AO$7:AO$27))))*(1.88E-23)*(25+273.15))/(EXP($A26-AO$7))))</f>
        <v/>
      </c>
      <c r="AP26" t="str">
        <f>IF(ISBLANK(Conductance_Eeq!AP25),"",IF(Conductance_Eeq!AP25&lt;0,((LN(ABS(((Conductance_Eeq!AP25/MAX(Conductance_Eeq!AP$7:AP$27)))))*(1.88E-23)*(25+273.15))/(EXP($A26-AP$7))),((LN((Conductance_Eeq!AP25/MAX(Conductance_Eeq!AP$7:AP$27))))*(1.88E-23)*(25+273.15))/(EXP($A26-AP$7))))</f>
        <v/>
      </c>
      <c r="AQ26" t="str">
        <f>IF(ISBLANK(Conductance_Eeq!AQ25),"",IF(Conductance_Eeq!AQ25&lt;0,((LN(ABS(((Conductance_Eeq!AQ25/MAX(Conductance_Eeq!AQ$7:AQ$27)))))*(1.88E-23)*(25+273.15))/(EXP($A26-AQ$7))),((LN((Conductance_Eeq!AQ25/MAX(Conductance_Eeq!AQ$7:AQ$27))))*(1.88E-23)*(25+273.15))/(EXP($A26-AQ$7))))</f>
        <v/>
      </c>
      <c r="AR26" t="str">
        <f>IF(ISBLANK(Conductance_Eeq!AR25),"",IF(Conductance_Eeq!AR25&lt;0,((LN(ABS(((Conductance_Eeq!AR25/MAX(Conductance_Eeq!AR$7:AR$27)))))*(1.88E-23)*(25+273.15))/(EXP($A26-AR$7))),((LN((Conductance_Eeq!AR25/MAX(Conductance_Eeq!AR$7:AR$27))))*(1.88E-23)*(25+273.15))/(EXP($A26-AR$7))))</f>
        <v/>
      </c>
      <c r="AS26" t="str">
        <f>IF(ISBLANK(Conductance_Eeq!AS25),"",IF(Conductance_Eeq!AS25&lt;0,((LN(ABS(((Conductance_Eeq!AS25/MAX(Conductance_Eeq!AS$7:AS$27)))))*(1.88E-23)*(25+273.15))/(EXP($A26-AS$7))),((LN((Conductance_Eeq!AS25/MAX(Conductance_Eeq!AS$7:AS$27))))*(1.88E-23)*(25+273.15))/(EXP($A26-AS$7))))</f>
        <v/>
      </c>
      <c r="AT26" t="str">
        <f>IF(ISBLANK(Conductance_Eeq!AT25),"",IF(Conductance_Eeq!AT25&lt;0,((LN(ABS(((Conductance_Eeq!AT25/MAX(Conductance_Eeq!AT$7:AT$27)))))*(1.88E-23)*(25+273.15))/(EXP($A26-AT$7))),((LN((Conductance_Eeq!AT25/MAX(Conductance_Eeq!AT$7:AT$27))))*(1.88E-23)*(25+273.15))/(EXP($A26-AT$7))))</f>
        <v/>
      </c>
      <c r="AU26" t="str">
        <f>IF(ISBLANK(Conductance_Eeq!AU25),"",IF(Conductance_Eeq!AU25&lt;0,((LN(ABS(((Conductance_Eeq!AU25/MAX(Conductance_Eeq!AU$7:AU$27)))))*(1.88E-23)*(25+273.15))/(EXP($A26-AU$7))),((LN((Conductance_Eeq!AU25/MAX(Conductance_Eeq!AU$7:AU$27))))*(1.88E-23)*(25+273.15))/(EXP($A26-AU$7))))</f>
        <v/>
      </c>
      <c r="AV26" t="str">
        <f>IF(ISBLANK(Conductance_Eeq!AV25),"",IF(Conductance_Eeq!AV25&lt;0,((LN(ABS(((Conductance_Eeq!AV25/MAX(Conductance_Eeq!AV$7:AV$27)))))*(1.88E-23)*(25+273.15))/(EXP($A26-AV$7))),((LN((Conductance_Eeq!AV25/MAX(Conductance_Eeq!AV$7:AV$27))))*(1.88E-23)*(25+273.15))/(EXP($A26-AV$7))))</f>
        <v/>
      </c>
      <c r="AW26" t="str">
        <f>IF(ISBLANK(Conductance_Eeq!AW25),"",IF(Conductance_Eeq!AW25&lt;0,((LN(ABS(((Conductance_Eeq!AW25/MAX(Conductance_Eeq!AW$7:AW$27)))))*(1.88E-23)*(25+273.15))/(EXP($A26-AW$7))),((LN((Conductance_Eeq!AW25/MAX(Conductance_Eeq!AW$7:AW$27))))*(1.88E-23)*(25+273.15))/(EXP($A26-AW$7))))</f>
        <v/>
      </c>
      <c r="AX26" t="str">
        <f>IF(ISBLANK(Conductance_Eeq!AX25),"",IF(Conductance_Eeq!AX25&lt;0,((LN(ABS(((Conductance_Eeq!AX25/MAX(Conductance_Eeq!AX$7:AX$27)))))*(1.88E-23)*(25+273.15))/(EXP($A26-AX$7))),((LN((Conductance_Eeq!AX25/MAX(Conductance_Eeq!AX$7:AX$27))))*(1.88E-23)*(25+273.15))/(EXP($A26-AX$7))))</f>
        <v/>
      </c>
      <c r="AY26" t="str">
        <f>IF(ISBLANK(Conductance_Eeq!AY25),"",IF(Conductance_Eeq!AY25&lt;0,((LN(ABS(((Conductance_Eeq!AY25/MAX(Conductance_Eeq!AY$7:AY$27)))))*(1.88E-23)*(25+273.15))/(EXP($A26-AY$7))),((LN((Conductance_Eeq!AY25/MAX(Conductance_Eeq!AY$7:AY$27))))*(1.88E-23)*(25+273.15))/(EXP($A26-AY$7))))</f>
        <v/>
      </c>
      <c r="AZ26" t="str">
        <f>IF(ISBLANK(Conductance_Eeq!AZ25),"",IF(Conductance_Eeq!AZ25&lt;0,((LN(ABS(((Conductance_Eeq!AZ25/MAX(Conductance_Eeq!AZ$7:AZ$27)))))*(1.88E-23)*(25+273.15))/(EXP($A26-AZ$7))),((LN((Conductance_Eeq!AZ25/MAX(Conductance_Eeq!AZ$7:AZ$27))))*(1.88E-23)*(25+273.15))/(EXP($A26-AZ$7))))</f>
        <v/>
      </c>
      <c r="BA26" t="str">
        <f>IF(ISBLANK(Conductance_Eeq!BA25),"",IF(Conductance_Eeq!BA25&lt;0,((LN(ABS(((Conductance_Eeq!BA25/MAX(Conductance_Eeq!BA$7:BA$27)))))*(1.88E-23)*(25+273.15))/(EXP($A26-BA$7))),((LN((Conductance_Eeq!BA25/MAX(Conductance_Eeq!BA$7:BA$27))))*(1.88E-23)*(25+273.15))/(EXP($A26-BA$7))))</f>
        <v/>
      </c>
      <c r="BB26" t="str">
        <f>IF(ISBLANK(Conductance_Eeq!BB25),"",IF(Conductance_Eeq!BB25&lt;0,((LN(ABS(((Conductance_Eeq!BB25/MAX(Conductance_Eeq!BB$7:BB$27)))))*(1.88E-23)*(25+273.15))/(EXP($A26-BB$7))),((LN((Conductance_Eeq!BB25/MAX(Conductance_Eeq!BB$7:BB$27))))*(1.88E-23)*(25+273.15))/(EXP($A26-BB$7))))</f>
        <v/>
      </c>
      <c r="BC26" t="str">
        <f>IF(ISBLANK(Conductance_Eeq!BC25),"",IF(Conductance_Eeq!BC25&lt;0,((LN(ABS(((Conductance_Eeq!BC25/MAX(Conductance_Eeq!BC$7:BC$27)))))*(1.88E-23)*(25+273.15))/(EXP($A26-BC$7))),((LN((Conductance_Eeq!BC25/MAX(Conductance_Eeq!BC$7:BC$27))))*(1.88E-23)*(25+273.15))/(EXP($A26-BC$7))))</f>
        <v/>
      </c>
      <c r="BD26" t="str">
        <f>IF(ISBLANK(Conductance_Eeq!BD25),"",IF(Conductance_Eeq!BD25&lt;0,((LN(ABS(((Conductance_Eeq!BD25/MAX(Conductance_Eeq!BD$7:BD$27)))))*(1.88E-23)*(25+273.15))/(EXP($A26-BD$7))),((LN((Conductance_Eeq!BD25/MAX(Conductance_Eeq!BD$7:BD$27))))*(1.88E-23)*(25+273.15))/(EXP($A26-BD$7))))</f>
        <v/>
      </c>
      <c r="BE26" t="str">
        <f>IF(ISBLANK(Conductance_Eeq!BE25),"",IF(Conductance_Eeq!BE25&lt;0,((LN(ABS(((Conductance_Eeq!BE25/MAX(Conductance_Eeq!BE$7:BE$27)))))*(1.88E-23)*(25+273.15))/(EXP($A26-BE$7))),((LN((Conductance_Eeq!BE25/MAX(Conductance_Eeq!BE$7:BE$27))))*(1.88E-23)*(25+273.15))/(EXP($A26-BE$7))))</f>
        <v/>
      </c>
      <c r="BF26" t="str">
        <f>IF(ISBLANK(Conductance_Eeq!BF25),"",IF(Conductance_Eeq!BF25&lt;0,((LN(ABS(((Conductance_Eeq!BF25/MAX(Conductance_Eeq!BF$7:BF$27)))))*(1.88E-23)*(25+273.15))/(EXP($A26-BF$7))),((LN((Conductance_Eeq!BF25/MAX(Conductance_Eeq!BF$7:BF$27))))*(1.88E-23)*(25+273.15))/(EXP($A26-BF$7))))</f>
        <v/>
      </c>
      <c r="BG26" t="str">
        <f>IF(ISBLANK(Conductance_Eeq!BG25),"",IF(Conductance_Eeq!BG25&lt;0,((LN(ABS(((Conductance_Eeq!BG25/MAX(Conductance_Eeq!BG$7:BG$27)))))*(1.88E-23)*(25+273.15))/(EXP($A26-BG$7))),((LN((Conductance_Eeq!BG25/MAX(Conductance_Eeq!BG$7:BG$27))))*(1.88E-23)*(25+273.15))/(EXP($A26-BG$7))))</f>
        <v/>
      </c>
      <c r="BH26" t="str">
        <f>IF(ISBLANK(Conductance_Eeq!BH25),"",IF(Conductance_Eeq!BH25&lt;0,((LN(ABS(((Conductance_Eeq!BH25/MAX(Conductance_Eeq!BH$7:BH$27)))))*(1.88E-23)*(25+273.15))/(EXP($A26-BH$7))),((LN((Conductance_Eeq!BH25/MAX(Conductance_Eeq!BH$7:BH$27))))*(1.88E-23)*(25+273.15))/(EXP($A26-BH$7))))</f>
        <v/>
      </c>
      <c r="BI26" t="str">
        <f>IF(ISBLANK(Conductance_Eeq!BI25),"",IF(Conductance_Eeq!BI25&lt;0,((LN(ABS(((Conductance_Eeq!BI25/MAX(Conductance_Eeq!BI$7:BI$27)))))*(1.88E-23)*(25+273.15))/(EXP($A26-BI$7))),((LN((Conductance_Eeq!BI25/MAX(Conductance_Eeq!BI$7:BI$27))))*(1.88E-23)*(25+273.15))/(EXP($A26-BI$7))))</f>
        <v/>
      </c>
      <c r="BJ26" t="str">
        <f>IF(ISBLANK(Conductance_Eeq!BJ25),"",IF(Conductance_Eeq!BJ25&lt;0,((LN(ABS(((Conductance_Eeq!BJ25/MAX(Conductance_Eeq!BJ$7:BJ$27)))))*(1.88E-23)*(25+273.15))/(EXP($A26-BJ$7))),((LN((Conductance_Eeq!BJ25/MAX(Conductance_Eeq!BJ$7:BJ$27))))*(1.88E-23)*(25+273.15))/(EXP($A26-BJ$7))))</f>
        <v/>
      </c>
      <c r="BK26" t="str">
        <f>IF(ISBLANK(Conductance_Eeq!BK25),"",IF(Conductance_Eeq!BK25&lt;0,((LN(ABS(((Conductance_Eeq!BK25/MAX(Conductance_Eeq!BK$7:BK$27)))))*(1.88E-23)*(25+273.15))/(EXP($A26-BK$7))),((LN((Conductance_Eeq!BK25/MAX(Conductance_Eeq!BK$7:BK$27))))*(1.88E-23)*(25+273.15))/(EXP($A26-BK$7))))</f>
        <v/>
      </c>
      <c r="BL26" t="str">
        <f>IF(ISBLANK(Conductance_Eeq!BL25),"",IF(Conductance_Eeq!BL25&lt;0,((LN(ABS(((Conductance_Eeq!BL25/MAX(Conductance_Eeq!BL$7:BL$27)))))*(1.88E-23)*(25+273.15))/(EXP($A26-BL$7))),((LN((Conductance_Eeq!BL25/MAX(Conductance_Eeq!BL$7:BL$27))))*(1.88E-23)*(25+273.15))/(EXP($A26-BL$7))))</f>
        <v/>
      </c>
      <c r="BM26" t="str">
        <f>IF(ISBLANK(Conductance_Eeq!BM25),"",IF(Conductance_Eeq!BM25&lt;0,((LN(ABS(((Conductance_Eeq!BM25/MAX(Conductance_Eeq!BM$7:BM$27)))))*(1.88E-23)*(25+273.15))/(EXP($A26-BM$7))),((LN((Conductance_Eeq!BM25/MAX(Conductance_Eeq!BM$7:BM$27))))*(1.88E-23)*(25+273.15))/(EXP($A26-BM$7))))</f>
        <v/>
      </c>
      <c r="BN26" t="str">
        <f>IF(ISBLANK(Conductance_Eeq!BN25),"",IF(Conductance_Eeq!BN25&lt;0,((LN(ABS(((Conductance_Eeq!BN25/MAX(Conductance_Eeq!BN$7:BN$27)))))*(1.88E-23)*(25+273.15))/(EXP($A26-BN$7))),((LN((Conductance_Eeq!BN25/MAX(Conductance_Eeq!BN$7:BN$27))))*(1.88E-23)*(25+273.15))/(EXP($A26-BN$7))))</f>
        <v/>
      </c>
      <c r="BO26" t="str">
        <f>IF(ISBLANK(Conductance_Eeq!BO25),"",IF(Conductance_Eeq!BO25&lt;0,((LN(ABS(((Conductance_Eeq!BO25/MAX(Conductance_Eeq!BO$7:BO$27)))))*(1.88E-23)*(25+273.15))/(EXP($A26-BO$7))),((LN((Conductance_Eeq!BO25/MAX(Conductance_Eeq!BO$7:BO$27))))*(1.88E-23)*(25+273.15))/(EXP($A26-BO$7))))</f>
        <v/>
      </c>
      <c r="BP26" t="str">
        <f>IF(ISBLANK(Conductance_Eeq!BP25),"",IF(Conductance_Eeq!BP25&lt;0,((LN(ABS(((Conductance_Eeq!BP25/MAX(Conductance_Eeq!BP$7:BP$27)))))*(1.88E-23)*(25+273.15))/(EXP($A26-BP$7))),((LN((Conductance_Eeq!BP25/MAX(Conductance_Eeq!BP$7:BP$27))))*(1.88E-23)*(25+273.15))/(EXP($A26-BP$7))))</f>
        <v/>
      </c>
      <c r="BQ26" t="str">
        <f>IF(ISBLANK(Conductance_Eeq!BQ25),"",IF(Conductance_Eeq!BQ25&lt;0,((LN(ABS(((Conductance_Eeq!BQ25/MAX(Conductance_Eeq!BQ$7:BQ$27)))))*(1.88E-23)*(25+273.15))/(EXP($A26-BQ$7))),((LN((Conductance_Eeq!BQ25/MAX(Conductance_Eeq!BQ$7:BQ$27))))*(1.88E-23)*(25+273.15))/(EXP($A26-BQ$7))))</f>
        <v/>
      </c>
      <c r="BR26" t="str">
        <f>IF(ISBLANK(Conductance_Eeq!BR25),"",IF(Conductance_Eeq!BR25&lt;0,((LN(ABS(((Conductance_Eeq!BR25/MAX(Conductance_Eeq!BR$7:BR$27)))))*(1.88E-23)*(25+273.15))/(EXP($A26-BR$7))),((LN((Conductance_Eeq!BR25/MAX(Conductance_Eeq!BR$7:BR$27))))*(1.88E-23)*(25+273.15))/(EXP($A26-BR$7))))</f>
        <v/>
      </c>
      <c r="BS26" t="str">
        <f>IF(ISBLANK(Conductance_Eeq!BS25),"",IF(Conductance_Eeq!BS25&lt;0,((LN(ABS(((Conductance_Eeq!BS25/MAX(Conductance_Eeq!BS$7:BS$27)))))*(1.88E-23)*(25+273.15))/(EXP($A26-BS$7))),((LN((Conductance_Eeq!BS25/MAX(Conductance_Eeq!BS$7:BS$27))))*(1.88E-23)*(25+273.15))/(EXP($A26-BS$7))))</f>
        <v/>
      </c>
      <c r="BT26" t="str">
        <f>IF(ISBLANK(Conductance_Eeq!BT25),"",IF(Conductance_Eeq!BT25&lt;0,((LN(ABS(((Conductance_Eeq!BT25/MAX(Conductance_Eeq!BT$7:BT$27)))))*(1.88E-23)*(25+273.15))/(EXP($A26-BT$7))),((LN((Conductance_Eeq!BT25/MAX(Conductance_Eeq!BT$7:BT$27))))*(1.88E-23)*(25+273.15))/(EXP($A26-BT$7))))</f>
        <v/>
      </c>
      <c r="BU26" t="str">
        <f>IF(ISBLANK(Conductance_Eeq!BU25),"",IF(Conductance_Eeq!BU25&lt;0,((LN(ABS(((Conductance_Eeq!BU25/MAX(Conductance_Eeq!BU$7:BU$27)))))*(1.88E-23)*(25+273.15))/(EXP($A26-BU$7))),((LN((Conductance_Eeq!BU25/MAX(Conductance_Eeq!BU$7:BU$27))))*(1.88E-23)*(25+273.15))/(EXP($A26-BU$7))))</f>
        <v/>
      </c>
      <c r="BV26" t="str">
        <f>IF(ISBLANK(Conductance_Eeq!BV25),"",IF(Conductance_Eeq!BV25&lt;0,((LN(ABS(((Conductance_Eeq!BV25/MAX(Conductance_Eeq!BV$7:BV$27)))))*(1.88E-23)*(25+273.15))/(EXP($A26-BV$7))),((LN((Conductance_Eeq!BV25/MAX(Conductance_Eeq!BV$7:BV$27))))*(1.88E-23)*(25+273.15))/(EXP($A26-BV$7))))</f>
        <v/>
      </c>
      <c r="BW26" t="str">
        <f>IF(ISBLANK(Conductance_Eeq!BW25),"",IF(Conductance_Eeq!BW25&lt;0,((LN(ABS(((Conductance_Eeq!BW25/MAX(Conductance_Eeq!BW$7:BW$27)))))*(1.88E-23)*(25+273.15))/(EXP($A26-BW$7))),((LN((Conductance_Eeq!BW25/MAX(Conductance_Eeq!BW$7:BW$27))))*(1.88E-23)*(25+273.15))/(EXP($A26-BW$7))))</f>
        <v/>
      </c>
      <c r="BX26" t="str">
        <f>IF(ISBLANK(Conductance_Eeq!BX25),"",IF(Conductance_Eeq!BX25&lt;0,((LN(ABS(((Conductance_Eeq!BX25/MAX(Conductance_Eeq!BX$7:BX$27)))))*(1.88E-23)*(25+273.15))/(EXP($A26-BX$7))),((LN((Conductance_Eeq!BX25/MAX(Conductance_Eeq!BX$7:BX$27))))*(1.88E-23)*(25+273.15))/(EXP($A26-BX$7))))</f>
        <v/>
      </c>
      <c r="BY26" t="str">
        <f>IF(ISBLANK(Conductance_Eeq!BY25),"",IF(Conductance_Eeq!BY25&lt;0,((LN(ABS(((Conductance_Eeq!BY25/MAX(Conductance_Eeq!BY$7:BY$27)))))*(1.88E-23)*(25+273.15))/(EXP($A26-BY$7))),((LN((Conductance_Eeq!BY25/MAX(Conductance_Eeq!BY$7:BY$27))))*(1.88E-23)*(25+273.15))/(EXP($A26-BY$7))))</f>
        <v/>
      </c>
      <c r="BZ26" t="str">
        <f>IF(ISBLANK(Conductance_Eeq!BZ25),"",IF(Conductance_Eeq!BZ25&lt;0,((LN(ABS(((Conductance_Eeq!BZ25/MAX(Conductance_Eeq!BZ$7:BZ$27)))))*(1.88E-23)*(25+273.15))/(EXP($A26-BZ$7))),((LN((Conductance_Eeq!BZ25/MAX(Conductance_Eeq!BZ$7:BZ$27))))*(1.88E-23)*(25+273.15))/(EXP($A26-BZ$7))))</f>
        <v/>
      </c>
      <c r="CA26" t="str">
        <f>IF(ISBLANK(Conductance_Eeq!CA25),"",IF(Conductance_Eeq!CA25&lt;0,((LN(ABS(((Conductance_Eeq!CA25/MAX(Conductance_Eeq!CA$7:CA$27)))))*(1.88E-23)*(25+273.15))/(EXP($A26-CA$7))),((LN((Conductance_Eeq!CA25/MAX(Conductance_Eeq!CA$7:CA$27))))*(1.88E-23)*(25+273.15))/(EXP($A26-CA$7))))</f>
        <v/>
      </c>
      <c r="CB26" t="str">
        <f>IF(ISBLANK(Conductance_Eeq!CB25),"",IF(Conductance_Eeq!CB25&lt;0,((LN(ABS(((Conductance_Eeq!CB25/MAX(Conductance_Eeq!CB$7:CB$27)))))*(1.88E-23)*(25+273.15))/(EXP($A26-CB$7))),((LN((Conductance_Eeq!CB25/MAX(Conductance_Eeq!CB$7:CB$27))))*(1.88E-23)*(25+273.15))/(EXP($A26-CB$7))))</f>
        <v/>
      </c>
      <c r="CC26" t="str">
        <f>IF(ISBLANK(Conductance_Eeq!CC25),"",IF(Conductance_Eeq!CC25&lt;0,((LN(ABS(((Conductance_Eeq!CC25/MAX(Conductance_Eeq!CC$7:CC$27)))))*(1.88E-23)*(25+273.15))/(EXP($A26-CC$7))),((LN((Conductance_Eeq!CC25/MAX(Conductance_Eeq!CC$7:CC$27))))*(1.88E-23)*(25+273.15))/(EXP($A26-CC$7))))</f>
        <v/>
      </c>
      <c r="CD26" t="str">
        <f>IF(ISBLANK(Conductance_Eeq!CD25),"",IF(Conductance_Eeq!CD25&lt;0,((LN(ABS(((Conductance_Eeq!CD25/MAX(Conductance_Eeq!CD$7:CD$27)))))*(1.88E-23)*(25+273.15))/(EXP($A26-CD$7))),((LN((Conductance_Eeq!CD25/MAX(Conductance_Eeq!CD$7:CD$27))))*(1.88E-23)*(25+273.15))/(EXP($A26-CD$7))))</f>
        <v/>
      </c>
    </row>
    <row r="27" spans="1:82" x14ac:dyDescent="0.2">
      <c r="A27" s="3">
        <f t="shared" si="0"/>
        <v>110</v>
      </c>
      <c r="B27">
        <f>IF(ISBLANK(Conductance_Eeq!B26),"",IF(Conductance_Eeq!B26&lt;0,((LN(ABS(((Conductance_Eeq!B26/MAX(Conductance_Eeq!B$7:B$27)))))*(1.88E-23)*(25+273.15))/(EXP($A27-B$7))),((LN((Conductance_Eeq!B26/MAX(Conductance_Eeq!B$7:B$27))))*(1.88E-23)*(25+273.15))/(EXP($A27-B$7))))</f>
        <v>-7.9391356363918448E-65</v>
      </c>
      <c r="C27">
        <f>IF(ISBLANK(Conductance_Eeq!C26),"",IF(Conductance_Eeq!C26&lt;0,((LN(ABS(((Conductance_Eeq!C26/MAX(Conductance_Eeq!C$7:C$27)))))*(1.88E-23)*(25+273.15))/(EXP($A27-C$7))),((LN((Conductance_Eeq!C26/MAX(Conductance_Eeq!C$7:C$27))))*(1.88E-23)*(25+273.15))/(EXP($A27-C$7))))</f>
        <v>-2.0535615013848219E-64</v>
      </c>
      <c r="D27" t="str">
        <f>IF(ISBLANK(Conductance_Eeq!D26),"",IF(Conductance_Eeq!D26&lt;0,((LN(ABS(((Conductance_Eeq!D26/MAX(Conductance_Eeq!D$7:D$27)))))*(1.88E-23)*(25+273.15))/(EXP($A27-D$7))),((LN((Conductance_Eeq!D26/MAX(Conductance_Eeq!D$7:D$27))))*(1.88E-23)*(25+273.15))/(EXP($A27-D$7))))</f>
        <v/>
      </c>
      <c r="E27" t="str">
        <f>IF(ISBLANK(Conductance_Eeq!E26),"",IF(Conductance_Eeq!E26&lt;0,((LN(ABS(((Conductance_Eeq!E26/MAX(Conductance_Eeq!E$7:E$27)))))*(1.88E-23)*(25+273.15))/(EXP($A27-E$7))),((LN((Conductance_Eeq!E26/MAX(Conductance_Eeq!E$7:E$27))))*(1.88E-23)*(25+273.15))/(EXP($A27-E$7))))</f>
        <v/>
      </c>
      <c r="F27" t="str">
        <f>IF(ISBLANK(Conductance_Eeq!F26),"",IF(Conductance_Eeq!F26&lt;0,((LN(ABS(((Conductance_Eeq!F26/MAX(Conductance_Eeq!F$7:F$27)))))*(1.88E-23)*(25+273.15))/(EXP($A27-F$7))),((LN((Conductance_Eeq!F26/MAX(Conductance_Eeq!F$7:F$27))))*(1.88E-23)*(25+273.15))/(EXP($A27-F$7))))</f>
        <v/>
      </c>
      <c r="G27" t="str">
        <f>IF(ISBLANK(Conductance_Eeq!G26),"",IF(Conductance_Eeq!G26&lt;0,((LN(ABS(((Conductance_Eeq!G26/MAX(Conductance_Eeq!G$7:G$27)))))*(1.88E-23)*(25+273.15))/(EXP($A27-G$7))),((LN((Conductance_Eeq!G26/MAX(Conductance_Eeq!G$7:G$27))))*(1.88E-23)*(25+273.15))/(EXP($A27-G$7))))</f>
        <v/>
      </c>
      <c r="H27" t="str">
        <f>IF(ISBLANK(Conductance_Eeq!H26),"",IF(Conductance_Eeq!H26&lt;0,((LN(ABS(((Conductance_Eeq!H26/MAX(Conductance_Eeq!H$7:H$27)))))*(1.88E-23)*(25+273.15))/(EXP($A27-H$7))),((LN((Conductance_Eeq!H26/MAX(Conductance_Eeq!H$7:H$27))))*(1.88E-23)*(25+273.15))/(EXP($A27-H$7))))</f>
        <v/>
      </c>
      <c r="I27" t="str">
        <f>IF(ISBLANK(Conductance_Eeq!I26),"",IF(Conductance_Eeq!I26&lt;0,((LN(ABS(((Conductance_Eeq!I26/MAX(Conductance_Eeq!I$7:I$27)))))*(1.88E-23)*(25+273.15))/(EXP($A27-I$7))),((LN((Conductance_Eeq!I26/MAX(Conductance_Eeq!I$7:I$27))))*(1.88E-23)*(25+273.15))/(EXP($A27-I$7))))</f>
        <v/>
      </c>
      <c r="J27" t="str">
        <f>IF(ISBLANK(Conductance_Eeq!J26),"",IF(Conductance_Eeq!J26&lt;0,((LN(ABS(((Conductance_Eeq!J26/MAX(Conductance_Eeq!J$7:J$27)))))*(1.88E-23)*(25+273.15))/(EXP($A27-J$7))),((LN((Conductance_Eeq!J26/MAX(Conductance_Eeq!J$7:J$27))))*(1.88E-23)*(25+273.15))/(EXP($A27-J$7))))</f>
        <v/>
      </c>
      <c r="K27">
        <f>IF(ISBLANK(Conductance_Eeq!K26),"",IF(Conductance_Eeq!K26&lt;0,((LN(ABS(((Conductance_Eeq!K26/MAX(Conductance_Eeq!K$7:K$27)))))*(1.88E-23)*(25+273.15))/(EXP($A27-K$7))),((LN((Conductance_Eeq!K26/MAX(Conductance_Eeq!K$7:K$27))))*(1.88E-23)*(25+273.15))/(EXP($A27-K$7))))</f>
        <v>-1.4695556504232881E-64</v>
      </c>
      <c r="L27" t="str">
        <f>IF(ISBLANK(Conductance_Eeq!L26),"",IF(Conductance_Eeq!L26&lt;0,((LN(ABS(((Conductance_Eeq!L26/MAX(Conductance_Eeq!L$7:L$27)))))*(1.88E-23)*(25+273.15))/(EXP($A27-L$7))),((LN((Conductance_Eeq!L26/MAX(Conductance_Eeq!L$7:L$27))))*(1.88E-23)*(25+273.15))/(EXP($A27-L$7))))</f>
        <v/>
      </c>
      <c r="M27">
        <f>IF(ISBLANK(Conductance_Eeq!M26),"",IF(Conductance_Eeq!M26&lt;0,((LN(ABS(((Conductance_Eeq!M26/MAX(Conductance_Eeq!M$7:M$27)))))*(1.88E-23)*(25+273.15))/(EXP($A27-M$7))),((LN((Conductance_Eeq!M26/MAX(Conductance_Eeq!M$7:M$27))))*(1.88E-23)*(25+273.15))/(EXP($A27-M$7))))</f>
        <v>-8.7528047464074929E-66</v>
      </c>
      <c r="N27" t="str">
        <f>IF(ISBLANK(Conductance_Eeq!N26),"",IF(Conductance_Eeq!N26&lt;0,((LN(ABS(((Conductance_Eeq!N26/MAX(Conductance_Eeq!N$7:N$27)))))*(1.88E-23)*(25+273.15))/(EXP($A27-N$7))),((LN((Conductance_Eeq!N26/MAX(Conductance_Eeq!N$7:N$27))))*(1.88E-23)*(25+273.15))/(EXP($A27-N$7))))</f>
        <v/>
      </c>
      <c r="O27" t="str">
        <f>IF(ISBLANK(Conductance_Eeq!O26),"",IF(Conductance_Eeq!O26&lt;0,((LN(ABS(((Conductance_Eeq!O26/MAX(Conductance_Eeq!O$7:O$27)))))*(1.88E-23)*(25+273.15))/(EXP($A27-O$7))),((LN((Conductance_Eeq!O26/MAX(Conductance_Eeq!O$7:O$27))))*(1.88E-23)*(25+273.15))/(EXP($A27-O$7))))</f>
        <v/>
      </c>
      <c r="P27" t="str">
        <f>IF(ISBLANK(Conductance_Eeq!P26),"",IF(Conductance_Eeq!P26&lt;0,((LN(ABS(((Conductance_Eeq!P26/MAX(Conductance_Eeq!P$7:P$27)))))*(1.88E-23)*(25+273.15))/(EXP($A27-P$7))),((LN((Conductance_Eeq!P26/MAX(Conductance_Eeq!P$7:P$27))))*(1.88E-23)*(25+273.15))/(EXP($A27-P$7))))</f>
        <v/>
      </c>
      <c r="Q27" t="str">
        <f>IF(ISBLANK(Conductance_Eeq!Q26),"",IF(Conductance_Eeq!Q26&lt;0,((LN(ABS(((Conductance_Eeq!Q26/MAX(Conductance_Eeq!Q$7:Q$27)))))*(1.88E-23)*(25+273.15))/(EXP($A27-Q$7))),((LN((Conductance_Eeq!Q26/MAX(Conductance_Eeq!Q$7:Q$27))))*(1.88E-23)*(25+273.15))/(EXP($A27-Q$7))))</f>
        <v/>
      </c>
      <c r="R27" t="str">
        <f>IF(ISBLANK(Conductance_Eeq!R26),"",IF(Conductance_Eeq!R26&lt;0,((LN(ABS(((Conductance_Eeq!R26/MAX(Conductance_Eeq!R$7:R$27)))))*(1.88E-23)*(25+273.15))/(EXP($A27-R$7))),((LN((Conductance_Eeq!R26/MAX(Conductance_Eeq!R$7:R$27))))*(1.88E-23)*(25+273.15))/(EXP($A27-R$7))))</f>
        <v/>
      </c>
      <c r="S27" t="str">
        <f>IF(ISBLANK(Conductance_Eeq!S26),"",IF(Conductance_Eeq!S26&lt;0,((LN(ABS(((Conductance_Eeq!S26/MAX(Conductance_Eeq!S$7:S$27)))))*(1.88E-23)*(25+273.15))/(EXP($A27-S$7))),((LN((Conductance_Eeq!S26/MAX(Conductance_Eeq!S$7:S$27))))*(1.88E-23)*(25+273.15))/(EXP($A27-S$7))))</f>
        <v/>
      </c>
      <c r="T27" t="str">
        <f>IF(ISBLANK(Conductance_Eeq!T26),"",IF(Conductance_Eeq!T26&lt;0,((LN(ABS(((Conductance_Eeq!T26/MAX(Conductance_Eeq!T$7:T$27)))))*(1.88E-23)*(25+273.15))/(EXP($A27-T$7))),((LN((Conductance_Eeq!T26/MAX(Conductance_Eeq!T$7:T$27))))*(1.88E-23)*(25+273.15))/(EXP($A27-T$7))))</f>
        <v/>
      </c>
      <c r="U27" t="str">
        <f>IF(ISBLANK(Conductance_Eeq!U26),"",IF(Conductance_Eeq!U26&lt;0,((LN(ABS(((Conductance_Eeq!U26/MAX(Conductance_Eeq!U$7:U$27)))))*(1.88E-23)*(25+273.15))/(EXP($A27-U$7))),((LN((Conductance_Eeq!U26/MAX(Conductance_Eeq!U$7:U$27))))*(1.88E-23)*(25+273.15))/(EXP($A27-U$7))))</f>
        <v/>
      </c>
      <c r="V27" t="str">
        <f>IF(ISBLANK(Conductance_Eeq!V26),"",IF(Conductance_Eeq!V26&lt;0,((LN(ABS(((Conductance_Eeq!V26/MAX(Conductance_Eeq!V$7:V$27)))))*(1.88E-23)*(25+273.15))/(EXP($A27-V$7))),((LN((Conductance_Eeq!V26/MAX(Conductance_Eeq!V$7:V$27))))*(1.88E-23)*(25+273.15))/(EXP($A27-V$7))))</f>
        <v/>
      </c>
      <c r="W27" t="str">
        <f>IF(ISBLANK(Conductance_Eeq!W26),"",IF(Conductance_Eeq!W26&lt;0,((LN(ABS(((Conductance_Eeq!W26/MAX(Conductance_Eeq!W$7:W$27)))))*(1.88E-23)*(25+273.15))/(EXP($A27-W$7))),((LN((Conductance_Eeq!W26/MAX(Conductance_Eeq!W$7:W$27))))*(1.88E-23)*(25+273.15))/(EXP($A27-W$7))))</f>
        <v/>
      </c>
      <c r="X27" t="str">
        <f>IF(ISBLANK(Conductance_Eeq!X26),"",IF(Conductance_Eeq!X26&lt;0,((LN(ABS(((Conductance_Eeq!X26/MAX(Conductance_Eeq!X$7:X$27)))))*(1.88E-23)*(25+273.15))/(EXP($A27-X$7))),((LN((Conductance_Eeq!X26/MAX(Conductance_Eeq!X$7:X$27))))*(1.88E-23)*(25+273.15))/(EXP($A27-X$7))))</f>
        <v/>
      </c>
      <c r="Y27" t="str">
        <f>IF(ISBLANK(Conductance_Eeq!Y26),"",IF(Conductance_Eeq!Y26&lt;0,((LN(ABS(((Conductance_Eeq!Y26/MAX(Conductance_Eeq!Y$7:Y$27)))))*(1.88E-23)*(25+273.15))/(EXP($A27-Y$7))),((LN((Conductance_Eeq!Y26/MAX(Conductance_Eeq!Y$7:Y$27))))*(1.88E-23)*(25+273.15))/(EXP($A27-Y$7))))</f>
        <v/>
      </c>
      <c r="Z27" t="str">
        <f>IF(ISBLANK(Conductance_Eeq!Z26),"",IF(Conductance_Eeq!Z26&lt;0,((LN(ABS(((Conductance_Eeq!Z26/MAX(Conductance_Eeq!Z$7:Z$27)))))*(1.88E-23)*(25+273.15))/(EXP($A27-Z$7))),((LN((Conductance_Eeq!Z26/MAX(Conductance_Eeq!Z$7:Z$27))))*(1.88E-23)*(25+273.15))/(EXP($A27-Z$7))))</f>
        <v/>
      </c>
      <c r="AA27" t="str">
        <f>IF(ISBLANK(Conductance_Eeq!AA26),"",IF(Conductance_Eeq!AA26&lt;0,((LN(ABS(((Conductance_Eeq!AA26/MAX(Conductance_Eeq!AA$7:AA$27)))))*(1.88E-23)*(25+273.15))/(EXP($A27-AA$7))),((LN((Conductance_Eeq!AA26/MAX(Conductance_Eeq!AA$7:AA$27))))*(1.88E-23)*(25+273.15))/(EXP($A27-AA$7))))</f>
        <v/>
      </c>
      <c r="AB27" t="str">
        <f>IF(ISBLANK(Conductance_Eeq!AB26),"",IF(Conductance_Eeq!AB26&lt;0,((LN(ABS(((Conductance_Eeq!AB26/MAX(Conductance_Eeq!AB$7:AB$27)))))*(1.88E-23)*(25+273.15))/(EXP($A27-AB$7))),((LN((Conductance_Eeq!AB26/MAX(Conductance_Eeq!AB$7:AB$27))))*(1.88E-23)*(25+273.15))/(EXP($A27-AB$7))))</f>
        <v/>
      </c>
      <c r="AC27" t="str">
        <f>IF(ISBLANK(Conductance_Eeq!AC26),"",IF(Conductance_Eeq!AC26&lt;0,((LN(ABS(((Conductance_Eeq!AC26/MAX(Conductance_Eeq!AC$7:AC$27)))))*(1.88E-23)*(25+273.15))/(EXP($A27-AC$7))),((LN((Conductance_Eeq!AC26/MAX(Conductance_Eeq!AC$7:AC$27))))*(1.88E-23)*(25+273.15))/(EXP($A27-AC$7))))</f>
        <v/>
      </c>
      <c r="AD27" t="str">
        <f>IF(ISBLANK(Conductance_Eeq!AD26),"",IF(Conductance_Eeq!AD26&lt;0,((LN(ABS(((Conductance_Eeq!AD26/MAX(Conductance_Eeq!AD$7:AD$27)))))*(1.88E-23)*(25+273.15))/(EXP($A27-AD$7))),((LN((Conductance_Eeq!AD26/MAX(Conductance_Eeq!AD$7:AD$27))))*(1.88E-23)*(25+273.15))/(EXP($A27-AD$7))))</f>
        <v/>
      </c>
      <c r="AE27" t="str">
        <f>IF(ISBLANK(Conductance_Eeq!AE26),"",IF(Conductance_Eeq!AE26&lt;0,((LN(ABS(((Conductance_Eeq!AE26/MAX(Conductance_Eeq!AE$7:AE$27)))))*(1.88E-23)*(25+273.15))/(EXP($A27-AE$7))),((LN((Conductance_Eeq!AE26/MAX(Conductance_Eeq!AE$7:AE$27))))*(1.88E-23)*(25+273.15))/(EXP($A27-AE$7))))</f>
        <v/>
      </c>
      <c r="AF27" t="str">
        <f>IF(ISBLANK(Conductance_Eeq!AF26),"",IF(Conductance_Eeq!AF26&lt;0,((LN(ABS(((Conductance_Eeq!AF26/MAX(Conductance_Eeq!AF$7:AF$27)))))*(1.88E-23)*(25+273.15))/(EXP($A27-AF$7))),((LN((Conductance_Eeq!AF26/MAX(Conductance_Eeq!AF$7:AF$27))))*(1.88E-23)*(25+273.15))/(EXP($A27-AF$7))))</f>
        <v/>
      </c>
      <c r="AG27" t="str">
        <f>IF(ISBLANK(Conductance_Eeq!AG26),"",IF(Conductance_Eeq!AG26&lt;0,((LN(ABS(((Conductance_Eeq!AG26/MAX(Conductance_Eeq!AG$7:AG$27)))))*(1.88E-23)*(25+273.15))/(EXP($A27-AG$7))),((LN((Conductance_Eeq!AG26/MAX(Conductance_Eeq!AG$7:AG$27))))*(1.88E-23)*(25+273.15))/(EXP($A27-AG$7))))</f>
        <v/>
      </c>
      <c r="AH27" t="str">
        <f>IF(ISBLANK(Conductance_Eeq!AH26),"",IF(Conductance_Eeq!AH26&lt;0,((LN(ABS(((Conductance_Eeq!AH26/MAX(Conductance_Eeq!AH$7:AH$27)))))*(1.88E-23)*(25+273.15))/(EXP($A27-AH$7))),((LN((Conductance_Eeq!AH26/MAX(Conductance_Eeq!AH$7:AH$27))))*(1.88E-23)*(25+273.15))/(EXP($A27-AH$7))))</f>
        <v/>
      </c>
      <c r="AI27" t="str">
        <f>IF(ISBLANK(Conductance_Eeq!AI26),"",IF(Conductance_Eeq!AI26&lt;0,((LN(ABS(((Conductance_Eeq!AI26/MAX(Conductance_Eeq!AI$7:AI$27)))))*(1.88E-23)*(25+273.15))/(EXP($A27-AI$7))),((LN((Conductance_Eeq!AI26/MAX(Conductance_Eeq!AI$7:AI$27))))*(1.88E-23)*(25+273.15))/(EXP($A27-AI$7))))</f>
        <v/>
      </c>
      <c r="AJ27" t="str">
        <f>IF(ISBLANK(Conductance_Eeq!AJ26),"",IF(Conductance_Eeq!AJ26&lt;0,((LN(ABS(((Conductance_Eeq!AJ26/MAX(Conductance_Eeq!AJ$7:AJ$27)))))*(1.88E-23)*(25+273.15))/(EXP($A27-AJ$7))),((LN((Conductance_Eeq!AJ26/MAX(Conductance_Eeq!AJ$7:AJ$27))))*(1.88E-23)*(25+273.15))/(EXP($A27-AJ$7))))</f>
        <v/>
      </c>
      <c r="AK27" t="str">
        <f>IF(ISBLANK(Conductance_Eeq!AK26),"",IF(Conductance_Eeq!AK26&lt;0,((LN(ABS(((Conductance_Eeq!AK26/MAX(Conductance_Eeq!AK$7:AK$27)))))*(1.88E-23)*(25+273.15))/(EXP($A27-AK$7))),((LN((Conductance_Eeq!AK26/MAX(Conductance_Eeq!AK$7:AK$27))))*(1.88E-23)*(25+273.15))/(EXP($A27-AK$7))))</f>
        <v/>
      </c>
      <c r="AL27" t="str">
        <f>IF(ISBLANK(Conductance_Eeq!AL26),"",IF(Conductance_Eeq!AL26&lt;0,((LN(ABS(((Conductance_Eeq!AL26/MAX(Conductance_Eeq!AL$7:AL$27)))))*(1.88E-23)*(25+273.15))/(EXP($A27-AL$7))),((LN((Conductance_Eeq!AL26/MAX(Conductance_Eeq!AL$7:AL$27))))*(1.88E-23)*(25+273.15))/(EXP($A27-AL$7))))</f>
        <v/>
      </c>
      <c r="AM27" t="str">
        <f>IF(ISBLANK(Conductance_Eeq!AM26),"",IF(Conductance_Eeq!AM26&lt;0,((LN(ABS(((Conductance_Eeq!AM26/MAX(Conductance_Eeq!AM$7:AM$27)))))*(1.88E-23)*(25+273.15))/(EXP($A27-AM$7))),((LN((Conductance_Eeq!AM26/MAX(Conductance_Eeq!AM$7:AM$27))))*(1.88E-23)*(25+273.15))/(EXP($A27-AM$7))))</f>
        <v/>
      </c>
      <c r="AN27" t="str">
        <f>IF(ISBLANK(Conductance_Eeq!AN26),"",IF(Conductance_Eeq!AN26&lt;0,((LN(ABS(((Conductance_Eeq!AN26/MAX(Conductance_Eeq!AN$7:AN$27)))))*(1.88E-23)*(25+273.15))/(EXP($A27-AN$7))),((LN((Conductance_Eeq!AN26/MAX(Conductance_Eeq!AN$7:AN$27))))*(1.88E-23)*(25+273.15))/(EXP($A27-AN$7))))</f>
        <v/>
      </c>
      <c r="AO27" t="str">
        <f>IF(ISBLANK(Conductance_Eeq!AO26),"",IF(Conductance_Eeq!AO26&lt;0,((LN(ABS(((Conductance_Eeq!AO26/MAX(Conductance_Eeq!AO$7:AO$27)))))*(1.88E-23)*(25+273.15))/(EXP($A27-AO$7))),((LN((Conductance_Eeq!AO26/MAX(Conductance_Eeq!AO$7:AO$27))))*(1.88E-23)*(25+273.15))/(EXP($A27-AO$7))))</f>
        <v/>
      </c>
      <c r="AP27" t="str">
        <f>IF(ISBLANK(Conductance_Eeq!AP26),"",IF(Conductance_Eeq!AP26&lt;0,((LN(ABS(((Conductance_Eeq!AP26/MAX(Conductance_Eeq!AP$7:AP$27)))))*(1.88E-23)*(25+273.15))/(EXP($A27-AP$7))),((LN((Conductance_Eeq!AP26/MAX(Conductance_Eeq!AP$7:AP$27))))*(1.88E-23)*(25+273.15))/(EXP($A27-AP$7))))</f>
        <v/>
      </c>
      <c r="AQ27" t="str">
        <f>IF(ISBLANK(Conductance_Eeq!AQ26),"",IF(Conductance_Eeq!AQ26&lt;0,((LN(ABS(((Conductance_Eeq!AQ26/MAX(Conductance_Eeq!AQ$7:AQ$27)))))*(1.88E-23)*(25+273.15))/(EXP($A27-AQ$7))),((LN((Conductance_Eeq!AQ26/MAX(Conductance_Eeq!AQ$7:AQ$27))))*(1.88E-23)*(25+273.15))/(EXP($A27-AQ$7))))</f>
        <v/>
      </c>
      <c r="AR27" t="str">
        <f>IF(ISBLANK(Conductance_Eeq!AR26),"",IF(Conductance_Eeq!AR26&lt;0,((LN(ABS(((Conductance_Eeq!AR26/MAX(Conductance_Eeq!AR$7:AR$27)))))*(1.88E-23)*(25+273.15))/(EXP($A27-AR$7))),((LN((Conductance_Eeq!AR26/MAX(Conductance_Eeq!AR$7:AR$27))))*(1.88E-23)*(25+273.15))/(EXP($A27-AR$7))))</f>
        <v/>
      </c>
      <c r="AS27" t="str">
        <f>IF(ISBLANK(Conductance_Eeq!AS26),"",IF(Conductance_Eeq!AS26&lt;0,((LN(ABS(((Conductance_Eeq!AS26/MAX(Conductance_Eeq!AS$7:AS$27)))))*(1.88E-23)*(25+273.15))/(EXP($A27-AS$7))),((LN((Conductance_Eeq!AS26/MAX(Conductance_Eeq!AS$7:AS$27))))*(1.88E-23)*(25+273.15))/(EXP($A27-AS$7))))</f>
        <v/>
      </c>
      <c r="AT27" t="str">
        <f>IF(ISBLANK(Conductance_Eeq!AT26),"",IF(Conductance_Eeq!AT26&lt;0,((LN(ABS(((Conductance_Eeq!AT26/MAX(Conductance_Eeq!AT$7:AT$27)))))*(1.88E-23)*(25+273.15))/(EXP($A27-AT$7))),((LN((Conductance_Eeq!AT26/MAX(Conductance_Eeq!AT$7:AT$27))))*(1.88E-23)*(25+273.15))/(EXP($A27-AT$7))))</f>
        <v/>
      </c>
      <c r="AU27" t="str">
        <f>IF(ISBLANK(Conductance_Eeq!AU26),"",IF(Conductance_Eeq!AU26&lt;0,((LN(ABS(((Conductance_Eeq!AU26/MAX(Conductance_Eeq!AU$7:AU$27)))))*(1.88E-23)*(25+273.15))/(EXP($A27-AU$7))),((LN((Conductance_Eeq!AU26/MAX(Conductance_Eeq!AU$7:AU$27))))*(1.88E-23)*(25+273.15))/(EXP($A27-AU$7))))</f>
        <v/>
      </c>
      <c r="AV27" t="str">
        <f>IF(ISBLANK(Conductance_Eeq!AV26),"",IF(Conductance_Eeq!AV26&lt;0,((LN(ABS(((Conductance_Eeq!AV26/MAX(Conductance_Eeq!AV$7:AV$27)))))*(1.88E-23)*(25+273.15))/(EXP($A27-AV$7))),((LN((Conductance_Eeq!AV26/MAX(Conductance_Eeq!AV$7:AV$27))))*(1.88E-23)*(25+273.15))/(EXP($A27-AV$7))))</f>
        <v/>
      </c>
      <c r="AW27" t="str">
        <f>IF(ISBLANK(Conductance_Eeq!AW26),"",IF(Conductance_Eeq!AW26&lt;0,((LN(ABS(((Conductance_Eeq!AW26/MAX(Conductance_Eeq!AW$7:AW$27)))))*(1.88E-23)*(25+273.15))/(EXP($A27-AW$7))),((LN((Conductance_Eeq!AW26/MAX(Conductance_Eeq!AW$7:AW$27))))*(1.88E-23)*(25+273.15))/(EXP($A27-AW$7))))</f>
        <v/>
      </c>
      <c r="AX27" t="str">
        <f>IF(ISBLANK(Conductance_Eeq!AX26),"",IF(Conductance_Eeq!AX26&lt;0,((LN(ABS(((Conductance_Eeq!AX26/MAX(Conductance_Eeq!AX$7:AX$27)))))*(1.88E-23)*(25+273.15))/(EXP($A27-AX$7))),((LN((Conductance_Eeq!AX26/MAX(Conductance_Eeq!AX$7:AX$27))))*(1.88E-23)*(25+273.15))/(EXP($A27-AX$7))))</f>
        <v/>
      </c>
      <c r="AY27" t="str">
        <f>IF(ISBLANK(Conductance_Eeq!AY26),"",IF(Conductance_Eeq!AY26&lt;0,((LN(ABS(((Conductance_Eeq!AY26/MAX(Conductance_Eeq!AY$7:AY$27)))))*(1.88E-23)*(25+273.15))/(EXP($A27-AY$7))),((LN((Conductance_Eeq!AY26/MAX(Conductance_Eeq!AY$7:AY$27))))*(1.88E-23)*(25+273.15))/(EXP($A27-AY$7))))</f>
        <v/>
      </c>
      <c r="AZ27" t="str">
        <f>IF(ISBLANK(Conductance_Eeq!AZ26),"",IF(Conductance_Eeq!AZ26&lt;0,((LN(ABS(((Conductance_Eeq!AZ26/MAX(Conductance_Eeq!AZ$7:AZ$27)))))*(1.88E-23)*(25+273.15))/(EXP($A27-AZ$7))),((LN((Conductance_Eeq!AZ26/MAX(Conductance_Eeq!AZ$7:AZ$27))))*(1.88E-23)*(25+273.15))/(EXP($A27-AZ$7))))</f>
        <v/>
      </c>
      <c r="BA27" t="str">
        <f>IF(ISBLANK(Conductance_Eeq!BA26),"",IF(Conductance_Eeq!BA26&lt;0,((LN(ABS(((Conductance_Eeq!BA26/MAX(Conductance_Eeq!BA$7:BA$27)))))*(1.88E-23)*(25+273.15))/(EXP($A27-BA$7))),((LN((Conductance_Eeq!BA26/MAX(Conductance_Eeq!BA$7:BA$27))))*(1.88E-23)*(25+273.15))/(EXP($A27-BA$7))))</f>
        <v/>
      </c>
      <c r="BB27" t="str">
        <f>IF(ISBLANK(Conductance_Eeq!BB26),"",IF(Conductance_Eeq!BB26&lt;0,((LN(ABS(((Conductance_Eeq!BB26/MAX(Conductance_Eeq!BB$7:BB$27)))))*(1.88E-23)*(25+273.15))/(EXP($A27-BB$7))),((LN((Conductance_Eeq!BB26/MAX(Conductance_Eeq!BB$7:BB$27))))*(1.88E-23)*(25+273.15))/(EXP($A27-BB$7))))</f>
        <v/>
      </c>
      <c r="BC27" t="str">
        <f>IF(ISBLANK(Conductance_Eeq!BC26),"",IF(Conductance_Eeq!BC26&lt;0,((LN(ABS(((Conductance_Eeq!BC26/MAX(Conductance_Eeq!BC$7:BC$27)))))*(1.88E-23)*(25+273.15))/(EXP($A27-BC$7))),((LN((Conductance_Eeq!BC26/MAX(Conductance_Eeq!BC$7:BC$27))))*(1.88E-23)*(25+273.15))/(EXP($A27-BC$7))))</f>
        <v/>
      </c>
      <c r="BD27" t="str">
        <f>IF(ISBLANK(Conductance_Eeq!BD26),"",IF(Conductance_Eeq!BD26&lt;0,((LN(ABS(((Conductance_Eeq!BD26/MAX(Conductance_Eeq!BD$7:BD$27)))))*(1.88E-23)*(25+273.15))/(EXP($A27-BD$7))),((LN((Conductance_Eeq!BD26/MAX(Conductance_Eeq!BD$7:BD$27))))*(1.88E-23)*(25+273.15))/(EXP($A27-BD$7))))</f>
        <v/>
      </c>
      <c r="BE27" t="str">
        <f>IF(ISBLANK(Conductance_Eeq!BE26),"",IF(Conductance_Eeq!BE26&lt;0,((LN(ABS(((Conductance_Eeq!BE26/MAX(Conductance_Eeq!BE$7:BE$27)))))*(1.88E-23)*(25+273.15))/(EXP($A27-BE$7))),((LN((Conductance_Eeq!BE26/MAX(Conductance_Eeq!BE$7:BE$27))))*(1.88E-23)*(25+273.15))/(EXP($A27-BE$7))))</f>
        <v/>
      </c>
      <c r="BF27" t="str">
        <f>IF(ISBLANK(Conductance_Eeq!BF26),"",IF(Conductance_Eeq!BF26&lt;0,((LN(ABS(((Conductance_Eeq!BF26/MAX(Conductance_Eeq!BF$7:BF$27)))))*(1.88E-23)*(25+273.15))/(EXP($A27-BF$7))),((LN((Conductance_Eeq!BF26/MAX(Conductance_Eeq!BF$7:BF$27))))*(1.88E-23)*(25+273.15))/(EXP($A27-BF$7))))</f>
        <v/>
      </c>
      <c r="BG27" t="str">
        <f>IF(ISBLANK(Conductance_Eeq!BG26),"",IF(Conductance_Eeq!BG26&lt;0,((LN(ABS(((Conductance_Eeq!BG26/MAX(Conductance_Eeq!BG$7:BG$27)))))*(1.88E-23)*(25+273.15))/(EXP($A27-BG$7))),((LN((Conductance_Eeq!BG26/MAX(Conductance_Eeq!BG$7:BG$27))))*(1.88E-23)*(25+273.15))/(EXP($A27-BG$7))))</f>
        <v/>
      </c>
      <c r="BH27" t="str">
        <f>IF(ISBLANK(Conductance_Eeq!BH26),"",IF(Conductance_Eeq!BH26&lt;0,((LN(ABS(((Conductance_Eeq!BH26/MAX(Conductance_Eeq!BH$7:BH$27)))))*(1.88E-23)*(25+273.15))/(EXP($A27-BH$7))),((LN((Conductance_Eeq!BH26/MAX(Conductance_Eeq!BH$7:BH$27))))*(1.88E-23)*(25+273.15))/(EXP($A27-BH$7))))</f>
        <v/>
      </c>
      <c r="BI27" t="str">
        <f>IF(ISBLANK(Conductance_Eeq!BI26),"",IF(Conductance_Eeq!BI26&lt;0,((LN(ABS(((Conductance_Eeq!BI26/MAX(Conductance_Eeq!BI$7:BI$27)))))*(1.88E-23)*(25+273.15))/(EXP($A27-BI$7))),((LN((Conductance_Eeq!BI26/MAX(Conductance_Eeq!BI$7:BI$27))))*(1.88E-23)*(25+273.15))/(EXP($A27-BI$7))))</f>
        <v/>
      </c>
      <c r="BJ27" t="str">
        <f>IF(ISBLANK(Conductance_Eeq!BJ26),"",IF(Conductance_Eeq!BJ26&lt;0,((LN(ABS(((Conductance_Eeq!BJ26/MAX(Conductance_Eeq!BJ$7:BJ$27)))))*(1.88E-23)*(25+273.15))/(EXP($A27-BJ$7))),((LN((Conductance_Eeq!BJ26/MAX(Conductance_Eeq!BJ$7:BJ$27))))*(1.88E-23)*(25+273.15))/(EXP($A27-BJ$7))))</f>
        <v/>
      </c>
      <c r="BK27" t="str">
        <f>IF(ISBLANK(Conductance_Eeq!BK26),"",IF(Conductance_Eeq!BK26&lt;0,((LN(ABS(((Conductance_Eeq!BK26/MAX(Conductance_Eeq!BK$7:BK$27)))))*(1.88E-23)*(25+273.15))/(EXP($A27-BK$7))),((LN((Conductance_Eeq!BK26/MAX(Conductance_Eeq!BK$7:BK$27))))*(1.88E-23)*(25+273.15))/(EXP($A27-BK$7))))</f>
        <v/>
      </c>
      <c r="BL27" t="str">
        <f>IF(ISBLANK(Conductance_Eeq!BL26),"",IF(Conductance_Eeq!BL26&lt;0,((LN(ABS(((Conductance_Eeq!BL26/MAX(Conductance_Eeq!BL$7:BL$27)))))*(1.88E-23)*(25+273.15))/(EXP($A27-BL$7))),((LN((Conductance_Eeq!BL26/MAX(Conductance_Eeq!BL$7:BL$27))))*(1.88E-23)*(25+273.15))/(EXP($A27-BL$7))))</f>
        <v/>
      </c>
      <c r="BM27" t="str">
        <f>IF(ISBLANK(Conductance_Eeq!BM26),"",IF(Conductance_Eeq!BM26&lt;0,((LN(ABS(((Conductance_Eeq!BM26/MAX(Conductance_Eeq!BM$7:BM$27)))))*(1.88E-23)*(25+273.15))/(EXP($A27-BM$7))),((LN((Conductance_Eeq!BM26/MAX(Conductance_Eeq!BM$7:BM$27))))*(1.88E-23)*(25+273.15))/(EXP($A27-BM$7))))</f>
        <v/>
      </c>
      <c r="BN27" t="str">
        <f>IF(ISBLANK(Conductance_Eeq!BN26),"",IF(Conductance_Eeq!BN26&lt;0,((LN(ABS(((Conductance_Eeq!BN26/MAX(Conductance_Eeq!BN$7:BN$27)))))*(1.88E-23)*(25+273.15))/(EXP($A27-BN$7))),((LN((Conductance_Eeq!BN26/MAX(Conductance_Eeq!BN$7:BN$27))))*(1.88E-23)*(25+273.15))/(EXP($A27-BN$7))))</f>
        <v/>
      </c>
      <c r="BO27" t="str">
        <f>IF(ISBLANK(Conductance_Eeq!BO26),"",IF(Conductance_Eeq!BO26&lt;0,((LN(ABS(((Conductance_Eeq!BO26/MAX(Conductance_Eeq!BO$7:BO$27)))))*(1.88E-23)*(25+273.15))/(EXP($A27-BO$7))),((LN((Conductance_Eeq!BO26/MAX(Conductance_Eeq!BO$7:BO$27))))*(1.88E-23)*(25+273.15))/(EXP($A27-BO$7))))</f>
        <v/>
      </c>
      <c r="BP27" t="str">
        <f>IF(ISBLANK(Conductance_Eeq!BP26),"",IF(Conductance_Eeq!BP26&lt;0,((LN(ABS(((Conductance_Eeq!BP26/MAX(Conductance_Eeq!BP$7:BP$27)))))*(1.88E-23)*(25+273.15))/(EXP($A27-BP$7))),((LN((Conductance_Eeq!BP26/MAX(Conductance_Eeq!BP$7:BP$27))))*(1.88E-23)*(25+273.15))/(EXP($A27-BP$7))))</f>
        <v/>
      </c>
      <c r="BQ27" t="str">
        <f>IF(ISBLANK(Conductance_Eeq!BQ26),"",IF(Conductance_Eeq!BQ26&lt;0,((LN(ABS(((Conductance_Eeq!BQ26/MAX(Conductance_Eeq!BQ$7:BQ$27)))))*(1.88E-23)*(25+273.15))/(EXP($A27-BQ$7))),((LN((Conductance_Eeq!BQ26/MAX(Conductance_Eeq!BQ$7:BQ$27))))*(1.88E-23)*(25+273.15))/(EXP($A27-BQ$7))))</f>
        <v/>
      </c>
      <c r="BR27" t="str">
        <f>IF(ISBLANK(Conductance_Eeq!BR26),"",IF(Conductance_Eeq!BR26&lt;0,((LN(ABS(((Conductance_Eeq!BR26/MAX(Conductance_Eeq!BR$7:BR$27)))))*(1.88E-23)*(25+273.15))/(EXP($A27-BR$7))),((LN((Conductance_Eeq!BR26/MAX(Conductance_Eeq!BR$7:BR$27))))*(1.88E-23)*(25+273.15))/(EXP($A27-BR$7))))</f>
        <v/>
      </c>
      <c r="BS27" t="str">
        <f>IF(ISBLANK(Conductance_Eeq!BS26),"",IF(Conductance_Eeq!BS26&lt;0,((LN(ABS(((Conductance_Eeq!BS26/MAX(Conductance_Eeq!BS$7:BS$27)))))*(1.88E-23)*(25+273.15))/(EXP($A27-BS$7))),((LN((Conductance_Eeq!BS26/MAX(Conductance_Eeq!BS$7:BS$27))))*(1.88E-23)*(25+273.15))/(EXP($A27-BS$7))))</f>
        <v/>
      </c>
      <c r="BT27" t="str">
        <f>IF(ISBLANK(Conductance_Eeq!BT26),"",IF(Conductance_Eeq!BT26&lt;0,((LN(ABS(((Conductance_Eeq!BT26/MAX(Conductance_Eeq!BT$7:BT$27)))))*(1.88E-23)*(25+273.15))/(EXP($A27-BT$7))),((LN((Conductance_Eeq!BT26/MAX(Conductance_Eeq!BT$7:BT$27))))*(1.88E-23)*(25+273.15))/(EXP($A27-BT$7))))</f>
        <v/>
      </c>
      <c r="BU27" t="str">
        <f>IF(ISBLANK(Conductance_Eeq!BU26),"",IF(Conductance_Eeq!BU26&lt;0,((LN(ABS(((Conductance_Eeq!BU26/MAX(Conductance_Eeq!BU$7:BU$27)))))*(1.88E-23)*(25+273.15))/(EXP($A27-BU$7))),((LN((Conductance_Eeq!BU26/MAX(Conductance_Eeq!BU$7:BU$27))))*(1.88E-23)*(25+273.15))/(EXP($A27-BU$7))))</f>
        <v/>
      </c>
      <c r="BV27" t="str">
        <f>IF(ISBLANK(Conductance_Eeq!BV26),"",IF(Conductance_Eeq!BV26&lt;0,((LN(ABS(((Conductance_Eeq!BV26/MAX(Conductance_Eeq!BV$7:BV$27)))))*(1.88E-23)*(25+273.15))/(EXP($A27-BV$7))),((LN((Conductance_Eeq!BV26/MAX(Conductance_Eeq!BV$7:BV$27))))*(1.88E-23)*(25+273.15))/(EXP($A27-BV$7))))</f>
        <v/>
      </c>
      <c r="BW27" t="str">
        <f>IF(ISBLANK(Conductance_Eeq!BW26),"",IF(Conductance_Eeq!BW26&lt;0,((LN(ABS(((Conductance_Eeq!BW26/MAX(Conductance_Eeq!BW$7:BW$27)))))*(1.88E-23)*(25+273.15))/(EXP($A27-BW$7))),((LN((Conductance_Eeq!BW26/MAX(Conductance_Eeq!BW$7:BW$27))))*(1.88E-23)*(25+273.15))/(EXP($A27-BW$7))))</f>
        <v/>
      </c>
      <c r="BX27" t="str">
        <f>IF(ISBLANK(Conductance_Eeq!BX26),"",IF(Conductance_Eeq!BX26&lt;0,((LN(ABS(((Conductance_Eeq!BX26/MAX(Conductance_Eeq!BX$7:BX$27)))))*(1.88E-23)*(25+273.15))/(EXP($A27-BX$7))),((LN((Conductance_Eeq!BX26/MAX(Conductance_Eeq!BX$7:BX$27))))*(1.88E-23)*(25+273.15))/(EXP($A27-BX$7))))</f>
        <v/>
      </c>
      <c r="BY27" t="str">
        <f>IF(ISBLANK(Conductance_Eeq!BY26),"",IF(Conductance_Eeq!BY26&lt;0,((LN(ABS(((Conductance_Eeq!BY26/MAX(Conductance_Eeq!BY$7:BY$27)))))*(1.88E-23)*(25+273.15))/(EXP($A27-BY$7))),((LN((Conductance_Eeq!BY26/MAX(Conductance_Eeq!BY$7:BY$27))))*(1.88E-23)*(25+273.15))/(EXP($A27-BY$7))))</f>
        <v/>
      </c>
      <c r="BZ27" t="str">
        <f>IF(ISBLANK(Conductance_Eeq!BZ26),"",IF(Conductance_Eeq!BZ26&lt;0,((LN(ABS(((Conductance_Eeq!BZ26/MAX(Conductance_Eeq!BZ$7:BZ$27)))))*(1.88E-23)*(25+273.15))/(EXP($A27-BZ$7))),((LN((Conductance_Eeq!BZ26/MAX(Conductance_Eeq!BZ$7:BZ$27))))*(1.88E-23)*(25+273.15))/(EXP($A27-BZ$7))))</f>
        <v/>
      </c>
      <c r="CA27" t="str">
        <f>IF(ISBLANK(Conductance_Eeq!CA26),"",IF(Conductance_Eeq!CA26&lt;0,((LN(ABS(((Conductance_Eeq!CA26/MAX(Conductance_Eeq!CA$7:CA$27)))))*(1.88E-23)*(25+273.15))/(EXP($A27-CA$7))),((LN((Conductance_Eeq!CA26/MAX(Conductance_Eeq!CA$7:CA$27))))*(1.88E-23)*(25+273.15))/(EXP($A27-CA$7))))</f>
        <v/>
      </c>
      <c r="CB27" t="str">
        <f>IF(ISBLANK(Conductance_Eeq!CB26),"",IF(Conductance_Eeq!CB26&lt;0,((LN(ABS(((Conductance_Eeq!CB26/MAX(Conductance_Eeq!CB$7:CB$27)))))*(1.88E-23)*(25+273.15))/(EXP($A27-CB$7))),((LN((Conductance_Eeq!CB26/MAX(Conductance_Eeq!CB$7:CB$27))))*(1.88E-23)*(25+273.15))/(EXP($A27-CB$7))))</f>
        <v/>
      </c>
      <c r="CC27" t="str">
        <f>IF(ISBLANK(Conductance_Eeq!CC26),"",IF(Conductance_Eeq!CC26&lt;0,((LN(ABS(((Conductance_Eeq!CC26/MAX(Conductance_Eeq!CC$7:CC$27)))))*(1.88E-23)*(25+273.15))/(EXP($A27-CC$7))),((LN((Conductance_Eeq!CC26/MAX(Conductance_Eeq!CC$7:CC$27))))*(1.88E-23)*(25+273.15))/(EXP($A27-CC$7))))</f>
        <v/>
      </c>
      <c r="CD27" t="str">
        <f>IF(ISBLANK(Conductance_Eeq!CD26),"",IF(Conductance_Eeq!CD26&lt;0,((LN(ABS(((Conductance_Eeq!CD26/MAX(Conductance_Eeq!CD$7:CD$27)))))*(1.88E-23)*(25+273.15))/(EXP($A27-CD$7))),((LN((Conductance_Eeq!CD26/MAX(Conductance_Eeq!CD$7:CD$27))))*(1.88E-23)*(25+273.15))/(EXP($A27-CD$7))))</f>
        <v/>
      </c>
    </row>
    <row r="28" spans="1:82" x14ac:dyDescent="0.2">
      <c r="A28" s="3">
        <f t="shared" si="0"/>
        <v>120</v>
      </c>
      <c r="B28">
        <f>IF(ISBLANK(Conductance_Eeq!B27),"",IF(Conductance_Eeq!B27&lt;0,((LN(ABS(((Conductance_Eeq!B27/MAX(Conductance_Eeq!B$7:B$27)))))*(1.88E-23)*(25+273.15))/(EXP($A28-B$7))),((LN((Conductance_Eeq!B27/MAX(Conductance_Eeq!B$7:B$27))))*(1.88E-23)*(25+273.15))/(EXP($A28-B$7))))</f>
        <v>-2.9643582613955503E-69</v>
      </c>
      <c r="C28" t="str">
        <f>IF(ISBLANK(Conductance_Eeq!C27),"",IF(Conductance_Eeq!C27&lt;0,((LN(ABS(((Conductance_Eeq!C27/MAX(Conductance_Eeq!C$7:C$27)))))*(1.88E-23)*(25+273.15))/(EXP($A28-C$7))),((LN((Conductance_Eeq!C27/MAX(Conductance_Eeq!C$7:C$27))))*(1.88E-23)*(25+273.15))/(EXP($A28-C$7))))</f>
        <v/>
      </c>
      <c r="D28" t="str">
        <f>IF(ISBLANK(Conductance_Eeq!D27),"",IF(Conductance_Eeq!D27&lt;0,((LN(ABS(((Conductance_Eeq!D27/MAX(Conductance_Eeq!D$7:D$27)))))*(1.88E-23)*(25+273.15))/(EXP($A28-D$7))),((LN((Conductance_Eeq!D27/MAX(Conductance_Eeq!D$7:D$27))))*(1.88E-23)*(25+273.15))/(EXP($A28-D$7))))</f>
        <v/>
      </c>
      <c r="E28" t="str">
        <f>IF(ISBLANK(Conductance_Eeq!E27),"",IF(Conductance_Eeq!E27&lt;0,((LN(ABS(((Conductance_Eeq!E27/MAX(Conductance_Eeq!E$7:E$27)))))*(1.88E-23)*(25+273.15))/(EXP($A28-E$7))),((LN((Conductance_Eeq!E27/MAX(Conductance_Eeq!E$7:E$27))))*(1.88E-23)*(25+273.15))/(EXP($A28-E$7))))</f>
        <v/>
      </c>
      <c r="F28" t="str">
        <f>IF(ISBLANK(Conductance_Eeq!F27),"",IF(Conductance_Eeq!F27&lt;0,((LN(ABS(((Conductance_Eeq!F27/MAX(Conductance_Eeq!F$7:F$27)))))*(1.88E-23)*(25+273.15))/(EXP($A28-F$7))),((LN((Conductance_Eeq!F27/MAX(Conductance_Eeq!F$7:F$27))))*(1.88E-23)*(25+273.15))/(EXP($A28-F$7))))</f>
        <v/>
      </c>
      <c r="G28" t="str">
        <f>IF(ISBLANK(Conductance_Eeq!G27),"",IF(Conductance_Eeq!G27&lt;0,((LN(ABS(((Conductance_Eeq!G27/MAX(Conductance_Eeq!G$7:G$27)))))*(1.88E-23)*(25+273.15))/(EXP($A28-G$7))),((LN((Conductance_Eeq!G27/MAX(Conductance_Eeq!G$7:G$27))))*(1.88E-23)*(25+273.15))/(EXP($A28-G$7))))</f>
        <v/>
      </c>
      <c r="H28" t="str">
        <f>IF(ISBLANK(Conductance_Eeq!H27),"",IF(Conductance_Eeq!H27&lt;0,((LN(ABS(((Conductance_Eeq!H27/MAX(Conductance_Eeq!H$7:H$27)))))*(1.88E-23)*(25+273.15))/(EXP($A28-H$7))),((LN((Conductance_Eeq!H27/MAX(Conductance_Eeq!H$7:H$27))))*(1.88E-23)*(25+273.15))/(EXP($A28-H$7))))</f>
        <v/>
      </c>
      <c r="I28" t="str">
        <f>IF(ISBLANK(Conductance_Eeq!I27),"",IF(Conductance_Eeq!I27&lt;0,((LN(ABS(((Conductance_Eeq!I27/MAX(Conductance_Eeq!I$7:I$27)))))*(1.88E-23)*(25+273.15))/(EXP($A28-I$7))),((LN((Conductance_Eeq!I27/MAX(Conductance_Eeq!I$7:I$27))))*(1.88E-23)*(25+273.15))/(EXP($A28-I$7))))</f>
        <v/>
      </c>
      <c r="J28" t="str">
        <f>IF(ISBLANK(Conductance_Eeq!J27),"",IF(Conductance_Eeq!J27&lt;0,((LN(ABS(((Conductance_Eeq!J27/MAX(Conductance_Eeq!J$7:J$27)))))*(1.88E-23)*(25+273.15))/(EXP($A28-J$7))),((LN((Conductance_Eeq!J27/MAX(Conductance_Eeq!J$7:J$27))))*(1.88E-23)*(25+273.15))/(EXP($A28-J$7))))</f>
        <v/>
      </c>
      <c r="K28" t="str">
        <f>IF(ISBLANK(Conductance_Eeq!K27),"",IF(Conductance_Eeq!K27&lt;0,((LN(ABS(((Conductance_Eeq!K27/MAX(Conductance_Eeq!K$7:K$27)))))*(1.88E-23)*(25+273.15))/(EXP($A28-K$7))),((LN((Conductance_Eeq!K27/MAX(Conductance_Eeq!K$7:K$27))))*(1.88E-23)*(25+273.15))/(EXP($A28-K$7))))</f>
        <v/>
      </c>
      <c r="L28" t="str">
        <f>IF(ISBLANK(Conductance_Eeq!L27),"",IF(Conductance_Eeq!L27&lt;0,((LN(ABS(((Conductance_Eeq!L27/MAX(Conductance_Eeq!L$7:L$27)))))*(1.88E-23)*(25+273.15))/(EXP($A28-L$7))),((LN((Conductance_Eeq!L27/MAX(Conductance_Eeq!L$7:L$27))))*(1.88E-23)*(25+273.15))/(EXP($A28-L$7))))</f>
        <v/>
      </c>
      <c r="M28" t="str">
        <f>IF(ISBLANK(Conductance_Eeq!M27),"",IF(Conductance_Eeq!M27&lt;0,((LN(ABS(((Conductance_Eeq!M27/MAX(Conductance_Eeq!M$7:M$27)))))*(1.88E-23)*(25+273.15))/(EXP($A28-M$7))),((LN((Conductance_Eeq!M27/MAX(Conductance_Eeq!M$7:M$27))))*(1.88E-23)*(25+273.15))/(EXP($A28-M$7))))</f>
        <v/>
      </c>
      <c r="N28" t="str">
        <f>IF(ISBLANK(Conductance_Eeq!N27),"",IF(Conductance_Eeq!N27&lt;0,((LN(ABS(((Conductance_Eeq!N27/MAX(Conductance_Eeq!N$7:N$27)))))*(1.88E-23)*(25+273.15))/(EXP($A28-N$7))),((LN((Conductance_Eeq!N27/MAX(Conductance_Eeq!N$7:N$27))))*(1.88E-23)*(25+273.15))/(EXP($A28-N$7))))</f>
        <v/>
      </c>
      <c r="O28" t="str">
        <f>IF(ISBLANK(Conductance_Eeq!O27),"",IF(Conductance_Eeq!O27&lt;0,((LN(ABS(((Conductance_Eeq!O27/MAX(Conductance_Eeq!O$7:O$27)))))*(1.88E-23)*(25+273.15))/(EXP($A28-O$7))),((LN((Conductance_Eeq!O27/MAX(Conductance_Eeq!O$7:O$27))))*(1.88E-23)*(25+273.15))/(EXP($A28-O$7))))</f>
        <v/>
      </c>
      <c r="P28" t="str">
        <f>IF(ISBLANK(Conductance_Eeq!P27),"",IF(Conductance_Eeq!P27&lt;0,((LN(ABS(((Conductance_Eeq!P27/MAX(Conductance_Eeq!P$7:P$27)))))*(1.88E-23)*(25+273.15))/(EXP($A28-P$7))),((LN((Conductance_Eeq!P27/MAX(Conductance_Eeq!P$7:P$27))))*(1.88E-23)*(25+273.15))/(EXP($A28-P$7))))</f>
        <v/>
      </c>
      <c r="Q28" t="str">
        <f>IF(ISBLANK(Conductance_Eeq!Q27),"",IF(Conductance_Eeq!Q27&lt;0,((LN(ABS(((Conductance_Eeq!Q27/MAX(Conductance_Eeq!Q$7:Q$27)))))*(1.88E-23)*(25+273.15))/(EXP($A28-Q$7))),((LN((Conductance_Eeq!Q27/MAX(Conductance_Eeq!Q$7:Q$27))))*(1.88E-23)*(25+273.15))/(EXP($A28-Q$7))))</f>
        <v/>
      </c>
      <c r="R28" t="str">
        <f>IF(ISBLANK(Conductance_Eeq!R27),"",IF(Conductance_Eeq!R27&lt;0,((LN(ABS(((Conductance_Eeq!R27/MAX(Conductance_Eeq!R$7:R$27)))))*(1.88E-23)*(25+273.15))/(EXP($A28-R$7))),((LN((Conductance_Eeq!R27/MAX(Conductance_Eeq!R$7:R$27))))*(1.88E-23)*(25+273.15))/(EXP($A28-R$7))))</f>
        <v/>
      </c>
      <c r="S28" t="str">
        <f>IF(ISBLANK(Conductance_Eeq!S27),"",IF(Conductance_Eeq!S27&lt;0,((LN(ABS(((Conductance_Eeq!S27/MAX(Conductance_Eeq!S$7:S$27)))))*(1.88E-23)*(25+273.15))/(EXP($A28-S$7))),((LN((Conductance_Eeq!S27/MAX(Conductance_Eeq!S$7:S$27))))*(1.88E-23)*(25+273.15))/(EXP($A28-S$7))))</f>
        <v/>
      </c>
      <c r="T28" t="str">
        <f>IF(ISBLANK(Conductance_Eeq!T27),"",IF(Conductance_Eeq!T27&lt;0,((LN(ABS(((Conductance_Eeq!T27/MAX(Conductance_Eeq!T$7:T$27)))))*(1.88E-23)*(25+273.15))/(EXP($A28-T$7))),((LN((Conductance_Eeq!T27/MAX(Conductance_Eeq!T$7:T$27))))*(1.88E-23)*(25+273.15))/(EXP($A28-T$7))))</f>
        <v/>
      </c>
      <c r="U28" t="str">
        <f>IF(ISBLANK(Conductance_Eeq!U27),"",IF(Conductance_Eeq!U27&lt;0,((LN(ABS(((Conductance_Eeq!U27/MAX(Conductance_Eeq!U$7:U$27)))))*(1.88E-23)*(25+273.15))/(EXP($A28-U$7))),((LN((Conductance_Eeq!U27/MAX(Conductance_Eeq!U$7:U$27))))*(1.88E-23)*(25+273.15))/(EXP($A28-U$7))))</f>
        <v/>
      </c>
      <c r="V28" t="str">
        <f>IF(ISBLANK(Conductance_Eeq!V27),"",IF(Conductance_Eeq!V27&lt;0,((LN(ABS(((Conductance_Eeq!V27/MAX(Conductance_Eeq!V$7:V$27)))))*(1.88E-23)*(25+273.15))/(EXP($A28-V$7))),((LN((Conductance_Eeq!V27/MAX(Conductance_Eeq!V$7:V$27))))*(1.88E-23)*(25+273.15))/(EXP($A28-V$7))))</f>
        <v/>
      </c>
      <c r="W28" t="str">
        <f>IF(ISBLANK(Conductance_Eeq!W27),"",IF(Conductance_Eeq!W27&lt;0,((LN(ABS(((Conductance_Eeq!W27/MAX(Conductance_Eeq!W$7:W$27)))))*(1.88E-23)*(25+273.15))/(EXP($A28-W$7))),((LN((Conductance_Eeq!W27/MAX(Conductance_Eeq!W$7:W$27))))*(1.88E-23)*(25+273.15))/(EXP($A28-W$7))))</f>
        <v/>
      </c>
      <c r="X28" t="str">
        <f>IF(ISBLANK(Conductance_Eeq!X27),"",IF(Conductance_Eeq!X27&lt;0,((LN(ABS(((Conductance_Eeq!X27/MAX(Conductance_Eeq!X$7:X$27)))))*(1.88E-23)*(25+273.15))/(EXP($A28-X$7))),((LN((Conductance_Eeq!X27/MAX(Conductance_Eeq!X$7:X$27))))*(1.88E-23)*(25+273.15))/(EXP($A28-X$7))))</f>
        <v/>
      </c>
      <c r="Y28" t="str">
        <f>IF(ISBLANK(Conductance_Eeq!Y27),"",IF(Conductance_Eeq!Y27&lt;0,((LN(ABS(((Conductance_Eeq!Y27/MAX(Conductance_Eeq!Y$7:Y$27)))))*(1.88E-23)*(25+273.15))/(EXP($A28-Y$7))),((LN((Conductance_Eeq!Y27/MAX(Conductance_Eeq!Y$7:Y$27))))*(1.88E-23)*(25+273.15))/(EXP($A28-Y$7))))</f>
        <v/>
      </c>
      <c r="Z28" t="str">
        <f>IF(ISBLANK(Conductance_Eeq!Z27),"",IF(Conductance_Eeq!Z27&lt;0,((LN(ABS(((Conductance_Eeq!Z27/MAX(Conductance_Eeq!Z$7:Z$27)))))*(1.88E-23)*(25+273.15))/(EXP($A28-Z$7))),((LN((Conductance_Eeq!Z27/MAX(Conductance_Eeq!Z$7:Z$27))))*(1.88E-23)*(25+273.15))/(EXP($A28-Z$7))))</f>
        <v/>
      </c>
      <c r="AA28" t="str">
        <f>IF(ISBLANK(Conductance_Eeq!AA27),"",IF(Conductance_Eeq!AA27&lt;0,((LN(ABS(((Conductance_Eeq!AA27/MAX(Conductance_Eeq!AA$7:AA$27)))))*(1.88E-23)*(25+273.15))/(EXP($A28-AA$7))),((LN((Conductance_Eeq!AA27/MAX(Conductance_Eeq!AA$7:AA$27))))*(1.88E-23)*(25+273.15))/(EXP($A28-AA$7))))</f>
        <v/>
      </c>
      <c r="AB28" t="str">
        <f>IF(ISBLANK(Conductance_Eeq!AB27),"",IF(Conductance_Eeq!AB27&lt;0,((LN(ABS(((Conductance_Eeq!AB27/MAX(Conductance_Eeq!AB$7:AB$27)))))*(1.88E-23)*(25+273.15))/(EXP($A28-AB$7))),((LN((Conductance_Eeq!AB27/MAX(Conductance_Eeq!AB$7:AB$27))))*(1.88E-23)*(25+273.15))/(EXP($A28-AB$7))))</f>
        <v/>
      </c>
      <c r="AC28" t="str">
        <f>IF(ISBLANK(Conductance_Eeq!AC27),"",IF(Conductance_Eeq!AC27&lt;0,((LN(ABS(((Conductance_Eeq!AC27/MAX(Conductance_Eeq!AC$7:AC$27)))))*(1.88E-23)*(25+273.15))/(EXP($A28-AC$7))),((LN((Conductance_Eeq!AC27/MAX(Conductance_Eeq!AC$7:AC$27))))*(1.88E-23)*(25+273.15))/(EXP($A28-AC$7))))</f>
        <v/>
      </c>
      <c r="AD28" t="str">
        <f>IF(ISBLANK(Conductance_Eeq!AD27),"",IF(Conductance_Eeq!AD27&lt;0,((LN(ABS(((Conductance_Eeq!AD27/MAX(Conductance_Eeq!AD$7:AD$27)))))*(1.88E-23)*(25+273.15))/(EXP($A28-AD$7))),((LN((Conductance_Eeq!AD27/MAX(Conductance_Eeq!AD$7:AD$27))))*(1.88E-23)*(25+273.15))/(EXP($A28-AD$7))))</f>
        <v/>
      </c>
      <c r="AE28" t="str">
        <f>IF(ISBLANK(Conductance_Eeq!AE27),"",IF(Conductance_Eeq!AE27&lt;0,((LN(ABS(((Conductance_Eeq!AE27/MAX(Conductance_Eeq!AE$7:AE$27)))))*(1.88E-23)*(25+273.15))/(EXP($A28-AE$7))),((LN((Conductance_Eeq!AE27/MAX(Conductance_Eeq!AE$7:AE$27))))*(1.88E-23)*(25+273.15))/(EXP($A28-AE$7))))</f>
        <v/>
      </c>
      <c r="AF28" t="str">
        <f>IF(ISBLANK(Conductance_Eeq!AF27),"",IF(Conductance_Eeq!AF27&lt;0,((LN(ABS(((Conductance_Eeq!AF27/MAX(Conductance_Eeq!AF$7:AF$27)))))*(1.88E-23)*(25+273.15))/(EXP($A28-AF$7))),((LN((Conductance_Eeq!AF27/MAX(Conductance_Eeq!AF$7:AF$27))))*(1.88E-23)*(25+273.15))/(EXP($A28-AF$7))))</f>
        <v/>
      </c>
      <c r="AG28" t="str">
        <f>IF(ISBLANK(Conductance_Eeq!AG27),"",IF(Conductance_Eeq!AG27&lt;0,((LN(ABS(((Conductance_Eeq!AG27/MAX(Conductance_Eeq!AG$7:AG$27)))))*(1.88E-23)*(25+273.15))/(EXP($A28-AG$7))),((LN((Conductance_Eeq!AG27/MAX(Conductance_Eeq!AG$7:AG$27))))*(1.88E-23)*(25+273.15))/(EXP($A28-AG$7))))</f>
        <v/>
      </c>
      <c r="AH28" t="str">
        <f>IF(ISBLANK(Conductance_Eeq!AH27),"",IF(Conductance_Eeq!AH27&lt;0,((LN(ABS(((Conductance_Eeq!AH27/MAX(Conductance_Eeq!AH$7:AH$27)))))*(1.88E-23)*(25+273.15))/(EXP($A28-AH$7))),((LN((Conductance_Eeq!AH27/MAX(Conductance_Eeq!AH$7:AH$27))))*(1.88E-23)*(25+273.15))/(EXP($A28-AH$7))))</f>
        <v/>
      </c>
      <c r="AI28" t="str">
        <f>IF(ISBLANK(Conductance_Eeq!AI27),"",IF(Conductance_Eeq!AI27&lt;0,((LN(ABS(((Conductance_Eeq!AI27/MAX(Conductance_Eeq!AI$7:AI$27)))))*(1.88E-23)*(25+273.15))/(EXP($A28-AI$7))),((LN((Conductance_Eeq!AI27/MAX(Conductance_Eeq!AI$7:AI$27))))*(1.88E-23)*(25+273.15))/(EXP($A28-AI$7))))</f>
        <v/>
      </c>
      <c r="AJ28" t="str">
        <f>IF(ISBLANK(Conductance_Eeq!AJ27),"",IF(Conductance_Eeq!AJ27&lt;0,((LN(ABS(((Conductance_Eeq!AJ27/MAX(Conductance_Eeq!AJ$7:AJ$27)))))*(1.88E-23)*(25+273.15))/(EXP($A28-AJ$7))),((LN((Conductance_Eeq!AJ27/MAX(Conductance_Eeq!AJ$7:AJ$27))))*(1.88E-23)*(25+273.15))/(EXP($A28-AJ$7))))</f>
        <v/>
      </c>
      <c r="AK28" t="str">
        <f>IF(ISBLANK(Conductance_Eeq!AK27),"",IF(Conductance_Eeq!AK27&lt;0,((LN(ABS(((Conductance_Eeq!AK27/MAX(Conductance_Eeq!AK$7:AK$27)))))*(1.88E-23)*(25+273.15))/(EXP($A28-AK$7))),((LN((Conductance_Eeq!AK27/MAX(Conductance_Eeq!AK$7:AK$27))))*(1.88E-23)*(25+273.15))/(EXP($A28-AK$7))))</f>
        <v/>
      </c>
      <c r="AL28" t="str">
        <f>IF(ISBLANK(Conductance_Eeq!AL27),"",IF(Conductance_Eeq!AL27&lt;0,((LN(ABS(((Conductance_Eeq!AL27/MAX(Conductance_Eeq!AL$7:AL$27)))))*(1.88E-23)*(25+273.15))/(EXP($A28-AL$7))),((LN((Conductance_Eeq!AL27/MAX(Conductance_Eeq!AL$7:AL$27))))*(1.88E-23)*(25+273.15))/(EXP($A28-AL$7))))</f>
        <v/>
      </c>
      <c r="AM28" t="str">
        <f>IF(ISBLANK(Conductance_Eeq!AM27),"",IF(Conductance_Eeq!AM27&lt;0,((LN(ABS(((Conductance_Eeq!AM27/MAX(Conductance_Eeq!AM$7:AM$27)))))*(1.88E-23)*(25+273.15))/(EXP($A28-AM$7))),((LN((Conductance_Eeq!AM27/MAX(Conductance_Eeq!AM$7:AM$27))))*(1.88E-23)*(25+273.15))/(EXP($A28-AM$7))))</f>
        <v/>
      </c>
      <c r="AN28" t="str">
        <f>IF(ISBLANK(Conductance_Eeq!AN27),"",IF(Conductance_Eeq!AN27&lt;0,((LN(ABS(((Conductance_Eeq!AN27/MAX(Conductance_Eeq!AN$7:AN$27)))))*(1.88E-23)*(25+273.15))/(EXP($A28-AN$7))),((LN((Conductance_Eeq!AN27/MAX(Conductance_Eeq!AN$7:AN$27))))*(1.88E-23)*(25+273.15))/(EXP($A28-AN$7))))</f>
        <v/>
      </c>
      <c r="AO28" t="str">
        <f>IF(ISBLANK(Conductance_Eeq!AO27),"",IF(Conductance_Eeq!AO27&lt;0,((LN(ABS(((Conductance_Eeq!AO27/MAX(Conductance_Eeq!AO$7:AO$27)))))*(1.88E-23)*(25+273.15))/(EXP($A28-AO$7))),((LN((Conductance_Eeq!AO27/MAX(Conductance_Eeq!AO$7:AO$27))))*(1.88E-23)*(25+273.15))/(EXP($A28-AO$7))))</f>
        <v/>
      </c>
      <c r="AP28" t="str">
        <f>IF(ISBLANK(Conductance_Eeq!AP27),"",IF(Conductance_Eeq!AP27&lt;0,((LN(ABS(((Conductance_Eeq!AP27/MAX(Conductance_Eeq!AP$7:AP$27)))))*(1.88E-23)*(25+273.15))/(EXP($A28-AP$7))),((LN((Conductance_Eeq!AP27/MAX(Conductance_Eeq!AP$7:AP$27))))*(1.88E-23)*(25+273.15))/(EXP($A28-AP$7))))</f>
        <v/>
      </c>
      <c r="AQ28" t="str">
        <f>IF(ISBLANK(Conductance_Eeq!AQ27),"",IF(Conductance_Eeq!AQ27&lt;0,((LN(ABS(((Conductance_Eeq!AQ27/MAX(Conductance_Eeq!AQ$7:AQ$27)))))*(1.88E-23)*(25+273.15))/(EXP($A28-AQ$7))),((LN((Conductance_Eeq!AQ27/MAX(Conductance_Eeq!AQ$7:AQ$27))))*(1.88E-23)*(25+273.15))/(EXP($A28-AQ$7))))</f>
        <v/>
      </c>
      <c r="AR28" t="str">
        <f>IF(ISBLANK(Conductance_Eeq!AR27),"",IF(Conductance_Eeq!AR27&lt;0,((LN(ABS(((Conductance_Eeq!AR27/MAX(Conductance_Eeq!AR$7:AR$27)))))*(1.88E-23)*(25+273.15))/(EXP($A28-AR$7))),((LN((Conductance_Eeq!AR27/MAX(Conductance_Eeq!AR$7:AR$27))))*(1.88E-23)*(25+273.15))/(EXP($A28-AR$7))))</f>
        <v/>
      </c>
      <c r="AS28" t="str">
        <f>IF(ISBLANK(Conductance_Eeq!AS27),"",IF(Conductance_Eeq!AS27&lt;0,((LN(ABS(((Conductance_Eeq!AS27/MAX(Conductance_Eeq!AS$7:AS$27)))))*(1.88E-23)*(25+273.15))/(EXP($A28-AS$7))),((LN((Conductance_Eeq!AS27/MAX(Conductance_Eeq!AS$7:AS$27))))*(1.88E-23)*(25+273.15))/(EXP($A28-AS$7))))</f>
        <v/>
      </c>
      <c r="AT28" t="str">
        <f>IF(ISBLANK(Conductance_Eeq!AT27),"",IF(Conductance_Eeq!AT27&lt;0,((LN(ABS(((Conductance_Eeq!AT27/MAX(Conductance_Eeq!AT$7:AT$27)))))*(1.88E-23)*(25+273.15))/(EXP($A28-AT$7))),((LN((Conductance_Eeq!AT27/MAX(Conductance_Eeq!AT$7:AT$27))))*(1.88E-23)*(25+273.15))/(EXP($A28-AT$7))))</f>
        <v/>
      </c>
      <c r="AU28" t="str">
        <f>IF(ISBLANK(Conductance_Eeq!AU27),"",IF(Conductance_Eeq!AU27&lt;0,((LN(ABS(((Conductance_Eeq!AU27/MAX(Conductance_Eeq!AU$7:AU$27)))))*(1.88E-23)*(25+273.15))/(EXP($A28-AU$7))),((LN((Conductance_Eeq!AU27/MAX(Conductance_Eeq!AU$7:AU$27))))*(1.88E-23)*(25+273.15))/(EXP($A28-AU$7))))</f>
        <v/>
      </c>
      <c r="AV28" t="str">
        <f>IF(ISBLANK(Conductance_Eeq!AV27),"",IF(Conductance_Eeq!AV27&lt;0,((LN(ABS(((Conductance_Eeq!AV27/MAX(Conductance_Eeq!AV$7:AV$27)))))*(1.88E-23)*(25+273.15))/(EXP($A28-AV$7))),((LN((Conductance_Eeq!AV27/MAX(Conductance_Eeq!AV$7:AV$27))))*(1.88E-23)*(25+273.15))/(EXP($A28-AV$7))))</f>
        <v/>
      </c>
      <c r="AW28" t="str">
        <f>IF(ISBLANK(Conductance_Eeq!AW27),"",IF(Conductance_Eeq!AW27&lt;0,((LN(ABS(((Conductance_Eeq!AW27/MAX(Conductance_Eeq!AW$7:AW$27)))))*(1.88E-23)*(25+273.15))/(EXP($A28-AW$7))),((LN((Conductance_Eeq!AW27/MAX(Conductance_Eeq!AW$7:AW$27))))*(1.88E-23)*(25+273.15))/(EXP($A28-AW$7))))</f>
        <v/>
      </c>
      <c r="AX28" t="str">
        <f>IF(ISBLANK(Conductance_Eeq!AX27),"",IF(Conductance_Eeq!AX27&lt;0,((LN(ABS(((Conductance_Eeq!AX27/MAX(Conductance_Eeq!AX$7:AX$27)))))*(1.88E-23)*(25+273.15))/(EXP($A28-AX$7))),((LN((Conductance_Eeq!AX27/MAX(Conductance_Eeq!AX$7:AX$27))))*(1.88E-23)*(25+273.15))/(EXP($A28-AX$7))))</f>
        <v/>
      </c>
      <c r="AY28" t="str">
        <f>IF(ISBLANK(Conductance_Eeq!AY27),"",IF(Conductance_Eeq!AY27&lt;0,((LN(ABS(((Conductance_Eeq!AY27/MAX(Conductance_Eeq!AY$7:AY$27)))))*(1.88E-23)*(25+273.15))/(EXP($A28-AY$7))),((LN((Conductance_Eeq!AY27/MAX(Conductance_Eeq!AY$7:AY$27))))*(1.88E-23)*(25+273.15))/(EXP($A28-AY$7))))</f>
        <v/>
      </c>
      <c r="AZ28" t="str">
        <f>IF(ISBLANK(Conductance_Eeq!AZ27),"",IF(Conductance_Eeq!AZ27&lt;0,((LN(ABS(((Conductance_Eeq!AZ27/MAX(Conductance_Eeq!AZ$7:AZ$27)))))*(1.88E-23)*(25+273.15))/(EXP($A28-AZ$7))),((LN((Conductance_Eeq!AZ27/MAX(Conductance_Eeq!AZ$7:AZ$27))))*(1.88E-23)*(25+273.15))/(EXP($A28-AZ$7))))</f>
        <v/>
      </c>
      <c r="BA28" t="str">
        <f>IF(ISBLANK(Conductance_Eeq!BA27),"",IF(Conductance_Eeq!BA27&lt;0,((LN(ABS(((Conductance_Eeq!BA27/MAX(Conductance_Eeq!BA$7:BA$27)))))*(1.88E-23)*(25+273.15))/(EXP($A28-BA$7))),((LN((Conductance_Eeq!BA27/MAX(Conductance_Eeq!BA$7:BA$27))))*(1.88E-23)*(25+273.15))/(EXP($A28-BA$7))))</f>
        <v/>
      </c>
      <c r="BB28" t="str">
        <f>IF(ISBLANK(Conductance_Eeq!BB27),"",IF(Conductance_Eeq!BB27&lt;0,((LN(ABS(((Conductance_Eeq!BB27/MAX(Conductance_Eeq!BB$7:BB$27)))))*(1.88E-23)*(25+273.15))/(EXP($A28-BB$7))),((LN((Conductance_Eeq!BB27/MAX(Conductance_Eeq!BB$7:BB$27))))*(1.88E-23)*(25+273.15))/(EXP($A28-BB$7))))</f>
        <v/>
      </c>
      <c r="BC28" t="str">
        <f>IF(ISBLANK(Conductance_Eeq!BC27),"",IF(Conductance_Eeq!BC27&lt;0,((LN(ABS(((Conductance_Eeq!BC27/MAX(Conductance_Eeq!BC$7:BC$27)))))*(1.88E-23)*(25+273.15))/(EXP($A28-BC$7))),((LN((Conductance_Eeq!BC27/MAX(Conductance_Eeq!BC$7:BC$27))))*(1.88E-23)*(25+273.15))/(EXP($A28-BC$7))))</f>
        <v/>
      </c>
      <c r="BD28" t="str">
        <f>IF(ISBLANK(Conductance_Eeq!BD27),"",IF(Conductance_Eeq!BD27&lt;0,((LN(ABS(((Conductance_Eeq!BD27/MAX(Conductance_Eeq!BD$7:BD$27)))))*(1.88E-23)*(25+273.15))/(EXP($A28-BD$7))),((LN((Conductance_Eeq!BD27/MAX(Conductance_Eeq!BD$7:BD$27))))*(1.88E-23)*(25+273.15))/(EXP($A28-BD$7))))</f>
        <v/>
      </c>
      <c r="BE28" t="str">
        <f>IF(ISBLANK(Conductance_Eeq!BE27),"",IF(Conductance_Eeq!BE27&lt;0,((LN(ABS(((Conductance_Eeq!BE27/MAX(Conductance_Eeq!BE$7:BE$27)))))*(1.88E-23)*(25+273.15))/(EXP($A28-BE$7))),((LN((Conductance_Eeq!BE27/MAX(Conductance_Eeq!BE$7:BE$27))))*(1.88E-23)*(25+273.15))/(EXP($A28-BE$7))))</f>
        <v/>
      </c>
      <c r="BF28" t="str">
        <f>IF(ISBLANK(Conductance_Eeq!BF27),"",IF(Conductance_Eeq!BF27&lt;0,((LN(ABS(((Conductance_Eeq!BF27/MAX(Conductance_Eeq!BF$7:BF$27)))))*(1.88E-23)*(25+273.15))/(EXP($A28-BF$7))),((LN((Conductance_Eeq!BF27/MAX(Conductance_Eeq!BF$7:BF$27))))*(1.88E-23)*(25+273.15))/(EXP($A28-BF$7))))</f>
        <v/>
      </c>
      <c r="BG28" t="str">
        <f>IF(ISBLANK(Conductance_Eeq!BG27),"",IF(Conductance_Eeq!BG27&lt;0,((LN(ABS(((Conductance_Eeq!BG27/MAX(Conductance_Eeq!BG$7:BG$27)))))*(1.88E-23)*(25+273.15))/(EXP($A28-BG$7))),((LN((Conductance_Eeq!BG27/MAX(Conductance_Eeq!BG$7:BG$27))))*(1.88E-23)*(25+273.15))/(EXP($A28-BG$7))))</f>
        <v/>
      </c>
      <c r="BH28" t="str">
        <f>IF(ISBLANK(Conductance_Eeq!BH27),"",IF(Conductance_Eeq!BH27&lt;0,((LN(ABS(((Conductance_Eeq!BH27/MAX(Conductance_Eeq!BH$7:BH$27)))))*(1.88E-23)*(25+273.15))/(EXP($A28-BH$7))),((LN((Conductance_Eeq!BH27/MAX(Conductance_Eeq!BH$7:BH$27))))*(1.88E-23)*(25+273.15))/(EXP($A28-BH$7))))</f>
        <v/>
      </c>
      <c r="BI28" t="str">
        <f>IF(ISBLANK(Conductance_Eeq!BI27),"",IF(Conductance_Eeq!BI27&lt;0,((LN(ABS(((Conductance_Eeq!BI27/MAX(Conductance_Eeq!BI$7:BI$27)))))*(1.88E-23)*(25+273.15))/(EXP($A28-BI$7))),((LN((Conductance_Eeq!BI27/MAX(Conductance_Eeq!BI$7:BI$27))))*(1.88E-23)*(25+273.15))/(EXP($A28-BI$7))))</f>
        <v/>
      </c>
      <c r="BJ28" t="str">
        <f>IF(ISBLANK(Conductance_Eeq!BJ27),"",IF(Conductance_Eeq!BJ27&lt;0,((LN(ABS(((Conductance_Eeq!BJ27/MAX(Conductance_Eeq!BJ$7:BJ$27)))))*(1.88E-23)*(25+273.15))/(EXP($A28-BJ$7))),((LN((Conductance_Eeq!BJ27/MAX(Conductance_Eeq!BJ$7:BJ$27))))*(1.88E-23)*(25+273.15))/(EXP($A28-BJ$7))))</f>
        <v/>
      </c>
      <c r="BK28" t="str">
        <f>IF(ISBLANK(Conductance_Eeq!BK27),"",IF(Conductance_Eeq!BK27&lt;0,((LN(ABS(((Conductance_Eeq!BK27/MAX(Conductance_Eeq!BK$7:BK$27)))))*(1.88E-23)*(25+273.15))/(EXP($A28-BK$7))),((LN((Conductance_Eeq!BK27/MAX(Conductance_Eeq!BK$7:BK$27))))*(1.88E-23)*(25+273.15))/(EXP($A28-BK$7))))</f>
        <v/>
      </c>
      <c r="BL28" t="str">
        <f>IF(ISBLANK(Conductance_Eeq!BL27),"",IF(Conductance_Eeq!BL27&lt;0,((LN(ABS(((Conductance_Eeq!BL27/MAX(Conductance_Eeq!BL$7:BL$27)))))*(1.88E-23)*(25+273.15))/(EXP($A28-BL$7))),((LN((Conductance_Eeq!BL27/MAX(Conductance_Eeq!BL$7:BL$27))))*(1.88E-23)*(25+273.15))/(EXP($A28-BL$7))))</f>
        <v/>
      </c>
      <c r="BM28" t="str">
        <f>IF(ISBLANK(Conductance_Eeq!BM27),"",IF(Conductance_Eeq!BM27&lt;0,((LN(ABS(((Conductance_Eeq!BM27/MAX(Conductance_Eeq!BM$7:BM$27)))))*(1.88E-23)*(25+273.15))/(EXP($A28-BM$7))),((LN((Conductance_Eeq!BM27/MAX(Conductance_Eeq!BM$7:BM$27))))*(1.88E-23)*(25+273.15))/(EXP($A28-BM$7))))</f>
        <v/>
      </c>
      <c r="BN28" t="str">
        <f>IF(ISBLANK(Conductance_Eeq!BN27),"",IF(Conductance_Eeq!BN27&lt;0,((LN(ABS(((Conductance_Eeq!BN27/MAX(Conductance_Eeq!BN$7:BN$27)))))*(1.88E-23)*(25+273.15))/(EXP($A28-BN$7))),((LN((Conductance_Eeq!BN27/MAX(Conductance_Eeq!BN$7:BN$27))))*(1.88E-23)*(25+273.15))/(EXP($A28-BN$7))))</f>
        <v/>
      </c>
      <c r="BO28" t="str">
        <f>IF(ISBLANK(Conductance_Eeq!BO27),"",IF(Conductance_Eeq!BO27&lt;0,((LN(ABS(((Conductance_Eeq!BO27/MAX(Conductance_Eeq!BO$7:BO$27)))))*(1.88E-23)*(25+273.15))/(EXP($A28-BO$7))),((LN((Conductance_Eeq!BO27/MAX(Conductance_Eeq!BO$7:BO$27))))*(1.88E-23)*(25+273.15))/(EXP($A28-BO$7))))</f>
        <v/>
      </c>
      <c r="BP28" t="str">
        <f>IF(ISBLANK(Conductance_Eeq!BP27),"",IF(Conductance_Eeq!BP27&lt;0,((LN(ABS(((Conductance_Eeq!BP27/MAX(Conductance_Eeq!BP$7:BP$27)))))*(1.88E-23)*(25+273.15))/(EXP($A28-BP$7))),((LN((Conductance_Eeq!BP27/MAX(Conductance_Eeq!BP$7:BP$27))))*(1.88E-23)*(25+273.15))/(EXP($A28-BP$7))))</f>
        <v/>
      </c>
      <c r="BQ28" t="str">
        <f>IF(ISBLANK(Conductance_Eeq!BQ27),"",IF(Conductance_Eeq!BQ27&lt;0,((LN(ABS(((Conductance_Eeq!BQ27/MAX(Conductance_Eeq!BQ$7:BQ$27)))))*(1.88E-23)*(25+273.15))/(EXP($A28-BQ$7))),((LN((Conductance_Eeq!BQ27/MAX(Conductance_Eeq!BQ$7:BQ$27))))*(1.88E-23)*(25+273.15))/(EXP($A28-BQ$7))))</f>
        <v/>
      </c>
      <c r="BR28" t="str">
        <f>IF(ISBLANK(Conductance_Eeq!BR27),"",IF(Conductance_Eeq!BR27&lt;0,((LN(ABS(((Conductance_Eeq!BR27/MAX(Conductance_Eeq!BR$7:BR$27)))))*(1.88E-23)*(25+273.15))/(EXP($A28-BR$7))),((LN((Conductance_Eeq!BR27/MAX(Conductance_Eeq!BR$7:BR$27))))*(1.88E-23)*(25+273.15))/(EXP($A28-BR$7))))</f>
        <v/>
      </c>
      <c r="BS28" t="str">
        <f>IF(ISBLANK(Conductance_Eeq!BS27),"",IF(Conductance_Eeq!BS27&lt;0,((LN(ABS(((Conductance_Eeq!BS27/MAX(Conductance_Eeq!BS$7:BS$27)))))*(1.88E-23)*(25+273.15))/(EXP($A28-BS$7))),((LN((Conductance_Eeq!BS27/MAX(Conductance_Eeq!BS$7:BS$27))))*(1.88E-23)*(25+273.15))/(EXP($A28-BS$7))))</f>
        <v/>
      </c>
      <c r="BT28" t="str">
        <f>IF(ISBLANK(Conductance_Eeq!BT27),"",IF(Conductance_Eeq!BT27&lt;0,((LN(ABS(((Conductance_Eeq!BT27/MAX(Conductance_Eeq!BT$7:BT$27)))))*(1.88E-23)*(25+273.15))/(EXP($A28-BT$7))),((LN((Conductance_Eeq!BT27/MAX(Conductance_Eeq!BT$7:BT$27))))*(1.88E-23)*(25+273.15))/(EXP($A28-BT$7))))</f>
        <v/>
      </c>
      <c r="BU28" t="str">
        <f>IF(ISBLANK(Conductance_Eeq!BU27),"",IF(Conductance_Eeq!BU27&lt;0,((LN(ABS(((Conductance_Eeq!BU27/MAX(Conductance_Eeq!BU$7:BU$27)))))*(1.88E-23)*(25+273.15))/(EXP($A28-BU$7))),((LN((Conductance_Eeq!BU27/MAX(Conductance_Eeq!BU$7:BU$27))))*(1.88E-23)*(25+273.15))/(EXP($A28-BU$7))))</f>
        <v/>
      </c>
      <c r="BV28" t="str">
        <f>IF(ISBLANK(Conductance_Eeq!BV27),"",IF(Conductance_Eeq!BV27&lt;0,((LN(ABS(((Conductance_Eeq!BV27/MAX(Conductance_Eeq!BV$7:BV$27)))))*(1.88E-23)*(25+273.15))/(EXP($A28-BV$7))),((LN((Conductance_Eeq!BV27/MAX(Conductance_Eeq!BV$7:BV$27))))*(1.88E-23)*(25+273.15))/(EXP($A28-BV$7))))</f>
        <v/>
      </c>
      <c r="BW28" t="str">
        <f>IF(ISBLANK(Conductance_Eeq!BW27),"",IF(Conductance_Eeq!BW27&lt;0,((LN(ABS(((Conductance_Eeq!BW27/MAX(Conductance_Eeq!BW$7:BW$27)))))*(1.88E-23)*(25+273.15))/(EXP($A28-BW$7))),((LN((Conductance_Eeq!BW27/MAX(Conductance_Eeq!BW$7:BW$27))))*(1.88E-23)*(25+273.15))/(EXP($A28-BW$7))))</f>
        <v/>
      </c>
      <c r="BX28" t="str">
        <f>IF(ISBLANK(Conductance_Eeq!BX27),"",IF(Conductance_Eeq!BX27&lt;0,((LN(ABS(((Conductance_Eeq!BX27/MAX(Conductance_Eeq!BX$7:BX$27)))))*(1.88E-23)*(25+273.15))/(EXP($A28-BX$7))),((LN((Conductance_Eeq!BX27/MAX(Conductance_Eeq!BX$7:BX$27))))*(1.88E-23)*(25+273.15))/(EXP($A28-BX$7))))</f>
        <v/>
      </c>
      <c r="BY28" t="str">
        <f>IF(ISBLANK(Conductance_Eeq!BY27),"",IF(Conductance_Eeq!BY27&lt;0,((LN(ABS(((Conductance_Eeq!BY27/MAX(Conductance_Eeq!BY$7:BY$27)))))*(1.88E-23)*(25+273.15))/(EXP($A28-BY$7))),((LN((Conductance_Eeq!BY27/MAX(Conductance_Eeq!BY$7:BY$27))))*(1.88E-23)*(25+273.15))/(EXP($A28-BY$7))))</f>
        <v/>
      </c>
      <c r="BZ28" t="str">
        <f>IF(ISBLANK(Conductance_Eeq!BZ27),"",IF(Conductance_Eeq!BZ27&lt;0,((LN(ABS(((Conductance_Eeq!BZ27/MAX(Conductance_Eeq!BZ$7:BZ$27)))))*(1.88E-23)*(25+273.15))/(EXP($A28-BZ$7))),((LN((Conductance_Eeq!BZ27/MAX(Conductance_Eeq!BZ$7:BZ$27))))*(1.88E-23)*(25+273.15))/(EXP($A28-BZ$7))))</f>
        <v/>
      </c>
      <c r="CA28" t="str">
        <f>IF(ISBLANK(Conductance_Eeq!CA27),"",IF(Conductance_Eeq!CA27&lt;0,((LN(ABS(((Conductance_Eeq!CA27/MAX(Conductance_Eeq!CA$7:CA$27)))))*(1.88E-23)*(25+273.15))/(EXP($A28-CA$7))),((LN((Conductance_Eeq!CA27/MAX(Conductance_Eeq!CA$7:CA$27))))*(1.88E-23)*(25+273.15))/(EXP($A28-CA$7))))</f>
        <v/>
      </c>
      <c r="CB28" t="str">
        <f>IF(ISBLANK(Conductance_Eeq!CB27),"",IF(Conductance_Eeq!CB27&lt;0,((LN(ABS(((Conductance_Eeq!CB27/MAX(Conductance_Eeq!CB$7:CB$27)))))*(1.88E-23)*(25+273.15))/(EXP($A28-CB$7))),((LN((Conductance_Eeq!CB27/MAX(Conductance_Eeq!CB$7:CB$27))))*(1.88E-23)*(25+273.15))/(EXP($A28-CB$7))))</f>
        <v/>
      </c>
      <c r="CC28" t="str">
        <f>IF(ISBLANK(Conductance_Eeq!CC27),"",IF(Conductance_Eeq!CC27&lt;0,((LN(ABS(((Conductance_Eeq!CC27/MAX(Conductance_Eeq!CC$7:CC$27)))))*(1.88E-23)*(25+273.15))/(EXP($A28-CC$7))),((LN((Conductance_Eeq!CC27/MAX(Conductance_Eeq!CC$7:CC$27))))*(1.88E-23)*(25+273.15))/(EXP($A28-CC$7))))</f>
        <v/>
      </c>
      <c r="CD28" t="str">
        <f>IF(ISBLANK(Conductance_Eeq!CD27),"",IF(Conductance_Eeq!CD27&lt;0,((LN(ABS(((Conductance_Eeq!CD27/MAX(Conductance_Eeq!CD$7:CD$27)))))*(1.88E-23)*(25+273.15))/(EXP($A28-CD$7))),((LN((Conductance_Eeq!CD27/MAX(Conductance_Eeq!CD$7:CD$27))))*(1.88E-23)*(25+273.15))/(EXP($A28-CD$7))))</f>
        <v/>
      </c>
    </row>
    <row r="29" spans="1:82" x14ac:dyDescent="0.2">
      <c r="A29" s="4"/>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5818-1FF9-EE4B-BC7F-6AF3EF9A7173}">
  <dimension ref="A1:CQ47"/>
  <sheetViews>
    <sheetView zoomScale="113" workbookViewId="0">
      <pane xSplit="1" topLeftCell="B1" activePane="topRight" state="frozen"/>
      <selection pane="topRight"/>
    </sheetView>
  </sheetViews>
  <sheetFormatPr baseColWidth="10" defaultColWidth="8.83203125" defaultRowHeight="15" x14ac:dyDescent="0.2"/>
  <cols>
    <col min="1" max="1" width="26.33203125" style="3" customWidth="1"/>
    <col min="64" max="64" width="9.1640625" customWidth="1"/>
  </cols>
  <sheetData>
    <row r="1" spans="1:95" x14ac:dyDescent="0.2">
      <c r="A1" s="2" t="s">
        <v>4</v>
      </c>
      <c r="B1" t="s">
        <v>28</v>
      </c>
      <c r="C1" t="s">
        <v>28</v>
      </c>
      <c r="D1" t="s">
        <v>28</v>
      </c>
      <c r="E1" t="s">
        <v>28</v>
      </c>
      <c r="F1" t="s">
        <v>28</v>
      </c>
      <c r="G1" t="s">
        <v>28</v>
      </c>
      <c r="H1" t="s">
        <v>28</v>
      </c>
      <c r="I1" t="s">
        <v>28</v>
      </c>
      <c r="J1" t="s">
        <v>28</v>
      </c>
      <c r="K1" t="s">
        <v>28</v>
      </c>
      <c r="L1" t="s">
        <v>28</v>
      </c>
      <c r="M1" t="s">
        <v>28</v>
      </c>
      <c r="N1" t="s">
        <v>28</v>
      </c>
      <c r="O1" t="s">
        <v>28</v>
      </c>
      <c r="P1" t="s">
        <v>28</v>
      </c>
      <c r="Q1" t="s">
        <v>28</v>
      </c>
      <c r="R1" t="s">
        <v>28</v>
      </c>
      <c r="S1" t="s">
        <v>28</v>
      </c>
      <c r="T1" t="s">
        <v>28</v>
      </c>
      <c r="U1" t="s">
        <v>28</v>
      </c>
      <c r="V1" t="s">
        <v>28</v>
      </c>
      <c r="W1" t="s">
        <v>28</v>
      </c>
      <c r="X1" t="s">
        <v>28</v>
      </c>
      <c r="Y1" t="s">
        <v>28</v>
      </c>
      <c r="Z1" t="s">
        <v>28</v>
      </c>
      <c r="AA1" t="s">
        <v>28</v>
      </c>
      <c r="AB1" t="s">
        <v>28</v>
      </c>
      <c r="AC1" t="s">
        <v>28</v>
      </c>
      <c r="AD1" t="s">
        <v>28</v>
      </c>
      <c r="AE1" t="s">
        <v>28</v>
      </c>
      <c r="AF1" t="s">
        <v>28</v>
      </c>
      <c r="AG1" t="s">
        <v>28</v>
      </c>
      <c r="AH1" t="s">
        <v>28</v>
      </c>
      <c r="AI1" t="s">
        <v>28</v>
      </c>
      <c r="AJ1" t="s">
        <v>28</v>
      </c>
      <c r="AK1" t="s">
        <v>28</v>
      </c>
      <c r="AL1" t="s">
        <v>28</v>
      </c>
      <c r="AM1" t="s">
        <v>28</v>
      </c>
      <c r="AN1" t="s">
        <v>28</v>
      </c>
      <c r="AO1" t="s">
        <v>28</v>
      </c>
      <c r="AP1" t="s">
        <v>28</v>
      </c>
      <c r="AQ1" t="s">
        <v>28</v>
      </c>
      <c r="AR1" t="s">
        <v>28</v>
      </c>
      <c r="AS1" t="s">
        <v>28</v>
      </c>
      <c r="AT1" t="s">
        <v>28</v>
      </c>
      <c r="AU1" t="s">
        <v>28</v>
      </c>
      <c r="AV1" t="s">
        <v>28</v>
      </c>
      <c r="AW1" t="s">
        <v>28</v>
      </c>
      <c r="AX1" t="s">
        <v>28</v>
      </c>
      <c r="AY1" t="s">
        <v>28</v>
      </c>
      <c r="AZ1" t="s">
        <v>28</v>
      </c>
      <c r="BA1" t="s">
        <v>28</v>
      </c>
      <c r="BB1" t="s">
        <v>28</v>
      </c>
      <c r="BC1" t="s">
        <v>28</v>
      </c>
      <c r="BD1" t="s">
        <v>28</v>
      </c>
      <c r="BE1" t="s">
        <v>28</v>
      </c>
      <c r="BF1" t="s">
        <v>28</v>
      </c>
      <c r="BG1" t="s">
        <v>28</v>
      </c>
      <c r="BH1" t="s">
        <v>28</v>
      </c>
      <c r="BI1" t="s">
        <v>28</v>
      </c>
      <c r="BJ1" t="s">
        <v>28</v>
      </c>
      <c r="BK1" t="s">
        <v>28</v>
      </c>
      <c r="BL1" t="s">
        <v>28</v>
      </c>
      <c r="BM1" t="s">
        <v>28</v>
      </c>
      <c r="BN1" t="s">
        <v>28</v>
      </c>
      <c r="BO1" t="s">
        <v>28</v>
      </c>
      <c r="BP1" t="s">
        <v>28</v>
      </c>
      <c r="BQ1" t="s">
        <v>28</v>
      </c>
      <c r="BR1" t="s">
        <v>28</v>
      </c>
      <c r="BS1" t="s">
        <v>28</v>
      </c>
      <c r="BT1" t="s">
        <v>28</v>
      </c>
      <c r="BU1" t="s">
        <v>28</v>
      </c>
      <c r="BV1" t="s">
        <v>28</v>
      </c>
      <c r="BW1" t="s">
        <v>28</v>
      </c>
      <c r="BX1" t="s">
        <v>28</v>
      </c>
      <c r="BY1" t="s">
        <v>28</v>
      </c>
      <c r="BZ1" t="s">
        <v>28</v>
      </c>
      <c r="CA1" t="s">
        <v>28</v>
      </c>
      <c r="CB1" t="s">
        <v>28</v>
      </c>
      <c r="CC1" t="s">
        <v>28</v>
      </c>
      <c r="CD1" t="s">
        <v>28</v>
      </c>
    </row>
    <row r="2" spans="1:95" x14ac:dyDescent="0.2">
      <c r="A2" s="2" t="s">
        <v>3</v>
      </c>
      <c r="B2" t="s">
        <v>74</v>
      </c>
      <c r="C2" t="s">
        <v>75</v>
      </c>
      <c r="D2" t="s">
        <v>76</v>
      </c>
      <c r="E2" t="s">
        <v>77</v>
      </c>
      <c r="F2" t="s">
        <v>78</v>
      </c>
      <c r="G2" t="s">
        <v>80</v>
      </c>
      <c r="H2" t="s">
        <v>81</v>
      </c>
      <c r="I2" t="s">
        <v>82</v>
      </c>
      <c r="J2" t="s">
        <v>83</v>
      </c>
      <c r="K2" t="s">
        <v>84</v>
      </c>
      <c r="L2" t="s">
        <v>85</v>
      </c>
      <c r="M2" t="s">
        <v>86</v>
      </c>
      <c r="N2" t="s">
        <v>87</v>
      </c>
      <c r="O2" t="s">
        <v>88</v>
      </c>
      <c r="P2" t="s">
        <v>89</v>
      </c>
      <c r="Q2" t="s">
        <v>90</v>
      </c>
      <c r="R2" t="s">
        <v>91</v>
      </c>
      <c r="S2" t="s">
        <v>92</v>
      </c>
      <c r="T2" t="s">
        <v>93</v>
      </c>
      <c r="U2" t="s">
        <v>94</v>
      </c>
      <c r="V2" t="s">
        <v>95</v>
      </c>
      <c r="W2" t="s">
        <v>97</v>
      </c>
      <c r="X2" t="s">
        <v>98</v>
      </c>
      <c r="Y2" t="s">
        <v>99</v>
      </c>
      <c r="Z2" t="s">
        <v>100</v>
      </c>
      <c r="AA2" t="s">
        <v>101</v>
      </c>
      <c r="AB2" t="s">
        <v>102</v>
      </c>
      <c r="AC2" t="s">
        <v>103</v>
      </c>
      <c r="AD2" t="s">
        <v>104</v>
      </c>
      <c r="AE2" t="s">
        <v>105</v>
      </c>
      <c r="AF2" t="s">
        <v>106</v>
      </c>
      <c r="AG2" t="s">
        <v>107</v>
      </c>
      <c r="AH2" t="s">
        <v>108</v>
      </c>
      <c r="AI2" t="s">
        <v>109</v>
      </c>
      <c r="AJ2" t="s">
        <v>110</v>
      </c>
      <c r="AK2" t="s">
        <v>111</v>
      </c>
      <c r="AL2" t="s">
        <v>112</v>
      </c>
      <c r="AM2" t="s">
        <v>113</v>
      </c>
      <c r="AN2" t="s">
        <v>114</v>
      </c>
      <c r="AO2" t="s">
        <v>115</v>
      </c>
      <c r="AP2" t="s">
        <v>116</v>
      </c>
      <c r="AQ2" t="s">
        <v>117</v>
      </c>
      <c r="AR2" t="s">
        <v>118</v>
      </c>
      <c r="AS2" t="s">
        <v>119</v>
      </c>
      <c r="AT2" t="s">
        <v>124</v>
      </c>
      <c r="AU2" t="s">
        <v>123</v>
      </c>
      <c r="AV2" t="s">
        <v>126</v>
      </c>
      <c r="AW2" t="s">
        <v>133</v>
      </c>
      <c r="AX2" t="s">
        <v>134</v>
      </c>
      <c r="AY2" t="s">
        <v>135</v>
      </c>
      <c r="AZ2" t="s">
        <v>136</v>
      </c>
      <c r="BA2" t="s">
        <v>137</v>
      </c>
      <c r="BB2" t="s">
        <v>138</v>
      </c>
      <c r="BC2" t="s">
        <v>139</v>
      </c>
      <c r="BD2" t="s">
        <v>140</v>
      </c>
      <c r="BE2" t="s">
        <v>127</v>
      </c>
      <c r="BF2" t="s">
        <v>128</v>
      </c>
      <c r="BG2" t="s">
        <v>129</v>
      </c>
      <c r="BH2" t="s">
        <v>130</v>
      </c>
      <c r="BI2" t="s">
        <v>131</v>
      </c>
      <c r="BJ2" t="s">
        <v>132</v>
      </c>
      <c r="BK2" t="s">
        <v>160</v>
      </c>
      <c r="BL2" t="s">
        <v>188</v>
      </c>
      <c r="BM2" t="s">
        <v>162</v>
      </c>
      <c r="BN2" t="s">
        <v>163</v>
      </c>
      <c r="BO2" t="s">
        <v>164</v>
      </c>
      <c r="BP2" t="s">
        <v>165</v>
      </c>
      <c r="BQ2" t="s">
        <v>166</v>
      </c>
      <c r="BR2" t="s">
        <v>167</v>
      </c>
      <c r="BS2" t="s">
        <v>168</v>
      </c>
      <c r="BT2" t="s">
        <v>190</v>
      </c>
      <c r="BU2" t="s">
        <v>169</v>
      </c>
      <c r="BV2" t="s">
        <v>191</v>
      </c>
      <c r="BW2" t="s">
        <v>157</v>
      </c>
      <c r="BX2" t="s">
        <v>192</v>
      </c>
      <c r="BY2" t="s">
        <v>158</v>
      </c>
      <c r="BZ2" t="s">
        <v>159</v>
      </c>
      <c r="CA2" t="s">
        <v>193</v>
      </c>
      <c r="CB2" t="s">
        <v>194</v>
      </c>
      <c r="CC2" t="s">
        <v>161</v>
      </c>
      <c r="CD2" t="s">
        <v>213</v>
      </c>
    </row>
    <row r="3" spans="1:95" x14ac:dyDescent="0.2">
      <c r="A3" t="s">
        <v>73</v>
      </c>
      <c r="B3">
        <v>6.391800536699999</v>
      </c>
      <c r="C3">
        <v>3.1770135480600001</v>
      </c>
      <c r="D3">
        <v>12.816808360899998</v>
      </c>
      <c r="E3">
        <v>6.4393644018000007</v>
      </c>
      <c r="F3">
        <v>4.1415547519999993</v>
      </c>
      <c r="G3">
        <v>6.7330414951999993</v>
      </c>
      <c r="H3">
        <v>6.1017497671000003</v>
      </c>
      <c r="I3">
        <v>5.2679979476000014</v>
      </c>
      <c r="J3">
        <v>1.9426925711999996</v>
      </c>
      <c r="K3">
        <v>7.2663764387999992</v>
      </c>
      <c r="L3">
        <v>9.8133792090527017</v>
      </c>
      <c r="M3">
        <v>5.9634416576470928</v>
      </c>
      <c r="N3">
        <v>8.621972916599999</v>
      </c>
      <c r="O3">
        <v>6.9784064186600006</v>
      </c>
      <c r="P3">
        <v>5.9439750680000003</v>
      </c>
      <c r="Q3">
        <v>9.3769842030999975</v>
      </c>
      <c r="R3">
        <v>5.7659015617000007</v>
      </c>
      <c r="S3">
        <v>4.9435101709999989</v>
      </c>
      <c r="T3">
        <v>6.3687977963999991</v>
      </c>
      <c r="U3">
        <v>4.2012945678399998</v>
      </c>
      <c r="V3">
        <v>1.94224344706537</v>
      </c>
      <c r="W3">
        <v>5.6914977681000014</v>
      </c>
      <c r="X3">
        <v>3.5272978020000001</v>
      </c>
      <c r="Y3">
        <v>3.3474243279999998</v>
      </c>
      <c r="Z3">
        <v>1.9251146577599998</v>
      </c>
      <c r="AA3">
        <v>1.9583813354699993</v>
      </c>
      <c r="AB3">
        <v>12.688791656000001</v>
      </c>
      <c r="AC3">
        <v>4.3809950771999997</v>
      </c>
      <c r="AD3">
        <v>6.8273253735999999</v>
      </c>
      <c r="AE3">
        <v>2.3971099300000001</v>
      </c>
      <c r="AF3">
        <v>3.900568452299999</v>
      </c>
      <c r="AG3">
        <v>4.0726768946000007</v>
      </c>
      <c r="AH3">
        <v>7.5345529800000008</v>
      </c>
      <c r="AI3">
        <v>4.4405213595999999</v>
      </c>
      <c r="AJ3">
        <v>2.5034119380000006</v>
      </c>
      <c r="AK3">
        <v>5.8217415102857135</v>
      </c>
      <c r="AL3">
        <v>5.4120773374000004</v>
      </c>
      <c r="AM3">
        <v>3.1308680299499994</v>
      </c>
      <c r="AN3">
        <v>2.1530791841999997</v>
      </c>
      <c r="AO3">
        <v>4.6828832297511145</v>
      </c>
      <c r="AP3">
        <v>4.5696121390500002</v>
      </c>
      <c r="AQ3">
        <v>5.4771448991999998</v>
      </c>
      <c r="AR3">
        <v>4.5332182904499998</v>
      </c>
      <c r="AS3">
        <v>6.2772916932000005</v>
      </c>
      <c r="AT3">
        <v>7.2507659897804499</v>
      </c>
      <c r="AU3">
        <v>5.2424940364182175</v>
      </c>
      <c r="AV3">
        <v>7.8035580797046311</v>
      </c>
      <c r="AW3">
        <v>4.3081732437999998</v>
      </c>
      <c r="AX3">
        <v>5.9116515077315306</v>
      </c>
      <c r="AY3">
        <v>6.3690267548859678</v>
      </c>
      <c r="AZ3">
        <v>1.9958043233230687</v>
      </c>
      <c r="BA3">
        <v>5.0152046884003711</v>
      </c>
      <c r="BB3">
        <v>2.8197356420516986</v>
      </c>
      <c r="BC3">
        <v>6.8148693932681876</v>
      </c>
      <c r="BD3">
        <v>5.2707788291051818</v>
      </c>
      <c r="BE3">
        <v>3.9566496721089051</v>
      </c>
      <c r="BF3">
        <v>5.5692706669773777</v>
      </c>
      <c r="BG3">
        <v>4.7930427101559818</v>
      </c>
      <c r="BH3">
        <v>4.9504883473366341</v>
      </c>
      <c r="BI3">
        <v>10.871165677992973</v>
      </c>
      <c r="BJ3">
        <v>7.4679808898985423</v>
      </c>
      <c r="BK3">
        <v>19.946134186819162</v>
      </c>
      <c r="BL3">
        <v>6.4223087544769069</v>
      </c>
      <c r="BM3">
        <v>3.6916910040154773</v>
      </c>
      <c r="BN3">
        <v>3.9347221929654719</v>
      </c>
      <c r="BO3">
        <v>3.9347221929654719</v>
      </c>
      <c r="BP3">
        <v>3.9347221929654719</v>
      </c>
      <c r="BQ3">
        <v>3.6236144062996232</v>
      </c>
      <c r="BR3">
        <v>4.5734651714511285</v>
      </c>
      <c r="BS3">
        <v>6.030428868010616</v>
      </c>
      <c r="BT3">
        <v>6.5530017198397887</v>
      </c>
      <c r="BU3">
        <v>3.777933176509281</v>
      </c>
      <c r="BV3">
        <v>21.360497201093356</v>
      </c>
      <c r="BW3">
        <v>5.1578729531264251</v>
      </c>
      <c r="BX3">
        <v>7.618925827711827</v>
      </c>
      <c r="BY3">
        <v>3.010194052165716</v>
      </c>
      <c r="BZ3">
        <v>4.5653243432231205</v>
      </c>
      <c r="CA3">
        <v>2.6636050095151971</v>
      </c>
      <c r="CB3">
        <v>4.3495176746170765</v>
      </c>
      <c r="CC3">
        <v>4.424043523818284</v>
      </c>
      <c r="CD3">
        <v>1.5789424310550071</v>
      </c>
    </row>
    <row r="4" spans="1:95" x14ac:dyDescent="0.2">
      <c r="A4" s="3" t="s">
        <v>1</v>
      </c>
      <c r="B4" t="s">
        <v>72</v>
      </c>
      <c r="C4" t="s">
        <v>72</v>
      </c>
      <c r="D4" t="s">
        <v>72</v>
      </c>
      <c r="E4" t="s">
        <v>72</v>
      </c>
      <c r="F4" t="s">
        <v>72</v>
      </c>
      <c r="G4" t="s">
        <v>72</v>
      </c>
      <c r="H4" t="s">
        <v>72</v>
      </c>
      <c r="I4" t="s">
        <v>72</v>
      </c>
      <c r="J4" t="s">
        <v>72</v>
      </c>
      <c r="K4" t="s">
        <v>72</v>
      </c>
      <c r="L4" t="s">
        <v>72</v>
      </c>
      <c r="M4" t="s">
        <v>72</v>
      </c>
      <c r="N4" t="s">
        <v>72</v>
      </c>
      <c r="O4" t="s">
        <v>72</v>
      </c>
      <c r="P4" t="s">
        <v>72</v>
      </c>
      <c r="Q4" t="s">
        <v>72</v>
      </c>
      <c r="R4" t="s">
        <v>72</v>
      </c>
      <c r="S4" t="s">
        <v>72</v>
      </c>
      <c r="T4" t="s">
        <v>72</v>
      </c>
      <c r="U4" t="s">
        <v>72</v>
      </c>
      <c r="V4" t="s">
        <v>72</v>
      </c>
      <c r="W4" t="s">
        <v>72</v>
      </c>
      <c r="X4" t="s">
        <v>72</v>
      </c>
      <c r="Y4" t="s">
        <v>72</v>
      </c>
      <c r="Z4" t="s">
        <v>72</v>
      </c>
      <c r="AA4" t="s">
        <v>72</v>
      </c>
      <c r="AB4" t="s">
        <v>72</v>
      </c>
      <c r="AC4" t="s">
        <v>72</v>
      </c>
      <c r="AD4" t="s">
        <v>72</v>
      </c>
      <c r="AE4" t="s">
        <v>72</v>
      </c>
      <c r="AF4" t="s">
        <v>72</v>
      </c>
      <c r="AG4" t="s">
        <v>72</v>
      </c>
      <c r="AH4" t="s">
        <v>72</v>
      </c>
      <c r="AI4" t="s">
        <v>72</v>
      </c>
      <c r="AJ4" t="s">
        <v>72</v>
      </c>
      <c r="AK4" t="s">
        <v>72</v>
      </c>
      <c r="AL4" t="s">
        <v>72</v>
      </c>
      <c r="AM4" t="s">
        <v>72</v>
      </c>
      <c r="AN4" t="s">
        <v>72</v>
      </c>
      <c r="AO4" t="s">
        <v>72</v>
      </c>
      <c r="AP4" t="s">
        <v>72</v>
      </c>
      <c r="AQ4" t="s">
        <v>72</v>
      </c>
      <c r="AR4" t="s">
        <v>72</v>
      </c>
      <c r="AS4" t="s">
        <v>72</v>
      </c>
      <c r="AT4" t="s">
        <v>72</v>
      </c>
      <c r="AU4" t="s">
        <v>72</v>
      </c>
      <c r="AV4" t="s">
        <v>72</v>
      </c>
      <c r="AW4" t="s">
        <v>155</v>
      </c>
      <c r="AX4" t="s">
        <v>155</v>
      </c>
      <c r="AY4" t="s">
        <v>155</v>
      </c>
      <c r="AZ4" t="s">
        <v>155</v>
      </c>
      <c r="BA4" t="s">
        <v>155</v>
      </c>
      <c r="BB4" t="s">
        <v>155</v>
      </c>
      <c r="BC4" t="s">
        <v>155</v>
      </c>
      <c r="BD4" t="s">
        <v>155</v>
      </c>
      <c r="BE4" t="s">
        <v>155</v>
      </c>
      <c r="BF4" t="s">
        <v>155</v>
      </c>
      <c r="BG4" t="s">
        <v>155</v>
      </c>
      <c r="BH4" t="s">
        <v>155</v>
      </c>
      <c r="BI4" t="s">
        <v>155</v>
      </c>
      <c r="BJ4" t="s">
        <v>155</v>
      </c>
      <c r="BK4" t="s">
        <v>187</v>
      </c>
      <c r="BL4" t="s">
        <v>187</v>
      </c>
      <c r="BM4" t="s">
        <v>187</v>
      </c>
      <c r="BN4" t="s">
        <v>187</v>
      </c>
      <c r="BO4" t="s">
        <v>187</v>
      </c>
      <c r="BP4" t="s">
        <v>187</v>
      </c>
      <c r="BQ4" t="s">
        <v>187</v>
      </c>
      <c r="BR4" t="s">
        <v>187</v>
      </c>
      <c r="BS4" t="s">
        <v>187</v>
      </c>
      <c r="BT4" t="s">
        <v>187</v>
      </c>
      <c r="BU4" t="s">
        <v>187</v>
      </c>
      <c r="BV4" t="s">
        <v>187</v>
      </c>
      <c r="BW4" t="s">
        <v>187</v>
      </c>
      <c r="BX4" t="s">
        <v>187</v>
      </c>
      <c r="BY4" t="s">
        <v>187</v>
      </c>
      <c r="BZ4" t="s">
        <v>187</v>
      </c>
      <c r="CA4" t="s">
        <v>187</v>
      </c>
      <c r="CB4" t="s">
        <v>187</v>
      </c>
      <c r="CC4" t="s">
        <v>187</v>
      </c>
      <c r="CD4" t="s">
        <v>187</v>
      </c>
    </row>
    <row r="5" spans="1:95" x14ac:dyDescent="0.2">
      <c r="A5" s="3" t="s">
        <v>0</v>
      </c>
      <c r="B5" t="s">
        <v>29</v>
      </c>
      <c r="C5" t="s">
        <v>30</v>
      </c>
      <c r="D5" t="s">
        <v>31</v>
      </c>
      <c r="E5" t="s">
        <v>32</v>
      </c>
      <c r="F5" t="s">
        <v>33</v>
      </c>
      <c r="G5" t="s">
        <v>34</v>
      </c>
      <c r="H5" t="s">
        <v>35</v>
      </c>
      <c r="I5" t="s">
        <v>36</v>
      </c>
      <c r="J5" t="s">
        <v>37</v>
      </c>
      <c r="K5" t="s">
        <v>38</v>
      </c>
      <c r="L5" t="s">
        <v>39</v>
      </c>
      <c r="M5" t="s">
        <v>40</v>
      </c>
      <c r="N5" t="s">
        <v>41</v>
      </c>
      <c r="O5" t="s">
        <v>42</v>
      </c>
      <c r="P5" t="s">
        <v>43</v>
      </c>
      <c r="Q5" t="s">
        <v>44</v>
      </c>
      <c r="R5" t="s">
        <v>45</v>
      </c>
      <c r="S5" t="s">
        <v>46</v>
      </c>
      <c r="T5" t="s">
        <v>47</v>
      </c>
      <c r="U5" t="s">
        <v>48</v>
      </c>
      <c r="V5" t="s">
        <v>96</v>
      </c>
      <c r="W5" t="s">
        <v>49</v>
      </c>
      <c r="X5" t="s">
        <v>50</v>
      </c>
      <c r="Y5" t="s">
        <v>51</v>
      </c>
      <c r="Z5" t="s">
        <v>52</v>
      </c>
      <c r="AA5" t="s">
        <v>53</v>
      </c>
      <c r="AB5" t="s">
        <v>54</v>
      </c>
      <c r="AC5" t="s">
        <v>55</v>
      </c>
      <c r="AD5" t="s">
        <v>56</v>
      </c>
      <c r="AE5" t="s">
        <v>57</v>
      </c>
      <c r="AF5" t="s">
        <v>58</v>
      </c>
      <c r="AG5" t="s">
        <v>59</v>
      </c>
      <c r="AH5" t="s">
        <v>60</v>
      </c>
      <c r="AI5" t="s">
        <v>61</v>
      </c>
      <c r="AJ5" t="s">
        <v>62</v>
      </c>
      <c r="AK5" t="s">
        <v>63</v>
      </c>
      <c r="AL5" t="s">
        <v>64</v>
      </c>
      <c r="AM5" t="s">
        <v>65</v>
      </c>
      <c r="AN5" t="s">
        <v>66</v>
      </c>
      <c r="AO5" t="s">
        <v>67</v>
      </c>
      <c r="AP5" t="s">
        <v>68</v>
      </c>
      <c r="AQ5" t="s">
        <v>69</v>
      </c>
      <c r="AR5" t="s">
        <v>70</v>
      </c>
      <c r="AS5" t="s">
        <v>71</v>
      </c>
      <c r="AT5" t="s">
        <v>121</v>
      </c>
      <c r="AU5" t="s">
        <v>122</v>
      </c>
      <c r="AV5" t="s">
        <v>125</v>
      </c>
      <c r="AW5" t="s">
        <v>147</v>
      </c>
      <c r="AX5" t="s">
        <v>148</v>
      </c>
      <c r="AY5" t="s">
        <v>149</v>
      </c>
      <c r="AZ5" t="s">
        <v>150</v>
      </c>
      <c r="BA5" t="s">
        <v>151</v>
      </c>
      <c r="BB5" t="s">
        <v>152</v>
      </c>
      <c r="BC5" t="s">
        <v>153</v>
      </c>
      <c r="BD5" t="s">
        <v>154</v>
      </c>
      <c r="BE5" t="s">
        <v>141</v>
      </c>
      <c r="BF5" t="s">
        <v>142</v>
      </c>
      <c r="BG5" t="s">
        <v>143</v>
      </c>
      <c r="BH5" t="s">
        <v>144</v>
      </c>
      <c r="BI5" t="s">
        <v>145</v>
      </c>
      <c r="BJ5" t="s">
        <v>146</v>
      </c>
      <c r="BK5" t="s">
        <v>177</v>
      </c>
      <c r="BL5" t="s">
        <v>179</v>
      </c>
      <c r="BM5" t="s">
        <v>180</v>
      </c>
      <c r="BN5" t="s">
        <v>181</v>
      </c>
      <c r="BO5" t="s">
        <v>181</v>
      </c>
      <c r="BP5" t="s">
        <v>181</v>
      </c>
      <c r="BQ5" t="s">
        <v>182</v>
      </c>
      <c r="BR5" t="s">
        <v>183</v>
      </c>
      <c r="BS5" t="s">
        <v>184</v>
      </c>
      <c r="BT5" t="s">
        <v>185</v>
      </c>
      <c r="BU5" t="s">
        <v>186</v>
      </c>
      <c r="BV5" t="s">
        <v>170</v>
      </c>
      <c r="BW5" t="s">
        <v>171</v>
      </c>
      <c r="BX5" t="s">
        <v>172</v>
      </c>
      <c r="BY5" t="s">
        <v>173</v>
      </c>
      <c r="BZ5" t="s">
        <v>174</v>
      </c>
      <c r="CA5" t="s">
        <v>175</v>
      </c>
      <c r="CB5" t="s">
        <v>176</v>
      </c>
      <c r="CC5" t="s">
        <v>178</v>
      </c>
      <c r="CD5" t="s">
        <v>189</v>
      </c>
    </row>
    <row r="6" spans="1:95" x14ac:dyDescent="0.2">
      <c r="A6" s="3" t="s">
        <v>241</v>
      </c>
      <c r="B6">
        <v>1.4265662516329694E-2</v>
      </c>
      <c r="C6">
        <v>1.2553900451416633E-2</v>
      </c>
      <c r="D6">
        <v>1.7478313824704064E-2</v>
      </c>
      <c r="E6">
        <v>1.6409855569113233E-2</v>
      </c>
      <c r="F6">
        <v>2.1196503928555353E-2</v>
      </c>
      <c r="G6">
        <v>3.8255470033542349E-2</v>
      </c>
      <c r="H6">
        <v>1.3629283255105255E-2</v>
      </c>
      <c r="I6">
        <v>1.2704370413160571E-2</v>
      </c>
      <c r="J6">
        <v>1.7107434875196083E-2</v>
      </c>
      <c r="K6">
        <v>1.4020037128036867E-2</v>
      </c>
      <c r="L6">
        <v>1.7652902961637178E-2</v>
      </c>
      <c r="M6">
        <v>1.3246161010671602E-2</v>
      </c>
      <c r="N6">
        <v>1.5687558514089508E-2</v>
      </c>
      <c r="O6">
        <v>1.7012562063162113E-2</v>
      </c>
      <c r="P6">
        <v>1.9340795092521148E-2</v>
      </c>
      <c r="Q6">
        <v>1.7809370894771536E-2</v>
      </c>
      <c r="R6">
        <v>1.7893316512159349E-2</v>
      </c>
      <c r="S6">
        <v>1.6880729382060485E-2</v>
      </c>
      <c r="T6">
        <v>1.5093986614780015E-2</v>
      </c>
      <c r="U6">
        <v>1.5924646662692075E-2</v>
      </c>
      <c r="V6">
        <v>1.7979020543617098E-2</v>
      </c>
      <c r="W6">
        <v>1.6589524944240101E-2</v>
      </c>
      <c r="X6">
        <v>1.6707651436380679E-2</v>
      </c>
      <c r="Y6">
        <v>1.7260996399993164E-2</v>
      </c>
      <c r="Z6">
        <v>1.8315038005572291E-2</v>
      </c>
      <c r="AA6">
        <v>1.8808761585666498E-2</v>
      </c>
      <c r="AB6">
        <v>1.6847489547485588E-2</v>
      </c>
      <c r="AC6">
        <v>1.3690142352314628E-2</v>
      </c>
      <c r="AD6">
        <v>1.7255284199925284E-2</v>
      </c>
      <c r="AE6">
        <v>2.2668483749319492E-2</v>
      </c>
      <c r="AF6">
        <v>1.8367678605519629E-2</v>
      </c>
      <c r="AG6">
        <v>1.7663520748874607E-2</v>
      </c>
      <c r="AH6">
        <v>1.818026913513179E-2</v>
      </c>
      <c r="AI6">
        <v>1.7465516125127527E-2</v>
      </c>
      <c r="AJ6">
        <v>1.6749585596512035E-2</v>
      </c>
      <c r="AK6">
        <v>1.5679990033520604E-2</v>
      </c>
      <c r="AL6">
        <v>1.8331068712919445E-2</v>
      </c>
      <c r="AM6">
        <v>1.7547005156550451E-2</v>
      </c>
      <c r="AO6">
        <v>1.9640102220046765E-2</v>
      </c>
      <c r="AP6">
        <v>2.0252816366619696E-2</v>
      </c>
      <c r="AQ6">
        <v>1.758245063780144E-2</v>
      </c>
      <c r="AR6">
        <v>2.0043612006744555E-2</v>
      </c>
      <c r="AS6">
        <v>1.6906619214331439E-2</v>
      </c>
      <c r="AT6">
        <v>1.8406024890586788E-2</v>
      </c>
      <c r="AU6">
        <v>1.6947158191231399E-2</v>
      </c>
      <c r="AV6">
        <v>2.1879757065603012E-2</v>
      </c>
      <c r="AW6">
        <v>1.8632097535126318E-2</v>
      </c>
      <c r="AX6">
        <v>1.5365929942810165E-2</v>
      </c>
      <c r="AY6">
        <v>1.642137642800973E-2</v>
      </c>
      <c r="AZ6">
        <v>1.6221878809791385E-2</v>
      </c>
      <c r="BA6">
        <v>1.6811717224445813E-2</v>
      </c>
      <c r="BB6">
        <v>1.8322148744485688E-2</v>
      </c>
      <c r="BC6">
        <v>1.7008927762021377E-2</v>
      </c>
      <c r="BD6">
        <v>1.9958167194903811E-2</v>
      </c>
      <c r="BE6">
        <v>1.432485336210851E-2</v>
      </c>
      <c r="BF6">
        <v>2.0429299564354107E-2</v>
      </c>
      <c r="BG6">
        <v>1.5725698150279032E-2</v>
      </c>
      <c r="BH6">
        <v>1.7441552826756045E-2</v>
      </c>
      <c r="BI6">
        <v>1.8852465269658204E-2</v>
      </c>
      <c r="BJ6">
        <v>1.7479281310072446E-2</v>
      </c>
      <c r="BK6">
        <v>1.8319253368519948E-2</v>
      </c>
      <c r="BL6">
        <v>1.7555275003929203E-2</v>
      </c>
      <c r="BM6">
        <v>1.5545987884135035E-2</v>
      </c>
      <c r="BN6">
        <v>2.3083335378023876E-2</v>
      </c>
      <c r="BO6">
        <v>1.7688781072614183E-2</v>
      </c>
      <c r="BP6">
        <v>1.9366963979419019E-2</v>
      </c>
      <c r="BQ6">
        <v>2.2524706571620125E-2</v>
      </c>
      <c r="BR6">
        <v>2.0202878483854204E-2</v>
      </c>
      <c r="BS6">
        <v>1.8425178484657721E-2</v>
      </c>
      <c r="BT6">
        <v>1.8465669023677432E-2</v>
      </c>
      <c r="BU6">
        <v>1.5266560563802427E-2</v>
      </c>
      <c r="BV6">
        <v>1.7073975780395458E-2</v>
      </c>
      <c r="BW6">
        <v>1.7265793613592387E-2</v>
      </c>
      <c r="BX6">
        <v>1.5688415968291628E-2</v>
      </c>
      <c r="BY6">
        <v>1.9629951316963146E-2</v>
      </c>
      <c r="BZ6">
        <v>2.2027037069550552E-2</v>
      </c>
      <c r="CA6">
        <v>2.4600493749993287E-2</v>
      </c>
      <c r="CB6">
        <v>1.6981466165771113E-2</v>
      </c>
      <c r="CC6">
        <v>1.0636742596046772E-2</v>
      </c>
      <c r="CD6">
        <v>1.6697658168938357E-2</v>
      </c>
    </row>
    <row r="7" spans="1:95" x14ac:dyDescent="0.2">
      <c r="A7" s="3" t="s">
        <v>242</v>
      </c>
      <c r="B7">
        <v>-1.1907153672910531</v>
      </c>
      <c r="C7">
        <v>-1.0138449452326546</v>
      </c>
      <c r="D7">
        <v>-1.2047626101376683</v>
      </c>
      <c r="E7">
        <v>-1.0964257377365794</v>
      </c>
      <c r="F7">
        <v>-1.3254049786966946</v>
      </c>
      <c r="G7">
        <v>-2.7968831771889984</v>
      </c>
      <c r="H7">
        <v>-1.2152569005257021</v>
      </c>
      <c r="I7">
        <v>-0.94505128857191234</v>
      </c>
      <c r="J7">
        <v>-1.0886463801103772</v>
      </c>
      <c r="K7">
        <v>-1.1652533005050745</v>
      </c>
      <c r="L7">
        <v>-1.1769880589446668</v>
      </c>
      <c r="M7">
        <v>-1.0469718389912703</v>
      </c>
      <c r="N7">
        <v>-1.0836554438936408</v>
      </c>
      <c r="O7">
        <v>-1.0973489921490884</v>
      </c>
      <c r="P7">
        <v>-1.2995558133762501</v>
      </c>
      <c r="Q7">
        <v>-1.2466279311794493</v>
      </c>
      <c r="R7">
        <v>-1.2405274329976042</v>
      </c>
      <c r="S7">
        <v>-1.0956093225074728</v>
      </c>
      <c r="T7">
        <v>-1.0192877078316425</v>
      </c>
      <c r="U7">
        <v>-1.0700359626936133</v>
      </c>
      <c r="V7">
        <v>-1.2397995980958756</v>
      </c>
      <c r="W7">
        <v>-1.0574086975053427</v>
      </c>
      <c r="X7">
        <v>-1.1708563407874499</v>
      </c>
      <c r="Y7">
        <v>-1.1655739270358798</v>
      </c>
      <c r="Z7">
        <v>-1.2622671144196924</v>
      </c>
      <c r="AA7">
        <v>-1.2544984773654508</v>
      </c>
      <c r="AB7">
        <v>-1.1583034560544903</v>
      </c>
      <c r="AC7">
        <v>-1.051990150820163</v>
      </c>
      <c r="AD7">
        <v>-1.301686942564442</v>
      </c>
      <c r="AE7">
        <v>-1.3977660089082473</v>
      </c>
      <c r="AF7">
        <v>-1.2783708539141714</v>
      </c>
      <c r="AG7">
        <v>-1.2149732188643951</v>
      </c>
      <c r="AH7">
        <v>-1.2409183768876646</v>
      </c>
      <c r="AI7">
        <v>-1.1722029282538193</v>
      </c>
      <c r="AJ7">
        <v>-1.2164204288866542</v>
      </c>
      <c r="AK7">
        <v>-1.1354879544905985</v>
      </c>
      <c r="AL7">
        <v>-1.2680481617941592</v>
      </c>
      <c r="AM7">
        <v>-1.2542989091792345</v>
      </c>
      <c r="AO7">
        <v>-1.2521337778907657</v>
      </c>
      <c r="AP7">
        <v>-1.2625487268332536</v>
      </c>
      <c r="AQ7">
        <v>-1.2571843990073268</v>
      </c>
      <c r="AR7">
        <v>-1.2340733122788774</v>
      </c>
      <c r="AS7">
        <v>-1.1988100120149943</v>
      </c>
      <c r="AT7">
        <v>-1.262217365493657</v>
      </c>
      <c r="AU7">
        <v>-1.1757308765251453</v>
      </c>
      <c r="AV7">
        <v>-1.2994046040143339</v>
      </c>
      <c r="AW7">
        <v>-1.3201256647257975</v>
      </c>
      <c r="AX7">
        <v>-1.1736217582310036</v>
      </c>
      <c r="AY7">
        <v>-1.1380119380434266</v>
      </c>
      <c r="AZ7">
        <v>-1.2839561136564837</v>
      </c>
      <c r="BA7">
        <v>-1.2710753706734046</v>
      </c>
      <c r="BB7">
        <v>-1.2998351489208653</v>
      </c>
      <c r="BC7">
        <v>-1.1325430744818483</v>
      </c>
      <c r="BD7">
        <v>-1.2557371254470575</v>
      </c>
      <c r="BE7">
        <v>-1.1584040803468647</v>
      </c>
      <c r="BF7">
        <v>-1.3447696216887839</v>
      </c>
      <c r="BG7">
        <v>-1.2492574055229591</v>
      </c>
      <c r="BH7">
        <v>-1.1797794097931178</v>
      </c>
      <c r="BI7">
        <v>-1.2807638634126821</v>
      </c>
      <c r="BJ7">
        <v>-1.2501536669970106</v>
      </c>
      <c r="BK7">
        <v>-1.2813141154340544</v>
      </c>
      <c r="BL7">
        <v>-1.1761395258751948</v>
      </c>
      <c r="BM7">
        <v>-1.1857881204455651</v>
      </c>
      <c r="BN7">
        <v>-1.2277949751122539</v>
      </c>
      <c r="BO7">
        <v>-1.0464184906961582</v>
      </c>
      <c r="BP7">
        <v>-1.204947732847887</v>
      </c>
      <c r="BQ7">
        <v>-1.331708529332353</v>
      </c>
      <c r="BR7">
        <v>-1.2280181970865591</v>
      </c>
      <c r="BS7">
        <v>-1.1607327743866542</v>
      </c>
      <c r="BT7">
        <v>-1.2793160082977024</v>
      </c>
      <c r="BU7">
        <v>-1.2482639390964807</v>
      </c>
      <c r="BV7">
        <v>-1.15568375605462</v>
      </c>
      <c r="BW7">
        <v>-1.3172912137109829</v>
      </c>
      <c r="BX7">
        <v>-1.15078076115616</v>
      </c>
      <c r="BY7">
        <v>-1.1962995131696315</v>
      </c>
      <c r="BZ7">
        <v>-1.2697888095400927</v>
      </c>
      <c r="CA7">
        <v>-1.3672118117522956</v>
      </c>
      <c r="CB7">
        <v>-1.189954375262253</v>
      </c>
      <c r="CC7">
        <v>-1.2214829321672327</v>
      </c>
      <c r="CD7">
        <v>-1.2529824085165808</v>
      </c>
    </row>
    <row r="8" spans="1:95" x14ac:dyDescent="0.2">
      <c r="A8" s="3" t="s">
        <v>240</v>
      </c>
      <c r="B8">
        <v>83.467232308913708</v>
      </c>
      <c r="C8">
        <v>80.759358348922405</v>
      </c>
      <c r="D8">
        <v>68.928995223489011</v>
      </c>
      <c r="E8">
        <v>66.815075435537722</v>
      </c>
      <c r="F8">
        <v>62.52941443381826</v>
      </c>
      <c r="G8">
        <v>73.110673447135653</v>
      </c>
      <c r="H8">
        <v>89.16513640366901</v>
      </c>
      <c r="I8">
        <v>74.387888406726972</v>
      </c>
      <c r="J8">
        <v>63.635862889578831</v>
      </c>
      <c r="K8">
        <v>83.113424726588946</v>
      </c>
      <c r="L8">
        <v>66.673909753113477</v>
      </c>
      <c r="M8">
        <v>79.039643119828511</v>
      </c>
      <c r="N8">
        <v>69.077380200390934</v>
      </c>
      <c r="O8">
        <v>64.502277086484</v>
      </c>
      <c r="P8">
        <v>67.192471000262685</v>
      </c>
      <c r="Q8">
        <v>69.99842602780727</v>
      </c>
      <c r="R8">
        <v>69.329094589849092</v>
      </c>
      <c r="S8">
        <v>64.902961104974551</v>
      </c>
      <c r="T8">
        <v>67.529389938212688</v>
      </c>
      <c r="U8">
        <v>67.193702024200689</v>
      </c>
      <c r="V8">
        <v>68.958127896240072</v>
      </c>
      <c r="W8">
        <v>63.739540526895922</v>
      </c>
      <c r="X8">
        <v>70.079050023627289</v>
      </c>
      <c r="Y8">
        <v>67.526456759839277</v>
      </c>
      <c r="Z8">
        <v>68.919710351441893</v>
      </c>
      <c r="AA8">
        <v>66.69755856342293</v>
      </c>
      <c r="AB8">
        <v>68.752288154846298</v>
      </c>
      <c r="AC8">
        <v>76.842893503024854</v>
      </c>
      <c r="AD8">
        <v>75.437003962535627</v>
      </c>
      <c r="AE8">
        <v>61.661204356034986</v>
      </c>
      <c r="AF8">
        <v>69.59893415872439</v>
      </c>
      <c r="AG8">
        <v>68.78431747203085</v>
      </c>
      <c r="AH8">
        <v>68.256326001780565</v>
      </c>
      <c r="AI8">
        <v>67.11527560112458</v>
      </c>
      <c r="AJ8">
        <v>72.623911909794586</v>
      </c>
      <c r="AK8">
        <v>72.416369657324907</v>
      </c>
      <c r="AL8">
        <v>69.174808171465699</v>
      </c>
      <c r="AM8">
        <v>71.482221495272867</v>
      </c>
      <c r="AO8">
        <v>63.753933857467686</v>
      </c>
      <c r="AP8">
        <v>62.339415120267532</v>
      </c>
      <c r="AQ8">
        <v>71.5022282675681</v>
      </c>
      <c r="AR8">
        <v>61.569407343527658</v>
      </c>
      <c r="AS8">
        <v>70.907731274788773</v>
      </c>
      <c r="AT8">
        <v>68.576315255293409</v>
      </c>
      <c r="AU8">
        <v>69.376284994700654</v>
      </c>
      <c r="AV8">
        <v>59.388438368774999</v>
      </c>
      <c r="AW8">
        <v>70.852230256793121</v>
      </c>
      <c r="AX8">
        <v>76.378179687077775</v>
      </c>
      <c r="AY8">
        <v>69.300642551639839</v>
      </c>
      <c r="AZ8">
        <v>79.149655148545364</v>
      </c>
      <c r="BA8">
        <v>75.606516199614745</v>
      </c>
      <c r="BB8">
        <v>70.9433793518388</v>
      </c>
      <c r="BC8">
        <v>66.585212796932623</v>
      </c>
      <c r="BD8">
        <v>62.918459054080969</v>
      </c>
      <c r="BE8">
        <v>80.866732179683297</v>
      </c>
      <c r="BF8">
        <v>65.825537358862462</v>
      </c>
      <c r="BG8">
        <v>79.440505189958301</v>
      </c>
      <c r="BH8">
        <v>67.641879224382393</v>
      </c>
      <c r="BI8">
        <v>67.936147612163325</v>
      </c>
      <c r="BJ8">
        <v>71.52202912808599</v>
      </c>
      <c r="BK8">
        <v>69.943577375040945</v>
      </c>
      <c r="BL8">
        <v>66.996360103271101</v>
      </c>
      <c r="BM8">
        <v>76.276151074045515</v>
      </c>
      <c r="BN8">
        <v>53.189669300614014</v>
      </c>
      <c r="BO8">
        <v>59.157184794164593</v>
      </c>
      <c r="BP8">
        <v>62.216655854183799</v>
      </c>
      <c r="BQ8">
        <v>59.122125524610894</v>
      </c>
      <c r="BR8">
        <v>60.784318337011747</v>
      </c>
      <c r="BS8">
        <v>62.997097984867466</v>
      </c>
      <c r="BT8">
        <v>69.280782984754651</v>
      </c>
      <c r="BU8">
        <v>81.764581739266148</v>
      </c>
      <c r="BV8">
        <v>67.686856940583795</v>
      </c>
      <c r="BW8">
        <v>76.294854623650409</v>
      </c>
      <c r="BX8">
        <v>73.352259621496572</v>
      </c>
      <c r="BY8">
        <v>60.942561387600279</v>
      </c>
      <c r="BZ8">
        <v>57.646827647800471</v>
      </c>
      <c r="CA8">
        <v>55.57660043927649</v>
      </c>
      <c r="CB8">
        <v>70.073712342977672</v>
      </c>
      <c r="CC8">
        <v>114.83618421124586</v>
      </c>
      <c r="CD8">
        <v>75.039409469252888</v>
      </c>
    </row>
    <row r="9" spans="1:95" x14ac:dyDescent="0.2">
      <c r="A9" s="3" t="s">
        <v>332</v>
      </c>
      <c r="B9">
        <v>14.265662516329694</v>
      </c>
      <c r="C9">
        <v>12.553900451416633</v>
      </c>
      <c r="D9">
        <v>17.478313824704063</v>
      </c>
      <c r="E9">
        <v>16.409855569113233</v>
      </c>
      <c r="F9">
        <v>21.196503928555352</v>
      </c>
      <c r="G9">
        <v>38.255470033542352</v>
      </c>
      <c r="H9">
        <v>13.629283255105255</v>
      </c>
      <c r="I9">
        <v>12.704370413160571</v>
      </c>
      <c r="J9">
        <v>17.107434875196084</v>
      </c>
      <c r="K9">
        <v>14.020037128036867</v>
      </c>
      <c r="L9">
        <v>17.652902961637178</v>
      </c>
      <c r="M9">
        <v>13.246161010671601</v>
      </c>
      <c r="N9">
        <v>15.687558514089508</v>
      </c>
      <c r="O9">
        <v>17.012562063162115</v>
      </c>
      <c r="P9">
        <v>19.340795092521148</v>
      </c>
      <c r="Q9">
        <v>17.809370894771536</v>
      </c>
      <c r="R9">
        <v>17.893316512159348</v>
      </c>
      <c r="S9">
        <v>16.880729382060483</v>
      </c>
      <c r="T9">
        <v>15.093986614780015</v>
      </c>
      <c r="U9">
        <v>15.924646662692075</v>
      </c>
      <c r="V9">
        <v>17.979020543617096</v>
      </c>
      <c r="W9">
        <v>16.5895249442401</v>
      </c>
      <c r="X9">
        <v>16.707651436380679</v>
      </c>
      <c r="Y9">
        <v>17.260996399993164</v>
      </c>
      <c r="Z9">
        <v>18.315038005572291</v>
      </c>
      <c r="AA9">
        <v>18.808761585666499</v>
      </c>
      <c r="AB9">
        <v>16.847489547485587</v>
      </c>
      <c r="AC9">
        <v>13.690142352314627</v>
      </c>
      <c r="AD9">
        <v>17.255284199925285</v>
      </c>
      <c r="AE9">
        <v>22.668483749319492</v>
      </c>
      <c r="AF9">
        <v>18.367678605519629</v>
      </c>
      <c r="AG9">
        <v>17.663520748874607</v>
      </c>
      <c r="AH9">
        <v>18.180269135131791</v>
      </c>
      <c r="AI9">
        <v>17.465516125127525</v>
      </c>
      <c r="AJ9">
        <v>16.749585596512034</v>
      </c>
      <c r="AK9">
        <v>15.679990033520605</v>
      </c>
      <c r="AL9">
        <v>18.331068712919446</v>
      </c>
      <c r="AM9">
        <v>17.547005156550451</v>
      </c>
      <c r="AO9">
        <f t="shared" ref="AO9:BN9" si="0">AO6*1000</f>
        <v>19.640102220046764</v>
      </c>
      <c r="AP9">
        <f t="shared" si="0"/>
        <v>20.252816366619697</v>
      </c>
      <c r="AQ9">
        <f t="shared" si="0"/>
        <v>17.58245063780144</v>
      </c>
      <c r="AR9">
        <f t="shared" si="0"/>
        <v>20.043612006744556</v>
      </c>
      <c r="AS9">
        <f t="shared" si="0"/>
        <v>16.906619214331439</v>
      </c>
      <c r="AT9">
        <f t="shared" si="0"/>
        <v>18.406024890586789</v>
      </c>
      <c r="AU9">
        <f t="shared" si="0"/>
        <v>16.947158191231399</v>
      </c>
      <c r="AV9">
        <f t="shared" si="0"/>
        <v>21.879757065603012</v>
      </c>
      <c r="AW9">
        <f t="shared" si="0"/>
        <v>18.63209753512632</v>
      </c>
      <c r="AX9">
        <f t="shared" si="0"/>
        <v>15.365929942810165</v>
      </c>
      <c r="AY9">
        <f t="shared" si="0"/>
        <v>16.421376428009729</v>
      </c>
      <c r="AZ9">
        <f t="shared" si="0"/>
        <v>16.221878809791384</v>
      </c>
      <c r="BA9">
        <f t="shared" si="0"/>
        <v>16.811717224445815</v>
      </c>
      <c r="BB9">
        <f t="shared" si="0"/>
        <v>18.322148744485688</v>
      </c>
      <c r="BC9">
        <f t="shared" si="0"/>
        <v>17.008927762021376</v>
      </c>
      <c r="BD9">
        <f t="shared" si="0"/>
        <v>19.958167194903812</v>
      </c>
      <c r="BE9">
        <f t="shared" si="0"/>
        <v>14.324853362108509</v>
      </c>
      <c r="BF9">
        <f t="shared" si="0"/>
        <v>20.429299564354107</v>
      </c>
      <c r="BG9">
        <f t="shared" si="0"/>
        <v>15.725698150279031</v>
      </c>
      <c r="BH9">
        <f t="shared" si="0"/>
        <v>17.441552826756045</v>
      </c>
      <c r="BI9">
        <f t="shared" si="0"/>
        <v>18.852465269658204</v>
      </c>
      <c r="BJ9">
        <f t="shared" si="0"/>
        <v>17.479281310072444</v>
      </c>
      <c r="BK9">
        <f t="shared" si="0"/>
        <v>18.319253368519949</v>
      </c>
      <c r="BL9">
        <f t="shared" si="0"/>
        <v>17.555275003929204</v>
      </c>
      <c r="BM9">
        <f t="shared" si="0"/>
        <v>15.545987884135036</v>
      </c>
      <c r="BN9">
        <f t="shared" si="0"/>
        <v>23.083335378023875</v>
      </c>
      <c r="BO9">
        <f t="shared" ref="BO9:CD9" si="1">BO6*1000</f>
        <v>17.688781072614184</v>
      </c>
      <c r="BP9">
        <f t="shared" si="1"/>
        <v>19.366963979419019</v>
      </c>
      <c r="BQ9">
        <f t="shared" si="1"/>
        <v>22.524706571620126</v>
      </c>
      <c r="BR9">
        <f t="shared" si="1"/>
        <v>20.202878483854203</v>
      </c>
      <c r="BS9">
        <f t="shared" si="1"/>
        <v>18.425178484657721</v>
      </c>
      <c r="BT9">
        <f t="shared" si="1"/>
        <v>18.465669023677432</v>
      </c>
      <c r="BU9">
        <f t="shared" si="1"/>
        <v>15.266560563802427</v>
      </c>
      <c r="BV9">
        <f t="shared" si="1"/>
        <v>17.073975780395457</v>
      </c>
      <c r="BW9">
        <f t="shared" si="1"/>
        <v>17.265793613592386</v>
      </c>
      <c r="BX9">
        <f t="shared" si="1"/>
        <v>15.688415968291627</v>
      </c>
      <c r="BY9">
        <f t="shared" si="1"/>
        <v>19.629951316963147</v>
      </c>
      <c r="BZ9">
        <f t="shared" si="1"/>
        <v>22.027037069550552</v>
      </c>
      <c r="CA9">
        <f t="shared" si="1"/>
        <v>24.600493749993287</v>
      </c>
      <c r="CB9">
        <f t="shared" si="1"/>
        <v>16.981466165771113</v>
      </c>
      <c r="CC9">
        <f t="shared" si="1"/>
        <v>10.636742596046773</v>
      </c>
      <c r="CD9">
        <f t="shared" si="1"/>
        <v>16.697658168938357</v>
      </c>
    </row>
    <row r="10" spans="1:95" x14ac:dyDescent="0.2">
      <c r="Z10" s="5"/>
      <c r="AY10" s="3"/>
      <c r="BJ10" s="3"/>
      <c r="BK10" s="3"/>
      <c r="BL10" s="3"/>
      <c r="CQ10" s="3"/>
    </row>
    <row r="11" spans="1:95" x14ac:dyDescent="0.2">
      <c r="Z11" s="5"/>
      <c r="AY11" s="3"/>
      <c r="BJ11" s="3"/>
      <c r="BK11" s="3"/>
      <c r="BL11" s="3"/>
      <c r="CQ11" s="3"/>
    </row>
    <row r="12" spans="1:95" x14ac:dyDescent="0.2">
      <c r="Z12" s="5"/>
      <c r="AY12" s="3"/>
      <c r="BJ12" s="3"/>
      <c r="BK12" s="3"/>
      <c r="BL12" s="3"/>
      <c r="CQ12" s="3"/>
    </row>
    <row r="13" spans="1:95" x14ac:dyDescent="0.2">
      <c r="Z13" s="5"/>
      <c r="AY13" s="3"/>
      <c r="BJ13" s="3"/>
      <c r="BK13" s="3"/>
      <c r="BL13" s="3"/>
      <c r="CQ13" s="3"/>
    </row>
    <row r="14" spans="1:95" x14ac:dyDescent="0.2">
      <c r="Z14" s="5"/>
      <c r="AY14" s="3"/>
      <c r="BJ14" s="3"/>
      <c r="BK14" s="3"/>
      <c r="BL14" s="3"/>
      <c r="CQ14" s="3"/>
    </row>
    <row r="15" spans="1:95" x14ac:dyDescent="0.2">
      <c r="Z15" s="5"/>
      <c r="AY15" s="3"/>
      <c r="BJ15" s="3"/>
      <c r="BK15" s="3"/>
      <c r="BL15" s="3"/>
      <c r="CQ15" s="3"/>
    </row>
    <row r="16" spans="1:95" x14ac:dyDescent="0.2">
      <c r="Z16" s="5"/>
      <c r="AY16" s="3"/>
      <c r="BJ16" s="3"/>
      <c r="BK16" s="3"/>
      <c r="BL16" s="3"/>
      <c r="CQ16" s="3"/>
    </row>
    <row r="17" spans="26:95" x14ac:dyDescent="0.2">
      <c r="Z17" s="5"/>
      <c r="AY17" s="3"/>
      <c r="BJ17" s="3"/>
      <c r="BK17" s="3"/>
      <c r="BL17" s="3"/>
      <c r="CQ17" s="3"/>
    </row>
    <row r="18" spans="26:95" x14ac:dyDescent="0.2">
      <c r="Z18" s="5"/>
      <c r="AY18" s="3"/>
      <c r="BJ18" s="3"/>
      <c r="BK18" s="3"/>
      <c r="BL18" s="3"/>
      <c r="CQ18" s="3"/>
    </row>
    <row r="19" spans="26:95" x14ac:dyDescent="0.2">
      <c r="Z19" s="5"/>
      <c r="AY19" s="3"/>
      <c r="BJ19" s="3"/>
      <c r="BK19" s="3"/>
      <c r="BL19" s="3"/>
      <c r="CQ19" s="3"/>
    </row>
    <row r="20" spans="26:95" x14ac:dyDescent="0.2">
      <c r="Z20" s="5"/>
      <c r="AY20" s="3"/>
      <c r="BJ20" s="3"/>
      <c r="BK20" s="3"/>
      <c r="BL20" s="3"/>
      <c r="CQ20" s="3"/>
    </row>
    <row r="21" spans="26:95" x14ac:dyDescent="0.2">
      <c r="Z21" s="5"/>
      <c r="AY21" s="3"/>
      <c r="BJ21" s="3"/>
      <c r="BK21" s="3"/>
      <c r="BL21" s="3"/>
      <c r="CQ21" s="3"/>
    </row>
    <row r="22" spans="26:95" x14ac:dyDescent="0.2">
      <c r="Z22" s="5"/>
      <c r="AY22" s="3"/>
      <c r="BJ22" s="3"/>
      <c r="BK22" s="3"/>
      <c r="BL22" s="3"/>
      <c r="CQ22" s="3"/>
    </row>
    <row r="23" spans="26:95" x14ac:dyDescent="0.2">
      <c r="Z23" s="5"/>
      <c r="AY23" s="3"/>
      <c r="BJ23" s="3"/>
      <c r="BK23" s="3"/>
      <c r="BL23" s="3"/>
      <c r="CQ23" s="3"/>
    </row>
    <row r="24" spans="26:95" x14ac:dyDescent="0.2">
      <c r="CQ24" s="3"/>
    </row>
    <row r="25" spans="26:95" x14ac:dyDescent="0.2">
      <c r="BT25" s="3"/>
      <c r="CQ25" s="3"/>
    </row>
    <row r="26" spans="26:95" x14ac:dyDescent="0.2">
      <c r="BS26" s="3"/>
      <c r="BT26" s="3"/>
      <c r="CQ26" s="3"/>
    </row>
    <row r="27" spans="26:95" x14ac:dyDescent="0.2">
      <c r="BS27" s="3"/>
      <c r="BT27" s="3"/>
    </row>
    <row r="28" spans="26:95" x14ac:dyDescent="0.2">
      <c r="BS28" s="3"/>
      <c r="BT28" s="3"/>
    </row>
    <row r="29" spans="26:95" x14ac:dyDescent="0.2">
      <c r="AX29" s="3"/>
      <c r="AZ29" s="3"/>
      <c r="BA29" s="3"/>
      <c r="BC29" s="3"/>
      <c r="BI29" s="3"/>
      <c r="BJ29" s="3"/>
      <c r="BS29" s="3"/>
      <c r="BT29" s="3"/>
      <c r="BU29" s="3"/>
    </row>
    <row r="30" spans="26:95" x14ac:dyDescent="0.2">
      <c r="AX30" s="3"/>
      <c r="AZ30" s="3"/>
      <c r="BA30" s="3"/>
      <c r="BC30" s="3"/>
      <c r="BI30" s="3"/>
      <c r="BJ30" s="3"/>
      <c r="BS30" s="3"/>
      <c r="BT30" s="3"/>
      <c r="BU30" s="3"/>
    </row>
    <row r="31" spans="26:95" x14ac:dyDescent="0.2">
      <c r="AX31" s="3"/>
      <c r="AZ31" s="3"/>
      <c r="BA31" s="3"/>
      <c r="BC31" s="3"/>
      <c r="BI31" s="3"/>
      <c r="BJ31" s="3"/>
      <c r="BK31" s="3"/>
      <c r="BL31" s="3"/>
      <c r="BS31" s="3"/>
      <c r="BT31" s="3"/>
      <c r="BU31" s="3"/>
      <c r="CB31" s="3"/>
    </row>
    <row r="32" spans="26:95" x14ac:dyDescent="0.2">
      <c r="AX32" s="3"/>
      <c r="AZ32" s="3"/>
      <c r="BA32" s="3"/>
      <c r="BC32" s="3"/>
      <c r="BI32" s="3"/>
      <c r="BJ32" s="3"/>
      <c r="BK32" s="3"/>
      <c r="BL32" s="3"/>
      <c r="BS32" s="3"/>
      <c r="BT32" s="3"/>
      <c r="BU32" s="3"/>
      <c r="CB32" s="3"/>
    </row>
    <row r="33" spans="2:95" x14ac:dyDescent="0.2">
      <c r="B33" s="1"/>
    </row>
    <row r="34" spans="2:95" x14ac:dyDescent="0.2">
      <c r="B34" s="1"/>
    </row>
    <row r="35" spans="2:95" x14ac:dyDescent="0.2">
      <c r="CM35" s="6"/>
      <c r="CN35" s="6"/>
      <c r="CO35" s="6"/>
      <c r="CP35" s="6"/>
      <c r="CQ35" s="6"/>
    </row>
    <row r="37" spans="2:95" x14ac:dyDescent="0.2">
      <c r="B37" s="1"/>
    </row>
    <row r="38" spans="2:95" x14ac:dyDescent="0.2">
      <c r="B38" s="1"/>
    </row>
    <row r="39" spans="2:95" x14ac:dyDescent="0.2">
      <c r="B39" s="1"/>
    </row>
    <row r="40" spans="2:95" x14ac:dyDescent="0.2">
      <c r="B40" s="1"/>
    </row>
    <row r="41" spans="2:95" x14ac:dyDescent="0.2">
      <c r="B41" s="1"/>
    </row>
    <row r="42" spans="2:95" x14ac:dyDescent="0.2">
      <c r="B42" s="1"/>
    </row>
    <row r="43" spans="2:95" x14ac:dyDescent="0.2">
      <c r="B43" s="1"/>
    </row>
    <row r="44" spans="2:95" x14ac:dyDescent="0.2">
      <c r="B44" s="1"/>
    </row>
    <row r="45" spans="2:95" x14ac:dyDescent="0.2">
      <c r="B45" s="1"/>
    </row>
    <row r="46" spans="2:95" x14ac:dyDescent="0.2">
      <c r="BK46" s="3"/>
      <c r="BL46" s="3"/>
      <c r="CB46" s="3"/>
    </row>
    <row r="47" spans="2:95" x14ac:dyDescent="0.2">
      <c r="BK47" s="3"/>
      <c r="BL47" s="3"/>
      <c r="CB47" s="3"/>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9"/>
  <sheetViews>
    <sheetView workbookViewId="0"/>
  </sheetViews>
  <sheetFormatPr baseColWidth="10" defaultColWidth="8.83203125" defaultRowHeight="15" x14ac:dyDescent="0.2"/>
  <cols>
    <col min="1" max="1" width="21.6640625" style="3" bestFit="1" customWidth="1"/>
  </cols>
  <sheetData>
    <row r="1" spans="1:6" x14ac:dyDescent="0.2">
      <c r="A1" s="2" t="s">
        <v>4</v>
      </c>
      <c r="F1" s="1"/>
    </row>
    <row r="2" spans="1:6" x14ac:dyDescent="0.2">
      <c r="A2" s="2" t="s">
        <v>3</v>
      </c>
    </row>
    <row r="3" spans="1:6" x14ac:dyDescent="0.2">
      <c r="A3" s="2" t="s">
        <v>2</v>
      </c>
    </row>
    <row r="4" spans="1:6" x14ac:dyDescent="0.2">
      <c r="A4" s="3" t="s">
        <v>1</v>
      </c>
    </row>
    <row r="5" spans="1:6" x14ac:dyDescent="0.2">
      <c r="A5" s="3" t="s">
        <v>0</v>
      </c>
    </row>
    <row r="6" spans="1:6" x14ac:dyDescent="0.2">
      <c r="A6" s="3" t="s">
        <v>5</v>
      </c>
    </row>
    <row r="7" spans="1:6" x14ac:dyDescent="0.2">
      <c r="A7" s="3">
        <v>-100</v>
      </c>
    </row>
    <row r="8" spans="1:6" x14ac:dyDescent="0.2">
      <c r="A8" s="3">
        <v>-90</v>
      </c>
    </row>
    <row r="9" spans="1:6" x14ac:dyDescent="0.2">
      <c r="A9" s="3">
        <v>-80</v>
      </c>
    </row>
    <row r="10" spans="1:6" x14ac:dyDescent="0.2">
      <c r="A10" s="3">
        <f>A9+10</f>
        <v>-70</v>
      </c>
    </row>
    <row r="11" spans="1:6" x14ac:dyDescent="0.2">
      <c r="A11" s="3">
        <f t="shared" ref="A11:A29" si="0">A10+10</f>
        <v>-60</v>
      </c>
    </row>
    <row r="12" spans="1:6" x14ac:dyDescent="0.2">
      <c r="A12" s="3">
        <f t="shared" si="0"/>
        <v>-50</v>
      </c>
    </row>
    <row r="13" spans="1:6" x14ac:dyDescent="0.2">
      <c r="A13" s="3">
        <f t="shared" si="0"/>
        <v>-40</v>
      </c>
    </row>
    <row r="14" spans="1:6" x14ac:dyDescent="0.2">
      <c r="A14" s="3">
        <f t="shared" si="0"/>
        <v>-30</v>
      </c>
    </row>
    <row r="15" spans="1:6" x14ac:dyDescent="0.2">
      <c r="A15" s="3">
        <f t="shared" si="0"/>
        <v>-20</v>
      </c>
    </row>
    <row r="16" spans="1:6" x14ac:dyDescent="0.2">
      <c r="A16" s="3">
        <f t="shared" si="0"/>
        <v>-10</v>
      </c>
    </row>
    <row r="17" spans="1:1" x14ac:dyDescent="0.2">
      <c r="A17" s="3">
        <f t="shared" si="0"/>
        <v>0</v>
      </c>
    </row>
    <row r="18" spans="1:1" x14ac:dyDescent="0.2">
      <c r="A18" s="3">
        <f t="shared" si="0"/>
        <v>10</v>
      </c>
    </row>
    <row r="19" spans="1:1" x14ac:dyDescent="0.2">
      <c r="A19" s="3">
        <f t="shared" si="0"/>
        <v>20</v>
      </c>
    </row>
    <row r="20" spans="1:1" x14ac:dyDescent="0.2">
      <c r="A20" s="3">
        <f t="shared" si="0"/>
        <v>30</v>
      </c>
    </row>
    <row r="21" spans="1:1" x14ac:dyDescent="0.2">
      <c r="A21" s="3">
        <f t="shared" si="0"/>
        <v>40</v>
      </c>
    </row>
    <row r="22" spans="1:1" x14ac:dyDescent="0.2">
      <c r="A22" s="3">
        <f t="shared" si="0"/>
        <v>50</v>
      </c>
    </row>
    <row r="23" spans="1:1" x14ac:dyDescent="0.2">
      <c r="A23" s="3">
        <f t="shared" si="0"/>
        <v>60</v>
      </c>
    </row>
    <row r="24" spans="1:1" x14ac:dyDescent="0.2">
      <c r="A24" s="3">
        <f t="shared" si="0"/>
        <v>70</v>
      </c>
    </row>
    <row r="25" spans="1:1" x14ac:dyDescent="0.2">
      <c r="A25" s="3">
        <f t="shared" si="0"/>
        <v>80</v>
      </c>
    </row>
    <row r="26" spans="1:1" x14ac:dyDescent="0.2">
      <c r="A26" s="3">
        <f t="shared" si="0"/>
        <v>90</v>
      </c>
    </row>
    <row r="27" spans="1:1" x14ac:dyDescent="0.2">
      <c r="A27" s="3">
        <f>A26+10</f>
        <v>100</v>
      </c>
    </row>
    <row r="28" spans="1:1" x14ac:dyDescent="0.2">
      <c r="A28" s="3">
        <f t="shared" si="0"/>
        <v>110</v>
      </c>
    </row>
    <row r="29" spans="1:1" x14ac:dyDescent="0.2">
      <c r="A29" s="3">
        <f t="shared" si="0"/>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9"/>
  <sheetViews>
    <sheetView workbookViewId="0"/>
  </sheetViews>
  <sheetFormatPr baseColWidth="10" defaultColWidth="8.83203125" defaultRowHeight="15" x14ac:dyDescent="0.2"/>
  <cols>
    <col min="1" max="1" width="21.6640625" style="3" bestFit="1" customWidth="1"/>
  </cols>
  <sheetData>
    <row r="1" spans="1:6" x14ac:dyDescent="0.2">
      <c r="A1" s="2" t="s">
        <v>4</v>
      </c>
      <c r="F1" s="1"/>
    </row>
    <row r="2" spans="1:6" x14ac:dyDescent="0.2">
      <c r="A2" s="2" t="s">
        <v>3</v>
      </c>
    </row>
    <row r="3" spans="1:6" x14ac:dyDescent="0.2">
      <c r="A3" s="2" t="s">
        <v>2</v>
      </c>
    </row>
    <row r="4" spans="1:6" x14ac:dyDescent="0.2">
      <c r="A4" s="3" t="s">
        <v>1</v>
      </c>
    </row>
    <row r="5" spans="1:6" x14ac:dyDescent="0.2">
      <c r="A5" s="3" t="s">
        <v>0</v>
      </c>
    </row>
    <row r="6" spans="1:6" x14ac:dyDescent="0.2">
      <c r="A6" s="3" t="s">
        <v>5</v>
      </c>
    </row>
    <row r="7" spans="1:6" x14ac:dyDescent="0.2">
      <c r="A7" s="3">
        <v>-100</v>
      </c>
    </row>
    <row r="8" spans="1:6" x14ac:dyDescent="0.2">
      <c r="A8" s="3">
        <v>-90</v>
      </c>
    </row>
    <row r="9" spans="1:6" x14ac:dyDescent="0.2">
      <c r="A9" s="3">
        <v>-80</v>
      </c>
    </row>
    <row r="10" spans="1:6" x14ac:dyDescent="0.2">
      <c r="A10" s="3">
        <f>A9+10</f>
        <v>-70</v>
      </c>
    </row>
    <row r="11" spans="1:6" x14ac:dyDescent="0.2">
      <c r="A11" s="3">
        <f t="shared" ref="A11:A29" si="0">A10+10</f>
        <v>-60</v>
      </c>
    </row>
    <row r="12" spans="1:6" x14ac:dyDescent="0.2">
      <c r="A12" s="3">
        <f t="shared" si="0"/>
        <v>-50</v>
      </c>
    </row>
    <row r="13" spans="1:6" x14ac:dyDescent="0.2">
      <c r="A13" s="3">
        <f t="shared" si="0"/>
        <v>-40</v>
      </c>
    </row>
    <row r="14" spans="1:6" x14ac:dyDescent="0.2">
      <c r="A14" s="3">
        <f t="shared" si="0"/>
        <v>-30</v>
      </c>
    </row>
    <row r="15" spans="1:6" x14ac:dyDescent="0.2">
      <c r="A15" s="3">
        <f t="shared" si="0"/>
        <v>-20</v>
      </c>
    </row>
    <row r="16" spans="1:6" x14ac:dyDescent="0.2">
      <c r="A16" s="3">
        <f t="shared" si="0"/>
        <v>-10</v>
      </c>
    </row>
    <row r="17" spans="1:1" x14ac:dyDescent="0.2">
      <c r="A17" s="3">
        <f t="shared" si="0"/>
        <v>0</v>
      </c>
    </row>
    <row r="18" spans="1:1" x14ac:dyDescent="0.2">
      <c r="A18" s="3">
        <f t="shared" si="0"/>
        <v>10</v>
      </c>
    </row>
    <row r="19" spans="1:1" x14ac:dyDescent="0.2">
      <c r="A19" s="3">
        <f t="shared" si="0"/>
        <v>20</v>
      </c>
    </row>
    <row r="20" spans="1:1" x14ac:dyDescent="0.2">
      <c r="A20" s="3">
        <f t="shared" si="0"/>
        <v>30</v>
      </c>
    </row>
    <row r="21" spans="1:1" x14ac:dyDescent="0.2">
      <c r="A21" s="3">
        <f t="shared" si="0"/>
        <v>40</v>
      </c>
    </row>
    <row r="22" spans="1:1" x14ac:dyDescent="0.2">
      <c r="A22" s="3">
        <f t="shared" si="0"/>
        <v>50</v>
      </c>
    </row>
    <row r="23" spans="1:1" x14ac:dyDescent="0.2">
      <c r="A23" s="3">
        <f t="shared" si="0"/>
        <v>60</v>
      </c>
    </row>
    <row r="24" spans="1:1" x14ac:dyDescent="0.2">
      <c r="A24" s="3">
        <f t="shared" si="0"/>
        <v>70</v>
      </c>
    </row>
    <row r="25" spans="1:1" x14ac:dyDescent="0.2">
      <c r="A25" s="3">
        <f t="shared" si="0"/>
        <v>80</v>
      </c>
    </row>
    <row r="26" spans="1:1" x14ac:dyDescent="0.2">
      <c r="A26" s="3">
        <f t="shared" si="0"/>
        <v>90</v>
      </c>
    </row>
    <row r="27" spans="1:1" x14ac:dyDescent="0.2">
      <c r="A27" s="3">
        <f>A26+10</f>
        <v>100</v>
      </c>
    </row>
    <row r="28" spans="1:1" x14ac:dyDescent="0.2">
      <c r="A28" s="3">
        <f t="shared" si="0"/>
        <v>110</v>
      </c>
    </row>
    <row r="29" spans="1:1" x14ac:dyDescent="0.2">
      <c r="A29" s="3">
        <f t="shared" si="0"/>
        <v>120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9"/>
  <sheetViews>
    <sheetView workbookViewId="0"/>
  </sheetViews>
  <sheetFormatPr baseColWidth="10" defaultColWidth="8.83203125" defaultRowHeight="15" x14ac:dyDescent="0.2"/>
  <cols>
    <col min="1" max="1" width="21.6640625" style="3" bestFit="1" customWidth="1"/>
  </cols>
  <sheetData>
    <row r="1" spans="1:6" x14ac:dyDescent="0.2">
      <c r="A1" s="2" t="s">
        <v>4</v>
      </c>
      <c r="F1" s="1"/>
    </row>
    <row r="2" spans="1:6" x14ac:dyDescent="0.2">
      <c r="A2" s="2" t="s">
        <v>3</v>
      </c>
    </row>
    <row r="3" spans="1:6" x14ac:dyDescent="0.2">
      <c r="A3" s="2" t="s">
        <v>2</v>
      </c>
    </row>
    <row r="4" spans="1:6" x14ac:dyDescent="0.2">
      <c r="A4" s="3" t="s">
        <v>1</v>
      </c>
    </row>
    <row r="5" spans="1:6" x14ac:dyDescent="0.2">
      <c r="A5" s="3" t="s">
        <v>0</v>
      </c>
    </row>
    <row r="6" spans="1:6" x14ac:dyDescent="0.2">
      <c r="A6" s="3" t="s">
        <v>5</v>
      </c>
    </row>
    <row r="7" spans="1:6" x14ac:dyDescent="0.2">
      <c r="A7" s="3">
        <v>-100</v>
      </c>
    </row>
    <row r="8" spans="1:6" x14ac:dyDescent="0.2">
      <c r="A8" s="3">
        <v>-90</v>
      </c>
    </row>
    <row r="9" spans="1:6" x14ac:dyDescent="0.2">
      <c r="A9" s="3">
        <v>-80</v>
      </c>
    </row>
    <row r="10" spans="1:6" x14ac:dyDescent="0.2">
      <c r="A10" s="3">
        <f>A9+10</f>
        <v>-70</v>
      </c>
    </row>
    <row r="11" spans="1:6" x14ac:dyDescent="0.2">
      <c r="A11" s="3">
        <f t="shared" ref="A11:A29" si="0">A10+10</f>
        <v>-60</v>
      </c>
    </row>
    <row r="12" spans="1:6" x14ac:dyDescent="0.2">
      <c r="A12" s="3">
        <f t="shared" si="0"/>
        <v>-50</v>
      </c>
    </row>
    <row r="13" spans="1:6" x14ac:dyDescent="0.2">
      <c r="A13" s="3">
        <f t="shared" si="0"/>
        <v>-40</v>
      </c>
    </row>
    <row r="14" spans="1:6" x14ac:dyDescent="0.2">
      <c r="A14" s="3">
        <f t="shared" si="0"/>
        <v>-30</v>
      </c>
    </row>
    <row r="15" spans="1:6" x14ac:dyDescent="0.2">
      <c r="A15" s="3">
        <f t="shared" si="0"/>
        <v>-20</v>
      </c>
    </row>
    <row r="16" spans="1:6" x14ac:dyDescent="0.2">
      <c r="A16" s="3">
        <f t="shared" si="0"/>
        <v>-10</v>
      </c>
    </row>
    <row r="17" spans="1:1" x14ac:dyDescent="0.2">
      <c r="A17" s="3">
        <f t="shared" si="0"/>
        <v>0</v>
      </c>
    </row>
    <row r="18" spans="1:1" x14ac:dyDescent="0.2">
      <c r="A18" s="3">
        <f t="shared" si="0"/>
        <v>10</v>
      </c>
    </row>
    <row r="19" spans="1:1" x14ac:dyDescent="0.2">
      <c r="A19" s="3">
        <f t="shared" si="0"/>
        <v>20</v>
      </c>
    </row>
    <row r="20" spans="1:1" x14ac:dyDescent="0.2">
      <c r="A20" s="3">
        <f t="shared" si="0"/>
        <v>30</v>
      </c>
    </row>
    <row r="21" spans="1:1" x14ac:dyDescent="0.2">
      <c r="A21" s="3">
        <f t="shared" si="0"/>
        <v>40</v>
      </c>
    </row>
    <row r="22" spans="1:1" x14ac:dyDescent="0.2">
      <c r="A22" s="3">
        <f t="shared" si="0"/>
        <v>50</v>
      </c>
    </row>
    <row r="23" spans="1:1" x14ac:dyDescent="0.2">
      <c r="A23" s="3">
        <f t="shared" si="0"/>
        <v>60</v>
      </c>
    </row>
    <row r="24" spans="1:1" x14ac:dyDescent="0.2">
      <c r="A24" s="3">
        <f t="shared" si="0"/>
        <v>70</v>
      </c>
    </row>
    <row r="25" spans="1:1" x14ac:dyDescent="0.2">
      <c r="A25" s="3">
        <f t="shared" si="0"/>
        <v>80</v>
      </c>
    </row>
    <row r="26" spans="1:1" x14ac:dyDescent="0.2">
      <c r="A26" s="3">
        <f t="shared" si="0"/>
        <v>90</v>
      </c>
    </row>
    <row r="27" spans="1:1" x14ac:dyDescent="0.2">
      <c r="A27" s="3">
        <f>A26+10</f>
        <v>100</v>
      </c>
    </row>
    <row r="28" spans="1:1" x14ac:dyDescent="0.2">
      <c r="A28" s="3">
        <f t="shared" si="0"/>
        <v>110</v>
      </c>
    </row>
    <row r="29" spans="1:1" x14ac:dyDescent="0.2">
      <c r="A29" s="3">
        <f t="shared" si="0"/>
        <v>120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D10"/>
  <sheetViews>
    <sheetView workbookViewId="0"/>
  </sheetViews>
  <sheetFormatPr baseColWidth="10" defaultColWidth="8.83203125" defaultRowHeight="15" x14ac:dyDescent="0.2"/>
  <cols>
    <col min="1" max="1" width="24.1640625" style="3" bestFit="1" customWidth="1"/>
  </cols>
  <sheetData>
    <row r="1" spans="1:82" x14ac:dyDescent="0.2">
      <c r="A1" s="3" t="s">
        <v>0</v>
      </c>
      <c r="B1" t="s">
        <v>29</v>
      </c>
      <c r="C1" t="s">
        <v>30</v>
      </c>
      <c r="D1" t="s">
        <v>31</v>
      </c>
      <c r="E1" t="s">
        <v>32</v>
      </c>
      <c r="F1" t="s">
        <v>33</v>
      </c>
      <c r="G1" t="s">
        <v>34</v>
      </c>
      <c r="H1" t="s">
        <v>35</v>
      </c>
      <c r="I1" t="s">
        <v>36</v>
      </c>
      <c r="J1" t="s">
        <v>37</v>
      </c>
      <c r="K1" t="s">
        <v>38</v>
      </c>
      <c r="L1" t="s">
        <v>39</v>
      </c>
      <c r="M1" t="s">
        <v>40</v>
      </c>
      <c r="N1" t="s">
        <v>41</v>
      </c>
      <c r="O1" t="s">
        <v>42</v>
      </c>
      <c r="P1" t="s">
        <v>43</v>
      </c>
      <c r="Q1" t="s">
        <v>44</v>
      </c>
      <c r="R1" t="s">
        <v>45</v>
      </c>
      <c r="S1" t="s">
        <v>46</v>
      </c>
      <c r="T1" t="s">
        <v>47</v>
      </c>
      <c r="U1" t="s">
        <v>48</v>
      </c>
      <c r="V1" t="s">
        <v>96</v>
      </c>
      <c r="W1" t="s">
        <v>49</v>
      </c>
      <c r="X1" t="s">
        <v>50</v>
      </c>
      <c r="Y1" t="s">
        <v>51</v>
      </c>
      <c r="Z1" t="s">
        <v>52</v>
      </c>
      <c r="AA1" t="s">
        <v>53</v>
      </c>
      <c r="AB1" t="s">
        <v>54</v>
      </c>
      <c r="AC1" t="s">
        <v>55</v>
      </c>
      <c r="AD1" t="s">
        <v>56</v>
      </c>
      <c r="AE1" t="s">
        <v>57</v>
      </c>
      <c r="AF1" t="s">
        <v>58</v>
      </c>
      <c r="AG1" t="s">
        <v>59</v>
      </c>
      <c r="AH1" t="s">
        <v>60</v>
      </c>
      <c r="AI1" t="s">
        <v>61</v>
      </c>
      <c r="AJ1" t="s">
        <v>62</v>
      </c>
      <c r="AK1" t="s">
        <v>63</v>
      </c>
      <c r="AL1" t="s">
        <v>64</v>
      </c>
      <c r="AM1" t="s">
        <v>65</v>
      </c>
      <c r="AN1" t="s">
        <v>66</v>
      </c>
      <c r="AO1" t="s">
        <v>67</v>
      </c>
      <c r="AP1" t="s">
        <v>68</v>
      </c>
      <c r="AQ1" t="s">
        <v>69</v>
      </c>
      <c r="AR1" t="s">
        <v>70</v>
      </c>
      <c r="AS1" t="s">
        <v>71</v>
      </c>
      <c r="AT1" t="s">
        <v>121</v>
      </c>
      <c r="AU1" t="s">
        <v>122</v>
      </c>
      <c r="AV1" t="s">
        <v>125</v>
      </c>
      <c r="AW1" t="s">
        <v>147</v>
      </c>
      <c r="AX1" t="s">
        <v>148</v>
      </c>
      <c r="AY1" t="s">
        <v>149</v>
      </c>
      <c r="AZ1" t="s">
        <v>150</v>
      </c>
      <c r="BA1" t="s">
        <v>151</v>
      </c>
      <c r="BB1" t="s">
        <v>152</v>
      </c>
      <c r="BC1" t="s">
        <v>153</v>
      </c>
      <c r="BD1" t="s">
        <v>154</v>
      </c>
      <c r="BE1" t="s">
        <v>141</v>
      </c>
      <c r="BF1" t="s">
        <v>142</v>
      </c>
      <c r="BG1" t="s">
        <v>143</v>
      </c>
      <c r="BH1" t="s">
        <v>144</v>
      </c>
      <c r="BI1" t="s">
        <v>145</v>
      </c>
      <c r="BJ1" t="s">
        <v>146</v>
      </c>
      <c r="BK1" t="s">
        <v>177</v>
      </c>
      <c r="BL1" t="s">
        <v>179</v>
      </c>
      <c r="BM1" t="s">
        <v>180</v>
      </c>
      <c r="BN1" t="s">
        <v>181</v>
      </c>
      <c r="BO1" t="s">
        <v>181</v>
      </c>
      <c r="BP1" t="s">
        <v>181</v>
      </c>
      <c r="BQ1" t="s">
        <v>182</v>
      </c>
      <c r="BR1" t="s">
        <v>183</v>
      </c>
      <c r="BS1" t="s">
        <v>184</v>
      </c>
      <c r="BT1" t="s">
        <v>185</v>
      </c>
      <c r="BU1" t="s">
        <v>186</v>
      </c>
      <c r="BV1" t="s">
        <v>170</v>
      </c>
      <c r="BW1" t="s">
        <v>171</v>
      </c>
      <c r="BX1" t="s">
        <v>172</v>
      </c>
      <c r="BY1" t="s">
        <v>173</v>
      </c>
      <c r="BZ1" t="s">
        <v>174</v>
      </c>
      <c r="CA1" t="s">
        <v>175</v>
      </c>
      <c r="CB1" t="s">
        <v>176</v>
      </c>
      <c r="CC1" t="s">
        <v>178</v>
      </c>
      <c r="CD1" t="s">
        <v>189</v>
      </c>
    </row>
    <row r="2" spans="1:82" x14ac:dyDescent="0.2">
      <c r="A2" s="3" t="s">
        <v>334</v>
      </c>
      <c r="B2">
        <v>-7092.24853515625</v>
      </c>
      <c r="C2">
        <v>-1008.77575683593</v>
      </c>
      <c r="D2">
        <v>-3050.23510742187</v>
      </c>
      <c r="E2">
        <v>-3896.03735351562</v>
      </c>
      <c r="F2">
        <v>-3554.17529296875</v>
      </c>
      <c r="G2">
        <v>-2015.2071838378831</v>
      </c>
      <c r="H2">
        <v>-2016.982421875</v>
      </c>
      <c r="I2">
        <v>-1983.22094726562</v>
      </c>
      <c r="J2">
        <v>-1923.50500488281</v>
      </c>
      <c r="K2">
        <v>-3719.7826035916805</v>
      </c>
      <c r="L2">
        <v>-1056.11608886718</v>
      </c>
      <c r="M2">
        <v>-2639.62377929687</v>
      </c>
      <c r="N2">
        <v>-1585.70617675781</v>
      </c>
      <c r="O2">
        <v>-1442.55212402343</v>
      </c>
      <c r="P2">
        <v>-1621.3935546875</v>
      </c>
      <c r="Q2">
        <v>-1498.87731933593</v>
      </c>
      <c r="R2">
        <v>-1249.88500976562</v>
      </c>
      <c r="S2">
        <v>-1033.18774414062</v>
      </c>
      <c r="T2">
        <v>-880.74572753906205</v>
      </c>
      <c r="U2">
        <v>-1022.71356201171</v>
      </c>
      <c r="V2">
        <v>-829.68170166015602</v>
      </c>
      <c r="W2">
        <v>-834.70147705078102</v>
      </c>
      <c r="X2">
        <v>-807.79217529296795</v>
      </c>
      <c r="Y2">
        <v>-851.74560546875</v>
      </c>
      <c r="Z2">
        <v>-668.92657470703102</v>
      </c>
      <c r="AA2">
        <v>-667.23297119140602</v>
      </c>
      <c r="AB2">
        <v>-724.89862060546795</v>
      </c>
      <c r="AC2">
        <v>-1578.10717773437</v>
      </c>
      <c r="AD2">
        <v>-658.77099609375</v>
      </c>
      <c r="AE2">
        <v>-658.92181396484295</v>
      </c>
      <c r="AF2">
        <v>-623.001220703125</v>
      </c>
      <c r="AG2">
        <v>-582.72412109375</v>
      </c>
      <c r="AH2">
        <v>-643.32318115234295</v>
      </c>
      <c r="AI2">
        <v>-488.23602294921801</v>
      </c>
      <c r="AJ2">
        <v>-511.00048828125</v>
      </c>
      <c r="AK2">
        <v>-465.76852416992102</v>
      </c>
      <c r="AL2">
        <v>-380.48046875</v>
      </c>
      <c r="AM2">
        <v>-351.60711669921801</v>
      </c>
      <c r="AN2">
        <v>-540.71728515625</v>
      </c>
      <c r="AO2">
        <v>-287.28729248046801</v>
      </c>
      <c r="AP2">
        <v>-199.58590698242099</v>
      </c>
      <c r="AQ2">
        <v>-181.74948120117099</v>
      </c>
      <c r="AR2">
        <v>-138.13587951660099</v>
      </c>
      <c r="AS2">
        <v>-205.64947509765599</v>
      </c>
      <c r="AT2">
        <v>-262.17529805501226</v>
      </c>
      <c r="AU2">
        <v>-710.62213134765602</v>
      </c>
      <c r="AV2">
        <v>-202.67994232177685</v>
      </c>
      <c r="AW2">
        <v>-1259.16442871093</v>
      </c>
      <c r="AX2">
        <v>-1878.30895996093</v>
      </c>
      <c r="AY2">
        <v>-1228.71643066406</v>
      </c>
      <c r="AZ2">
        <v>-719.716064453125</v>
      </c>
      <c r="BA2">
        <v>-701.47442022959331</v>
      </c>
      <c r="BB2">
        <v>-238.648834228515</v>
      </c>
      <c r="BC2">
        <v>-425.69692802429182</v>
      </c>
      <c r="BD2">
        <v>-444.202392578125</v>
      </c>
      <c r="BE2">
        <v>-405.83609008789</v>
      </c>
      <c r="BF2">
        <v>-245.05612182617099</v>
      </c>
      <c r="BG2">
        <v>-636.06451416015602</v>
      </c>
      <c r="BH2">
        <v>-134.95062255859301</v>
      </c>
      <c r="BI2">
        <v>-163.615966796875</v>
      </c>
      <c r="BJ2">
        <v>-166.67173862457187</v>
      </c>
      <c r="BK2">
        <v>-1253.5960853386482</v>
      </c>
      <c r="BL2">
        <v>-562.91259765625</v>
      </c>
      <c r="BM2">
        <v>-430.28158569335898</v>
      </c>
      <c r="BN2">
        <v>-473.166900634765</v>
      </c>
      <c r="BO2">
        <v>-524.85577392578102</v>
      </c>
      <c r="BP2">
        <v>-523.5556640625</v>
      </c>
      <c r="BQ2">
        <v>-445.917724609375</v>
      </c>
      <c r="BR2">
        <v>-465.91846720377572</v>
      </c>
      <c r="BS2">
        <v>-767.74268798827995</v>
      </c>
      <c r="BT2">
        <v>-344.938863118489</v>
      </c>
      <c r="BU2">
        <v>-299.99444580078102</v>
      </c>
      <c r="BV2">
        <v>-284.01452636718699</v>
      </c>
      <c r="BW2">
        <v>-308.277587890625</v>
      </c>
      <c r="BX2">
        <v>-324.96003656387245</v>
      </c>
      <c r="BY2">
        <v>-258.53070068359301</v>
      </c>
      <c r="BZ2">
        <v>-124.72621154785099</v>
      </c>
      <c r="CA2">
        <v>-159.9383430480955</v>
      </c>
      <c r="CB2">
        <v>-106.21609560648574</v>
      </c>
      <c r="CC2">
        <v>-197.92558288574151</v>
      </c>
      <c r="CD2">
        <v>-144.70572471618587</v>
      </c>
    </row>
    <row r="3" spans="1:82" x14ac:dyDescent="0.2">
      <c r="A3" s="3" t="s">
        <v>335</v>
      </c>
      <c r="B3" s="1">
        <v>10</v>
      </c>
      <c r="C3" s="1">
        <v>0</v>
      </c>
      <c r="D3" s="1">
        <v>10</v>
      </c>
      <c r="E3" s="1">
        <v>0</v>
      </c>
      <c r="F3" s="1">
        <v>10</v>
      </c>
      <c r="G3" s="1">
        <v>10</v>
      </c>
      <c r="H3" s="1">
        <v>10</v>
      </c>
      <c r="I3" s="1">
        <v>-10</v>
      </c>
      <c r="J3" s="1">
        <v>0</v>
      </c>
      <c r="K3" s="1">
        <v>10</v>
      </c>
      <c r="L3" s="1">
        <v>10</v>
      </c>
      <c r="M3" s="1">
        <v>0</v>
      </c>
      <c r="N3" s="1">
        <v>-10</v>
      </c>
      <c r="O3" s="1">
        <v>0</v>
      </c>
      <c r="P3" s="1">
        <v>10</v>
      </c>
      <c r="Q3" s="1">
        <v>10</v>
      </c>
      <c r="R3" s="1">
        <v>20</v>
      </c>
      <c r="S3" s="1">
        <v>0</v>
      </c>
      <c r="T3" s="1">
        <v>0</v>
      </c>
      <c r="U3" s="1">
        <v>0</v>
      </c>
      <c r="V3" s="1">
        <v>10</v>
      </c>
      <c r="W3" s="1">
        <v>10</v>
      </c>
      <c r="X3" s="1">
        <v>0</v>
      </c>
      <c r="Y3" s="1">
        <v>10</v>
      </c>
      <c r="Z3" s="1">
        <v>10</v>
      </c>
      <c r="AA3" s="1">
        <v>10</v>
      </c>
      <c r="AB3" s="1">
        <v>0</v>
      </c>
      <c r="AC3" s="1">
        <v>0</v>
      </c>
      <c r="AD3" s="1">
        <v>20</v>
      </c>
      <c r="AE3" s="1">
        <v>20</v>
      </c>
      <c r="AF3" s="1">
        <v>10</v>
      </c>
      <c r="AG3" s="1">
        <v>10</v>
      </c>
      <c r="AH3" s="1">
        <v>10</v>
      </c>
      <c r="AI3" s="1">
        <v>10</v>
      </c>
      <c r="AJ3" s="1">
        <v>10</v>
      </c>
      <c r="AK3" s="1">
        <v>0</v>
      </c>
      <c r="AL3" s="1">
        <v>10</v>
      </c>
      <c r="AM3" s="1">
        <v>10</v>
      </c>
      <c r="AN3" s="1">
        <v>20</v>
      </c>
      <c r="AO3" s="1">
        <v>10</v>
      </c>
      <c r="AP3" s="1">
        <v>10</v>
      </c>
      <c r="AQ3" s="1">
        <v>10</v>
      </c>
      <c r="AR3" s="1">
        <v>10</v>
      </c>
      <c r="AS3" s="1">
        <v>10</v>
      </c>
      <c r="AT3" s="1">
        <v>10</v>
      </c>
      <c r="AU3" s="1">
        <v>10</v>
      </c>
      <c r="AV3" s="1">
        <v>20</v>
      </c>
      <c r="AW3" s="1">
        <v>10</v>
      </c>
      <c r="AX3" s="1">
        <v>0</v>
      </c>
      <c r="AY3" s="1">
        <v>0</v>
      </c>
      <c r="AZ3" s="1">
        <v>10</v>
      </c>
      <c r="BA3" s="1">
        <v>10</v>
      </c>
      <c r="BB3" s="1">
        <v>10</v>
      </c>
      <c r="BC3" s="1">
        <v>10</v>
      </c>
      <c r="BD3" s="1">
        <v>10</v>
      </c>
      <c r="BE3" s="1">
        <v>10</v>
      </c>
      <c r="BF3" s="1">
        <v>20</v>
      </c>
      <c r="BG3" s="1">
        <v>20</v>
      </c>
      <c r="BH3" s="1">
        <v>10</v>
      </c>
      <c r="BI3" s="1">
        <v>10</v>
      </c>
      <c r="BJ3" s="1">
        <v>10</v>
      </c>
      <c r="BK3" s="1">
        <v>10</v>
      </c>
      <c r="BL3" s="1">
        <v>10</v>
      </c>
      <c r="BM3" s="1">
        <v>20</v>
      </c>
      <c r="BN3" s="1">
        <v>10</v>
      </c>
      <c r="BO3" s="1">
        <v>0</v>
      </c>
      <c r="BP3" s="1">
        <v>10</v>
      </c>
      <c r="BQ3" s="1">
        <v>10</v>
      </c>
      <c r="BR3" s="1">
        <v>10</v>
      </c>
      <c r="BS3" s="1">
        <v>0</v>
      </c>
      <c r="BT3" s="1">
        <v>10</v>
      </c>
      <c r="BU3" s="1">
        <v>10</v>
      </c>
      <c r="BV3" s="1">
        <v>10</v>
      </c>
      <c r="BW3" s="1">
        <v>20</v>
      </c>
      <c r="BX3" s="1">
        <v>10</v>
      </c>
      <c r="BY3" s="1">
        <v>10</v>
      </c>
      <c r="BZ3" s="1">
        <v>10</v>
      </c>
      <c r="CA3" s="1">
        <v>10</v>
      </c>
      <c r="CB3" s="1">
        <v>10</v>
      </c>
      <c r="CC3" s="1">
        <v>30</v>
      </c>
      <c r="CD3" s="1">
        <v>10</v>
      </c>
    </row>
    <row r="4" spans="1:82" x14ac:dyDescent="0.2">
      <c r="A4" s="3" t="s">
        <v>336</v>
      </c>
      <c r="B4" s="1">
        <v>-122.28014715786638</v>
      </c>
      <c r="C4" s="1">
        <v>-14.834937600528383</v>
      </c>
      <c r="D4" s="1">
        <v>-52.59026047279086</v>
      </c>
      <c r="E4" s="1">
        <v>-57.294666963464998</v>
      </c>
      <c r="F4" s="1">
        <v>-61.278884361530174</v>
      </c>
      <c r="G4" s="1">
        <v>-34.744951445480744</v>
      </c>
      <c r="H4" s="1">
        <v>-34.775558997844826</v>
      </c>
      <c r="I4" s="1">
        <v>-25.425909580328462</v>
      </c>
      <c r="J4" s="1">
        <v>-28.286838307100147</v>
      </c>
      <c r="K4" s="1">
        <v>-64.134182820546215</v>
      </c>
      <c r="L4" s="1">
        <v>-18.208898083916896</v>
      </c>
      <c r="M4" s="1">
        <v>-38.817996754365737</v>
      </c>
      <c r="N4" s="1">
        <v>-20.329566368689871</v>
      </c>
      <c r="O4" s="1">
        <v>-21.214001823873971</v>
      </c>
      <c r="P4" s="1">
        <v>-27.955061287715516</v>
      </c>
      <c r="Q4" s="1">
        <v>-25.842712402343622</v>
      </c>
      <c r="R4" s="1">
        <v>-26.039271036783749</v>
      </c>
      <c r="S4" s="1">
        <v>-15.193937413832646</v>
      </c>
      <c r="T4" s="1">
        <v>-12.952143052045031</v>
      </c>
      <c r="U4" s="1">
        <v>-15.039905323701618</v>
      </c>
      <c r="V4" s="1">
        <v>-14.304856925175104</v>
      </c>
      <c r="W4" s="1">
        <v>-14.391404776737604</v>
      </c>
      <c r="X4" s="1">
        <v>-11.879296695484824</v>
      </c>
      <c r="Y4" s="1">
        <v>-14.685269059806034</v>
      </c>
      <c r="Z4" s="1">
        <v>-11.533216805293637</v>
      </c>
      <c r="AA4" s="1">
        <v>-11.504016744679415</v>
      </c>
      <c r="AB4" s="1">
        <v>-10.660273832433353</v>
      </c>
      <c r="AC4" s="1">
        <v>-23.207458496093675</v>
      </c>
      <c r="AD4" s="1">
        <v>-13.724395751953125</v>
      </c>
      <c r="AE4" s="1">
        <v>-13.727537790934228</v>
      </c>
      <c r="AF4" s="1">
        <v>-10.741400356950431</v>
      </c>
      <c r="AG4" s="1">
        <v>-10.046967605064655</v>
      </c>
      <c r="AH4" s="1">
        <v>-11.091778985385224</v>
      </c>
      <c r="AI4" s="1">
        <v>-8.41786246464169</v>
      </c>
      <c r="AJ4" s="1">
        <v>-8.8103532462284484</v>
      </c>
      <c r="AK4" s="1">
        <v>-6.8495371201458974</v>
      </c>
      <c r="AL4" s="1">
        <v>-6.5600080818965516</v>
      </c>
      <c r="AM4" s="1">
        <v>-6.0621916672278964</v>
      </c>
      <c r="AN4" s="1">
        <v>-11.264943440755209</v>
      </c>
      <c r="AO4" s="1">
        <v>-4.9532291806977247</v>
      </c>
      <c r="AP4" s="1">
        <v>-3.4411363272831208</v>
      </c>
      <c r="AQ4" s="1">
        <v>-3.1336117448477756</v>
      </c>
      <c r="AR4" s="1">
        <v>-2.3816530951138102</v>
      </c>
      <c r="AS4" s="1">
        <v>-3.545680605132</v>
      </c>
      <c r="AT4" s="1">
        <v>-4.5202637595691773</v>
      </c>
      <c r="AU4" s="1">
        <v>-12.252105712890621</v>
      </c>
      <c r="AV4" s="1">
        <v>-4.222498798370351</v>
      </c>
      <c r="AW4" s="1">
        <v>-21.709731529498793</v>
      </c>
      <c r="AX4" s="1">
        <v>-27.622190587660736</v>
      </c>
      <c r="AY4" s="1">
        <v>-18.06935927447147</v>
      </c>
      <c r="AZ4" s="1">
        <v>-12.408897662984915</v>
      </c>
      <c r="BA4" s="1">
        <v>-12.094386555682643</v>
      </c>
      <c r="BB4" s="1">
        <v>-4.1146350729054308</v>
      </c>
      <c r="BC4" s="1">
        <v>-7.3396022073153766</v>
      </c>
      <c r="BD4" s="1">
        <v>-7.6586619410021548</v>
      </c>
      <c r="BE4" s="1">
        <v>-6.9971739670325865</v>
      </c>
      <c r="BF4" s="1">
        <v>-5.1053358713785624</v>
      </c>
      <c r="BG4" s="1">
        <v>-13.25134404500325</v>
      </c>
      <c r="BH4" s="1">
        <v>-2.3267348716998795</v>
      </c>
      <c r="BI4" s="1">
        <v>-2.8209649447737069</v>
      </c>
      <c r="BJ4" s="1">
        <v>-2.8736506659408945</v>
      </c>
      <c r="BK4" s="1">
        <v>-21.613725609287037</v>
      </c>
      <c r="BL4" s="1">
        <v>-9.7053896147629306</v>
      </c>
      <c r="BM4" s="1">
        <v>-8.9641997019449793</v>
      </c>
      <c r="BN4" s="1">
        <v>-8.1580500109442244</v>
      </c>
      <c r="BO4" s="1">
        <v>-7.7184672636144267</v>
      </c>
      <c r="BP4" s="1">
        <v>-9.0268217941810338</v>
      </c>
      <c r="BQ4" s="1">
        <v>-7.688236631196121</v>
      </c>
      <c r="BR4" s="1">
        <v>-8.0330770207547531</v>
      </c>
      <c r="BS4" s="1">
        <v>-11.29033364688647</v>
      </c>
      <c r="BT4" s="1">
        <v>-5.947221777904983</v>
      </c>
      <c r="BU4" s="1">
        <v>-5.1723180310479488</v>
      </c>
      <c r="BV4" s="1">
        <v>-4.8968021787446032</v>
      </c>
      <c r="BW4" s="1">
        <v>-6.4224497477213545</v>
      </c>
      <c r="BX4" s="1">
        <v>-5.6027592511012489</v>
      </c>
      <c r="BY4" s="1">
        <v>-4.4574258738550521</v>
      </c>
      <c r="BZ4" s="1">
        <v>-2.1504519232388102</v>
      </c>
      <c r="CA4" s="1">
        <v>-2.7575576387602672</v>
      </c>
      <c r="CB4" s="1">
        <v>-1.8313119932152713</v>
      </c>
      <c r="CC4" s="1">
        <v>-5.2085679706774082</v>
      </c>
      <c r="CD4" s="1">
        <v>-2.4949262882101011</v>
      </c>
    </row>
    <row r="5" spans="1:82" x14ac:dyDescent="0.2">
      <c r="A5" s="3" t="s">
        <v>337</v>
      </c>
      <c r="B5" s="1">
        <v>-96.536215020798522</v>
      </c>
      <c r="C5" s="1">
        <v>-12.491131399007585</v>
      </c>
      <c r="D5" s="1">
        <v>-51.761193209791074</v>
      </c>
      <c r="E5" s="1">
        <v>-58.310752896993492</v>
      </c>
      <c r="F5" s="1">
        <v>-67.660668432667393</v>
      </c>
      <c r="G5" s="1">
        <v>-31.987415616474337</v>
      </c>
      <c r="H5" s="1">
        <v>-25.478165181074839</v>
      </c>
      <c r="I5" s="1">
        <v>-23.501251005440821</v>
      </c>
      <c r="J5" s="1">
        <v>-30.226745070157726</v>
      </c>
      <c r="K5" s="1">
        <v>-50.876875450739462</v>
      </c>
      <c r="L5" s="1">
        <v>-18.634960839439181</v>
      </c>
      <c r="M5" s="1">
        <v>-33.396200629284891</v>
      </c>
      <c r="N5" s="1">
        <v>-20.052588651008076</v>
      </c>
      <c r="O5" s="1">
        <v>-22.364359665772277</v>
      </c>
      <c r="P5" s="1">
        <v>-28.349772729351962</v>
      </c>
      <c r="Q5" s="1">
        <v>-24.981944003685204</v>
      </c>
      <c r="R5" s="1">
        <v>-25.337683980577673</v>
      </c>
      <c r="S5" s="1">
        <v>-15.918961578186458</v>
      </c>
      <c r="T5" s="1">
        <v>-13.042406104140985</v>
      </c>
      <c r="U5" s="1">
        <v>-15.220378267644286</v>
      </c>
      <c r="V5" s="1">
        <v>-14.07238885061456</v>
      </c>
      <c r="W5" s="1">
        <v>-15.532352321341937</v>
      </c>
      <c r="X5" s="1">
        <v>-11.526871083734999</v>
      </c>
      <c r="Y5" s="1">
        <v>-14.806154479922286</v>
      </c>
      <c r="Z5" s="1">
        <v>-11.353188444360045</v>
      </c>
      <c r="AA5" s="1">
        <v>-11.768283998419914</v>
      </c>
      <c r="AB5" s="1">
        <v>-10.543629020358217</v>
      </c>
      <c r="AC5" s="1">
        <v>-20.536800552314563</v>
      </c>
      <c r="AD5" s="1">
        <v>-11.883235907534758</v>
      </c>
      <c r="AE5" s="1">
        <v>-15.816196966696486</v>
      </c>
      <c r="AF5" s="1">
        <v>-10.453227553431455</v>
      </c>
      <c r="AG5" s="1">
        <v>-9.9129180392543628</v>
      </c>
      <c r="AH5" s="1">
        <v>-11.042975506774667</v>
      </c>
      <c r="AI5" s="1">
        <v>-8.5482564482207426</v>
      </c>
      <c r="AJ5" s="1">
        <v>-8.1598302101809104</v>
      </c>
      <c r="AK5" s="1">
        <v>-6.4318126740396266</v>
      </c>
      <c r="AL5" s="1">
        <v>-6.4297710547284721</v>
      </c>
      <c r="AM5" s="1">
        <v>-5.7188421001712131</v>
      </c>
      <c r="AN5" s="1"/>
      <c r="AO5" s="1">
        <v>-5.3444887074168443</v>
      </c>
      <c r="AP5" s="1">
        <v>-3.8133002924049646</v>
      </c>
      <c r="AQ5" s="1">
        <v>-2.9551690454281108</v>
      </c>
      <c r="AR5" s="1">
        <v>-2.6786400432414137</v>
      </c>
      <c r="AS5" s="1">
        <v>-3.3764100352031901</v>
      </c>
      <c r="AT5" s="1">
        <v>-4.475790204835735</v>
      </c>
      <c r="AU5" s="1">
        <v>-11.968113724377993</v>
      </c>
      <c r="AV5" s="1">
        <v>-5.1456709307483086</v>
      </c>
      <c r="AW5" s="1">
        <v>-20.69216565107514</v>
      </c>
      <c r="AX5" s="1">
        <v>-24.592219501124301</v>
      </c>
      <c r="AY5" s="1">
        <v>-17.730231429650509</v>
      </c>
      <c r="AZ5" s="1">
        <v>-10.408093328984085</v>
      </c>
      <c r="BA5" s="1">
        <v>-10.692145549921953</v>
      </c>
      <c r="BB5" s="1">
        <v>-3.9159107480854591</v>
      </c>
      <c r="BC5" s="1">
        <v>-7.5231126116285996</v>
      </c>
      <c r="BD5" s="1">
        <v>-8.394091599004506</v>
      </c>
      <c r="BE5" s="1">
        <v>-5.7267504455953828</v>
      </c>
      <c r="BF5" s="1">
        <v>-5.3475886143379441</v>
      </c>
      <c r="BG5" s="1">
        <v>-10.700859828284415</v>
      </c>
      <c r="BH5" s="1">
        <v>-2.3411905436543989</v>
      </c>
      <c r="BI5" s="1">
        <v>-2.8240739769608858</v>
      </c>
      <c r="BJ5" s="1">
        <v>-2.7091391650553187</v>
      </c>
      <c r="BK5" s="1">
        <v>-20.912934132967102</v>
      </c>
      <c r="BL5" s="1">
        <v>-9.8762902865431172</v>
      </c>
      <c r="BM5" s="1">
        <v>-7.6458957743434635</v>
      </c>
      <c r="BN5" s="1">
        <v>-2.8752844466037009</v>
      </c>
      <c r="BO5" s="1">
        <v>-3.006675187037855</v>
      </c>
      <c r="BP5" s="1">
        <v>-3.1814809019622583</v>
      </c>
      <c r="BQ5" s="1">
        <v>-9.077736760107495</v>
      </c>
      <c r="BR5" s="1">
        <v>-9.1744554709167598</v>
      </c>
      <c r="BS5" s="1">
        <v>-12.186953249381414</v>
      </c>
      <c r="BT5" s="1">
        <v>-5.8187298775590994</v>
      </c>
      <c r="BU5" s="1">
        <v>-4.1802577055449959</v>
      </c>
      <c r="BV5" s="1">
        <v>-4.9233836168213454</v>
      </c>
      <c r="BW5" s="1">
        <v>-5.4761237052935288</v>
      </c>
      <c r="BX5" s="1">
        <v>-5.129415091196015</v>
      </c>
      <c r="BY5" s="1">
        <v>-5.0749450683593018</v>
      </c>
      <c r="BZ5" s="1">
        <v>-2.6177233134976352</v>
      </c>
      <c r="CA5" s="1">
        <v>-3.5092205541127997</v>
      </c>
      <c r="CB5" s="1">
        <v>-1.7680960850241494</v>
      </c>
      <c r="CC5" s="1">
        <v>-2.3330325936501106</v>
      </c>
      <c r="CD5" s="1">
        <v>-2.224892967157011</v>
      </c>
    </row>
    <row r="6" spans="1:82" x14ac:dyDescent="0.2">
      <c r="A6" s="3" t="s">
        <v>338</v>
      </c>
      <c r="B6">
        <v>83.467232308913708</v>
      </c>
      <c r="C6">
        <v>80.759358348922405</v>
      </c>
      <c r="D6">
        <v>68.928995223489011</v>
      </c>
      <c r="E6">
        <v>66.815075435537722</v>
      </c>
      <c r="F6">
        <v>62.52941443381826</v>
      </c>
      <c r="G6">
        <v>73.110673447135653</v>
      </c>
      <c r="H6">
        <v>89.16513640366901</v>
      </c>
      <c r="I6">
        <v>74.387888406726972</v>
      </c>
      <c r="J6">
        <v>63.635862889578831</v>
      </c>
      <c r="K6">
        <v>83.113424726588946</v>
      </c>
      <c r="L6">
        <v>66.673909753113477</v>
      </c>
      <c r="M6">
        <v>79.039643119828511</v>
      </c>
      <c r="N6">
        <v>69.077380200390934</v>
      </c>
      <c r="O6">
        <v>64.502277086484</v>
      </c>
      <c r="P6">
        <v>67.192471000262685</v>
      </c>
      <c r="Q6">
        <v>69.99842602780727</v>
      </c>
      <c r="R6">
        <v>69.329094589849092</v>
      </c>
      <c r="S6">
        <v>64.902961104974551</v>
      </c>
      <c r="T6">
        <v>67.529389938212688</v>
      </c>
      <c r="U6">
        <v>67.193702024200689</v>
      </c>
      <c r="V6">
        <v>68.958127896240072</v>
      </c>
      <c r="W6">
        <v>63.739540526895922</v>
      </c>
      <c r="X6">
        <v>70.079050023627289</v>
      </c>
      <c r="Y6">
        <v>67.526456759839277</v>
      </c>
      <c r="Z6">
        <v>68.919710351441893</v>
      </c>
      <c r="AA6">
        <v>66.69755856342293</v>
      </c>
      <c r="AB6">
        <v>68.752288154846298</v>
      </c>
      <c r="AC6">
        <v>76.842893503024854</v>
      </c>
      <c r="AD6">
        <v>75.437003962535627</v>
      </c>
      <c r="AE6">
        <v>61.661204356034986</v>
      </c>
      <c r="AF6">
        <v>69.59893415872439</v>
      </c>
      <c r="AG6">
        <v>68.78431747203085</v>
      </c>
      <c r="AH6">
        <v>68.256326001780565</v>
      </c>
      <c r="AI6">
        <v>67.11527560112458</v>
      </c>
      <c r="AJ6">
        <v>72.623911909794586</v>
      </c>
      <c r="AK6">
        <v>72.416369657324907</v>
      </c>
      <c r="AL6">
        <v>69.174808171465699</v>
      </c>
      <c r="AM6">
        <v>71.482221495272867</v>
      </c>
      <c r="AO6">
        <v>63.753933857467686</v>
      </c>
      <c r="AP6">
        <v>62.339415120267532</v>
      </c>
      <c r="AQ6">
        <v>71.5022282675681</v>
      </c>
      <c r="AR6">
        <v>61.569407343527658</v>
      </c>
      <c r="AS6">
        <v>70.907731274788773</v>
      </c>
      <c r="AT6">
        <v>68.576315255293409</v>
      </c>
      <c r="AU6">
        <v>69.376284994700654</v>
      </c>
      <c r="AV6">
        <v>59.388438368774999</v>
      </c>
      <c r="AW6">
        <v>70.852230256793121</v>
      </c>
      <c r="AX6">
        <v>76.378179687077775</v>
      </c>
      <c r="AY6">
        <v>69.300642551639839</v>
      </c>
      <c r="AZ6">
        <v>79.149655148545364</v>
      </c>
      <c r="BA6">
        <v>75.606516199614745</v>
      </c>
      <c r="BB6">
        <v>70.9433793518388</v>
      </c>
      <c r="BC6">
        <v>66.585212796932623</v>
      </c>
      <c r="BD6">
        <v>62.918459054080969</v>
      </c>
      <c r="BE6">
        <v>80.866732179683297</v>
      </c>
      <c r="BF6">
        <v>65.825537358862462</v>
      </c>
      <c r="BG6">
        <v>79.440505189958301</v>
      </c>
      <c r="BH6">
        <v>67.641879224382393</v>
      </c>
      <c r="BI6">
        <v>67.936147612163325</v>
      </c>
      <c r="BJ6">
        <v>71.52202912808599</v>
      </c>
      <c r="BK6">
        <v>69.943577375040945</v>
      </c>
      <c r="BL6">
        <v>66.996360103271101</v>
      </c>
      <c r="BM6">
        <v>76.276151074045515</v>
      </c>
      <c r="BN6">
        <v>62.216655854183799</v>
      </c>
      <c r="BO6">
        <v>62.216655854183799</v>
      </c>
      <c r="BP6">
        <v>62.216655854183799</v>
      </c>
      <c r="BQ6">
        <v>59.122125524610894</v>
      </c>
      <c r="BR6">
        <v>60.784318337011747</v>
      </c>
      <c r="BS6">
        <v>62.997097984867466</v>
      </c>
      <c r="BT6">
        <v>69.280782984754651</v>
      </c>
      <c r="BU6">
        <v>81.764581739266148</v>
      </c>
      <c r="BV6">
        <v>67.686856940583795</v>
      </c>
      <c r="BW6">
        <v>76.294854623650409</v>
      </c>
      <c r="BX6">
        <v>73.352259621496572</v>
      </c>
      <c r="BY6">
        <v>60.942561387600279</v>
      </c>
      <c r="BZ6">
        <v>57.646827647800471</v>
      </c>
      <c r="CA6">
        <v>55.57660043927649</v>
      </c>
      <c r="CB6">
        <v>70.073712342977672</v>
      </c>
      <c r="CC6">
        <v>114.83618421124586</v>
      </c>
      <c r="CD6">
        <v>75.039409469252888</v>
      </c>
    </row>
    <row r="7" spans="1:82" x14ac:dyDescent="0.2">
      <c r="A7" s="3" t="s">
        <v>339</v>
      </c>
      <c r="B7">
        <v>-19.130782704461236</v>
      </c>
      <c r="C7">
        <v>-4.6694599743168022</v>
      </c>
      <c r="D7">
        <v>-4.1032259351889042</v>
      </c>
      <c r="E7">
        <v>-8.8975655652364338</v>
      </c>
      <c r="F7">
        <v>-14.79610630088567</v>
      </c>
      <c r="G7">
        <v>-5.1603649658554014</v>
      </c>
      <c r="H7">
        <v>-5.6992764903849418</v>
      </c>
      <c r="I7">
        <v>-4.8264843367890871</v>
      </c>
      <c r="J7">
        <v>-14.560635443016798</v>
      </c>
      <c r="K7">
        <v>-8.8261574886337186</v>
      </c>
      <c r="L7">
        <v>-1.855517625072457</v>
      </c>
      <c r="M7">
        <v>-6.5093278316202356</v>
      </c>
      <c r="N7">
        <v>-2.3578787088914517</v>
      </c>
      <c r="O7">
        <v>-3.0399493166732903</v>
      </c>
      <c r="P7">
        <v>-4.7030919490585452</v>
      </c>
      <c r="Q7">
        <v>-2.7559726925635761</v>
      </c>
      <c r="R7">
        <v>-4.5160797072481431</v>
      </c>
      <c r="S7">
        <v>-3.0735119152711561</v>
      </c>
      <c r="T7">
        <v>-2.0336872775842103</v>
      </c>
      <c r="U7">
        <v>-3.5798264275085199</v>
      </c>
      <c r="V7">
        <v>-7.3651204470732061</v>
      </c>
      <c r="W7">
        <v>-2.5285795344415818</v>
      </c>
      <c r="X7">
        <v>-3.3678179054655342</v>
      </c>
      <c r="Y7">
        <v>-4.3870354101716487</v>
      </c>
      <c r="Z7">
        <v>-5.9909246230109279</v>
      </c>
      <c r="AA7">
        <v>-5.8742475412320667</v>
      </c>
      <c r="AB7">
        <v>-0.84013309710168915</v>
      </c>
      <c r="AC7">
        <v>-5.2973030298235635</v>
      </c>
      <c r="AD7">
        <v>-2.0102155677277103</v>
      </c>
      <c r="AE7">
        <v>-5.726703485365074</v>
      </c>
      <c r="AF7">
        <v>-2.7538038335455144</v>
      </c>
      <c r="AG7">
        <v>-2.4669198821998428</v>
      </c>
      <c r="AH7">
        <v>-1.4721217058036034</v>
      </c>
      <c r="AI7">
        <v>-1.8956923709967173</v>
      </c>
      <c r="AJ7">
        <v>-3.5193381930051526</v>
      </c>
      <c r="AK7">
        <v>-1.1765443567091221</v>
      </c>
      <c r="AL7">
        <v>-1.2121053844821859</v>
      </c>
      <c r="AM7">
        <v>-1.936265473100989</v>
      </c>
      <c r="AN7">
        <v>-5.232015396099249</v>
      </c>
      <c r="AO7">
        <v>-1.0577306624322935</v>
      </c>
      <c r="AP7">
        <v>-0.75304779105355657</v>
      </c>
      <c r="AQ7">
        <v>-0.57212504005608389</v>
      </c>
      <c r="AR7">
        <v>-0.52537798590709162</v>
      </c>
      <c r="AS7">
        <v>-0.56484241587385975</v>
      </c>
      <c r="AT7">
        <v>-0.62341878995132882</v>
      </c>
      <c r="AU7">
        <v>-2.3370757558861275</v>
      </c>
      <c r="AV7">
        <v>-0.54109916979437345</v>
      </c>
      <c r="AW7">
        <v>-5.0391964995237393</v>
      </c>
      <c r="AX7">
        <v>-4.6724998169352778</v>
      </c>
      <c r="AY7">
        <v>-2.8370675724685328</v>
      </c>
      <c r="AZ7">
        <v>-6.2174921248410566</v>
      </c>
      <c r="BA7">
        <v>-2.411543956252804</v>
      </c>
      <c r="BB7">
        <v>-1.4592272451156225</v>
      </c>
      <c r="BC7">
        <v>-1.0769982201809365</v>
      </c>
      <c r="BD7">
        <v>-1.4530417969183433</v>
      </c>
      <c r="BE7">
        <v>-1.7684593145450436</v>
      </c>
      <c r="BF7">
        <v>-0.91669738762210173</v>
      </c>
      <c r="BG7">
        <v>-2.7647039357535803</v>
      </c>
      <c r="BH7">
        <v>-0.47000108038869831</v>
      </c>
      <c r="BI7">
        <v>-0.25949056691172712</v>
      </c>
      <c r="BJ7">
        <v>-0.38479619971013806</v>
      </c>
      <c r="BK7">
        <v>-1.0836047429967586</v>
      </c>
      <c r="BL7">
        <v>-1.5111994744876494</v>
      </c>
      <c r="BM7">
        <v>-2.4282096449010919</v>
      </c>
      <c r="BN7">
        <v>-2.0733484121265922</v>
      </c>
      <c r="BO7">
        <v>-1.9616295344595267</v>
      </c>
      <c r="BP7">
        <v>-2.294144631181144</v>
      </c>
      <c r="BQ7">
        <v>-2.1217038484641706</v>
      </c>
      <c r="BR7">
        <v>-1.7564530874531432</v>
      </c>
      <c r="BS7">
        <v>-1.8722273148395578</v>
      </c>
      <c r="BT7">
        <v>-0.907556877316123</v>
      </c>
      <c r="BU7">
        <v>-1.369086690894582</v>
      </c>
      <c r="BV7">
        <v>-0.2292457021315944</v>
      </c>
      <c r="BW7">
        <v>-1.2451740874750337</v>
      </c>
      <c r="BX7">
        <v>-0.73537390674190517</v>
      </c>
      <c r="BY7">
        <v>-1.4807769188993347</v>
      </c>
      <c r="BZ7">
        <v>-0.47104033833455755</v>
      </c>
      <c r="CA7">
        <v>-1.0352727333480165</v>
      </c>
      <c r="CB7">
        <v>-0.42103794724239085</v>
      </c>
      <c r="CC7">
        <v>-1.1773319911152276</v>
      </c>
      <c r="CD7">
        <v>-1.5801249235813228</v>
      </c>
    </row>
    <row r="8" spans="1:82" x14ac:dyDescent="0.2">
      <c r="A8" s="3" t="s">
        <v>340</v>
      </c>
      <c r="B8" s="1">
        <v>-15.103133219898455</v>
      </c>
      <c r="C8" s="1">
        <v>-3.9317211620438708</v>
      </c>
      <c r="D8" s="1">
        <v>-4.0385399978124035</v>
      </c>
      <c r="E8" s="1">
        <v>-9.055358457535629</v>
      </c>
      <c r="F8" s="1">
        <v>-16.337021356531231</v>
      </c>
      <c r="G8" s="1">
        <v>-4.7424809730531781</v>
      </c>
      <c r="H8" s="1">
        <v>-4.1755506458902092</v>
      </c>
      <c r="I8" s="1">
        <v>-4.4611351863087831</v>
      </c>
      <c r="J8" s="1">
        <v>-15.559201449710951</v>
      </c>
      <c r="K8" s="1">
        <v>-7.0016845231240854</v>
      </c>
      <c r="L8" s="1">
        <v>-1.8989341431184783</v>
      </c>
      <c r="M8" s="1">
        <v>-5.6001555052458647</v>
      </c>
      <c r="N8" s="1">
        <v>-2.3257540756594768</v>
      </c>
      <c r="O8" s="1">
        <v>-3.2047946657235102</v>
      </c>
      <c r="P8" s="1">
        <v>-4.7694972480581006</v>
      </c>
      <c r="Q8" s="1">
        <v>-2.664176825148779</v>
      </c>
      <c r="R8" s="1">
        <v>-4.3944010679757746</v>
      </c>
      <c r="S8" s="1">
        <v>-3.2201737282895664</v>
      </c>
      <c r="T8" s="1">
        <v>-2.0478599762600855</v>
      </c>
      <c r="U8" s="1">
        <v>-3.6227829355630012</v>
      </c>
      <c r="V8" s="1">
        <v>-7.2454299546625913</v>
      </c>
      <c r="W8" s="1">
        <v>-2.7290447882451017</v>
      </c>
      <c r="X8" s="1">
        <v>-3.2679041381760259</v>
      </c>
      <c r="Y8" s="1">
        <v>-4.4231483759241792</v>
      </c>
      <c r="Z8" s="1">
        <v>-5.8974089665756546</v>
      </c>
      <c r="AA8" s="1">
        <v>-6.0091892142117453</v>
      </c>
      <c r="AB8" s="1">
        <v>-0.83094035320318105</v>
      </c>
      <c r="AC8" s="1">
        <v>-4.6877022663627663</v>
      </c>
      <c r="AD8" s="1">
        <v>-1.7405404396698338</v>
      </c>
      <c r="AE8" s="1">
        <v>-6.598027386543964</v>
      </c>
      <c r="AF8" s="1">
        <v>-2.6799241395873041</v>
      </c>
      <c r="AG8" s="1">
        <v>-2.4340055191704479</v>
      </c>
      <c r="AH8" s="1">
        <v>-1.4656444166080662</v>
      </c>
      <c r="AI8" s="1">
        <v>-1.9250569372310744</v>
      </c>
      <c r="AJ8" s="1">
        <v>-3.2594836216607148</v>
      </c>
      <c r="AK8" s="1">
        <v>-1.1047918672919528</v>
      </c>
      <c r="AL8" s="1">
        <v>-1.1880412370118456</v>
      </c>
      <c r="AM8" s="1">
        <v>-1.8265995389983094</v>
      </c>
      <c r="AN8" s="1">
        <v>12.556836950638196</v>
      </c>
      <c r="AO8" s="1">
        <v>-1.1412816517530147</v>
      </c>
      <c r="AP8" s="1">
        <v>-0.83449101944956983</v>
      </c>
      <c r="AQ8" s="1">
        <v>-0.53954552961703584</v>
      </c>
      <c r="AR8" s="1">
        <v>-0.5908914752427491</v>
      </c>
      <c r="AS8" s="1">
        <v>-0.53787687433113107</v>
      </c>
      <c r="AT8" s="1">
        <v>-0.61728515458147615</v>
      </c>
      <c r="AU8" s="1">
        <v>-2.2829045948814968</v>
      </c>
      <c r="AV8" s="1">
        <v>-0.65940060651705634</v>
      </c>
      <c r="AW8" s="1">
        <v>-4.8030022192941644</v>
      </c>
      <c r="AX8" s="1">
        <v>-4.1599575802060489</v>
      </c>
      <c r="AY8" s="1">
        <v>-2.7838211569842826</v>
      </c>
      <c r="AZ8" s="1">
        <v>-5.2149868638696635</v>
      </c>
      <c r="BA8" s="1">
        <v>-2.1319459950760802</v>
      </c>
      <c r="BB8" s="1">
        <v>-1.3887510196651487</v>
      </c>
      <c r="BC8" s="1">
        <v>-1.1039261616752367</v>
      </c>
      <c r="BD8" s="1">
        <v>-1.5925713962142416</v>
      </c>
      <c r="BE8" s="1">
        <v>-1.4473736418880394</v>
      </c>
      <c r="BF8" s="1">
        <v>-0.96019549670051363</v>
      </c>
      <c r="BG8" s="1">
        <v>-2.2325817805900945</v>
      </c>
      <c r="BH8" s="1">
        <v>-0.47292113007678543</v>
      </c>
      <c r="BI8" s="1">
        <v>-0.25977655576326975</v>
      </c>
      <c r="BJ8" s="1">
        <v>-0.36276728676686854</v>
      </c>
      <c r="BK8" s="1">
        <v>-1.0484705425669312</v>
      </c>
      <c r="BL8" s="1">
        <v>-1.5378099471873701</v>
      </c>
      <c r="BM8" s="1">
        <v>-2.0711093550427084</v>
      </c>
      <c r="BN8" s="1">
        <v>-0.73074649380435486</v>
      </c>
      <c r="BO8" s="1">
        <v>-0.76413912840230835</v>
      </c>
      <c r="BP8" s="1">
        <v>-0.80856557234209203</v>
      </c>
      <c r="BQ8" s="1">
        <v>-2.5051607986561502</v>
      </c>
      <c r="BR8" s="1">
        <v>-2.0060184405002843</v>
      </c>
      <c r="BS8" s="1">
        <v>-2.0209098749226739</v>
      </c>
      <c r="BT8" s="1">
        <v>-0.8879487792506422</v>
      </c>
      <c r="BU8" s="1">
        <v>-1.1064932888536301</v>
      </c>
      <c r="BV8" s="1">
        <v>-0.2304901225131285</v>
      </c>
      <c r="BW8" s="1">
        <v>-1.0617019370308833</v>
      </c>
      <c r="BX8" s="1">
        <v>-0.67324649264061931</v>
      </c>
      <c r="BY8" s="1">
        <v>-1.6859195720980442</v>
      </c>
      <c r="BZ8" s="1">
        <v>-0.57339262595514118</v>
      </c>
      <c r="CA8" s="1">
        <v>-1.3174703237067094</v>
      </c>
      <c r="CB8" s="1">
        <v>-0.40650394303313392</v>
      </c>
      <c r="CC8" s="1">
        <v>-0.52735299304572103</v>
      </c>
      <c r="CD8" s="1">
        <v>-1.4091032854632941</v>
      </c>
    </row>
    <row r="9" spans="1:82" x14ac:dyDescent="0.2">
      <c r="A9" s="3" t="s">
        <v>341</v>
      </c>
      <c r="B9">
        <v>14.265662516329694</v>
      </c>
      <c r="C9">
        <v>12.553900451416633</v>
      </c>
      <c r="D9">
        <v>17.478313824704063</v>
      </c>
      <c r="E9">
        <v>16.409855569113233</v>
      </c>
      <c r="F9">
        <v>21.196503928555352</v>
      </c>
      <c r="G9">
        <v>38.255470033542352</v>
      </c>
      <c r="H9">
        <v>13.629283255105255</v>
      </c>
      <c r="I9">
        <v>12.704370413160571</v>
      </c>
      <c r="J9">
        <v>17.107434875196084</v>
      </c>
      <c r="K9">
        <v>14.020037128036867</v>
      </c>
      <c r="L9">
        <v>17.652902961637178</v>
      </c>
      <c r="M9">
        <v>13.246161010671601</v>
      </c>
      <c r="N9">
        <v>15.687558514089508</v>
      </c>
      <c r="O9">
        <v>17.012562063162115</v>
      </c>
      <c r="P9">
        <v>19.340795092521148</v>
      </c>
      <c r="Q9">
        <v>17.809370894771536</v>
      </c>
      <c r="R9">
        <v>17.893316512159348</v>
      </c>
      <c r="S9">
        <v>16.880729382060483</v>
      </c>
      <c r="T9">
        <v>15.093986614780015</v>
      </c>
      <c r="U9">
        <v>15.924646662692075</v>
      </c>
      <c r="V9">
        <v>17.979020543617096</v>
      </c>
      <c r="W9">
        <v>16.5895249442401</v>
      </c>
      <c r="X9">
        <v>16.707651436380679</v>
      </c>
      <c r="Y9">
        <v>17.260996399993164</v>
      </c>
      <c r="Z9">
        <v>18.315038005572291</v>
      </c>
      <c r="AA9">
        <v>18.808761585666499</v>
      </c>
      <c r="AB9">
        <v>16.847489547485587</v>
      </c>
      <c r="AC9">
        <v>13.690142352314627</v>
      </c>
      <c r="AD9">
        <v>17.255284199925285</v>
      </c>
      <c r="AE9">
        <v>22.668483749319492</v>
      </c>
      <c r="AF9">
        <v>18.367678605519629</v>
      </c>
      <c r="AG9">
        <v>17.663520748874607</v>
      </c>
      <c r="AH9">
        <v>18.180269135131791</v>
      </c>
      <c r="AI9">
        <v>17.465516125127525</v>
      </c>
      <c r="AJ9">
        <v>16.749585596512034</v>
      </c>
      <c r="AK9">
        <v>15.679990033520605</v>
      </c>
      <c r="AL9">
        <v>18.331068712919446</v>
      </c>
      <c r="AM9">
        <v>17.547005156550451</v>
      </c>
      <c r="AO9">
        <v>19.640102220046764</v>
      </c>
      <c r="AP9">
        <v>20.252816366619697</v>
      </c>
      <c r="AQ9">
        <v>17.58245063780144</v>
      </c>
      <c r="AR9">
        <v>20.043612006744556</v>
      </c>
      <c r="AS9">
        <v>16.906619214331439</v>
      </c>
      <c r="AT9">
        <v>18.406024890586789</v>
      </c>
      <c r="AU9">
        <v>16.947158191231399</v>
      </c>
      <c r="AV9">
        <v>21.879757065603012</v>
      </c>
      <c r="AW9">
        <v>18.63209753512632</v>
      </c>
      <c r="AX9">
        <v>15.365929942810165</v>
      </c>
      <c r="AY9">
        <v>16.421376428009729</v>
      </c>
      <c r="AZ9">
        <v>16.221878809791384</v>
      </c>
      <c r="BA9">
        <v>16.811717224445815</v>
      </c>
      <c r="BB9">
        <v>18.322148744485688</v>
      </c>
      <c r="BC9">
        <v>17.008927762021376</v>
      </c>
      <c r="BD9">
        <v>19.958167194903812</v>
      </c>
      <c r="BE9">
        <v>14.324853362108509</v>
      </c>
      <c r="BF9">
        <v>20.429299564354107</v>
      </c>
      <c r="BG9">
        <v>15.725698150279031</v>
      </c>
      <c r="BH9">
        <v>17.441552826756045</v>
      </c>
      <c r="BI9">
        <v>18.852465269658204</v>
      </c>
      <c r="BJ9">
        <v>17.479281310072444</v>
      </c>
      <c r="BK9">
        <v>18.319253368519949</v>
      </c>
      <c r="BL9">
        <v>17.555275003929204</v>
      </c>
      <c r="BM9">
        <v>15.545987884135036</v>
      </c>
      <c r="BN9">
        <v>23.083335378023875</v>
      </c>
      <c r="BO9">
        <v>17.688781072614184</v>
      </c>
      <c r="BP9">
        <v>19.366963979419019</v>
      </c>
      <c r="BQ9">
        <v>22.524706571620126</v>
      </c>
      <c r="BR9">
        <v>20.202878483854203</v>
      </c>
      <c r="BS9">
        <v>18.425178484657721</v>
      </c>
      <c r="BT9">
        <v>18.465669023677432</v>
      </c>
      <c r="BU9">
        <v>15.266560563802427</v>
      </c>
      <c r="BV9">
        <v>17.073975780395457</v>
      </c>
      <c r="BW9">
        <v>17.265793613592386</v>
      </c>
      <c r="BX9">
        <v>15.688415968291627</v>
      </c>
      <c r="BY9">
        <v>19.629951316963147</v>
      </c>
      <c r="BZ9">
        <v>22.027037069550552</v>
      </c>
      <c r="CA9">
        <v>24.600493749993287</v>
      </c>
      <c r="CB9">
        <v>16.981466165771113</v>
      </c>
      <c r="CC9">
        <v>10.636742596046773</v>
      </c>
      <c r="CD9">
        <v>16.697658168938357</v>
      </c>
    </row>
    <row r="10" spans="1:82" x14ac:dyDescent="0.2">
      <c r="A10" s="3" t="s">
        <v>333</v>
      </c>
      <c r="B10" s="1">
        <v>0.21053239414106911</v>
      </c>
      <c r="C10" s="1">
        <v>0.15799231952531548</v>
      </c>
      <c r="D10" s="1">
        <v>1.5764654054693805E-2</v>
      </c>
      <c r="E10" s="1">
        <v>-1.7734389383507892E-2</v>
      </c>
      <c r="F10" s="1">
        <v>-0.1041432809625952</v>
      </c>
      <c r="G10" s="1">
        <v>0.92063492063492069</v>
      </c>
      <c r="H10" s="1">
        <v>0.26735425927577988</v>
      </c>
      <c r="I10" s="1">
        <v>7.5696744252434223E-2</v>
      </c>
      <c r="J10" s="1">
        <v>-6.8579837095850041E-2</v>
      </c>
      <c r="K10" s="1">
        <v>0.20671203384475967</v>
      </c>
      <c r="L10" s="1">
        <v>-2.3398601802192897E-2</v>
      </c>
      <c r="M10" s="1">
        <v>0.13967222882183053</v>
      </c>
      <c r="N10" s="1">
        <v>1.3624379027994243E-2</v>
      </c>
      <c r="O10" s="1">
        <v>-5.4226347836159185E-2</v>
      </c>
      <c r="P10" s="1">
        <v>-1.4119498346794769E-2</v>
      </c>
      <c r="Q10" s="1">
        <v>3.3307974227208333E-2</v>
      </c>
      <c r="R10" s="1">
        <v>2.6943421542599873E-2</v>
      </c>
      <c r="S10" s="1">
        <v>-4.7717990709488227E-2</v>
      </c>
      <c r="T10" s="1">
        <v>-6.9689665820748224E-3</v>
      </c>
      <c r="U10" s="1">
        <v>-1.1999606384373838E-2</v>
      </c>
      <c r="V10" s="1">
        <v>1.6250989141416931E-2</v>
      </c>
      <c r="W10" s="1">
        <v>-7.9279789728975703E-2</v>
      </c>
      <c r="X10" s="1">
        <v>2.9667211854703238E-2</v>
      </c>
      <c r="Y10" s="1">
        <v>-8.2317470401083032E-3</v>
      </c>
      <c r="Z10" s="1">
        <v>1.5609553169152348E-2</v>
      </c>
      <c r="AA10" s="1">
        <v>-2.2971737577026925E-2</v>
      </c>
      <c r="AB10" s="1">
        <v>1.0942008986696859E-2</v>
      </c>
      <c r="AC10" s="1">
        <v>0.11507757061070011</v>
      </c>
      <c r="AD10" s="1">
        <v>0.13415234285679581</v>
      </c>
      <c r="AE10" s="1">
        <v>-0.15215104176523372</v>
      </c>
      <c r="AF10" s="1">
        <v>2.682823411684003E-2</v>
      </c>
      <c r="AG10" s="1">
        <v>1.3342291035428236E-2</v>
      </c>
      <c r="AH10" s="1">
        <v>4.3999685420040777E-3</v>
      </c>
      <c r="AI10" s="1">
        <v>-1.5490153720942612E-2</v>
      </c>
      <c r="AJ10" s="1">
        <v>7.3836203596719011E-2</v>
      </c>
      <c r="AK10" s="1">
        <v>6.0985792000113011E-2</v>
      </c>
      <c r="AL10" s="1">
        <v>1.9853180901939823E-2</v>
      </c>
      <c r="AM10" s="1">
        <v>5.6637860678807821E-2</v>
      </c>
      <c r="AN10" s="1">
        <v>3.4</v>
      </c>
      <c r="AO10" s="1">
        <v>-7.8990798213783811E-2</v>
      </c>
      <c r="AP10" s="1">
        <v>-0.10815147373590929</v>
      </c>
      <c r="AQ10" s="1">
        <v>5.6944737877325395E-2</v>
      </c>
      <c r="AR10" s="1">
        <v>-0.12469781965177915</v>
      </c>
      <c r="AS10" s="1">
        <v>4.7739937343428115E-2</v>
      </c>
      <c r="AT10" s="1">
        <v>9.8387078938245442E-3</v>
      </c>
      <c r="AU10" s="1">
        <v>2.3179035111804198E-2</v>
      </c>
      <c r="AV10" s="1">
        <v>-0.21863170990936706</v>
      </c>
      <c r="AW10" s="1">
        <v>4.687141695147188E-2</v>
      </c>
      <c r="AX10" s="1">
        <v>0.1096933668935718</v>
      </c>
      <c r="AY10" s="1">
        <v>1.8768116769922415E-2</v>
      </c>
      <c r="AZ10" s="1">
        <v>0.16123949027068882</v>
      </c>
      <c r="BA10" s="1">
        <v>0.11594147411319805</v>
      </c>
      <c r="BB10" s="1">
        <v>4.8296950105868867E-2</v>
      </c>
      <c r="BC10" s="1">
        <v>-2.5002772511338322E-2</v>
      </c>
      <c r="BD10" s="1">
        <v>-9.6025867660391645E-2</v>
      </c>
      <c r="BE10" s="1">
        <v>0.1815623746705235</v>
      </c>
      <c r="BF10" s="1">
        <v>-4.7450892372722125E-2</v>
      </c>
      <c r="BG10" s="1">
        <v>0.19246985121336121</v>
      </c>
      <c r="BH10" s="1">
        <v>-6.2128573952898889E-3</v>
      </c>
      <c r="BI10" s="1">
        <v>-1.1021165622560943E-3</v>
      </c>
      <c r="BJ10" s="1">
        <v>5.724826014358679E-2</v>
      </c>
      <c r="BK10" s="1">
        <v>3.2423446516727197E-2</v>
      </c>
      <c r="BL10" s="1">
        <v>-1.7608841949037113E-2</v>
      </c>
      <c r="BM10" s="1">
        <v>0.14706320379224494</v>
      </c>
      <c r="BN10" s="1">
        <v>0.6475524858579641</v>
      </c>
      <c r="BO10" s="1">
        <v>0.6104569619396325</v>
      </c>
      <c r="BP10" s="1">
        <v>0.64755248585796399</v>
      </c>
      <c r="BQ10" s="1">
        <v>-0.18073066628481207</v>
      </c>
      <c r="BR10" s="1">
        <v>-0.14208483837676036</v>
      </c>
      <c r="BS10" s="1">
        <v>-7.941480123948369E-2</v>
      </c>
      <c r="BT10" s="1">
        <v>2.1605365520965512E-2</v>
      </c>
      <c r="BU10" s="1">
        <v>0.19180188061675596</v>
      </c>
      <c r="BV10" s="1">
        <v>-5.4283258964643094E-3</v>
      </c>
      <c r="BW10" s="1">
        <v>0.14734658574223586</v>
      </c>
      <c r="BX10" s="1">
        <v>8.4484115538642129E-2</v>
      </c>
      <c r="BY10" s="1">
        <v>-0.13853717638386248</v>
      </c>
      <c r="BZ10" s="1">
        <v>-0.21728985670838175</v>
      </c>
      <c r="CA10" s="1">
        <v>-0.27258284823756662</v>
      </c>
      <c r="CB10" s="1">
        <v>3.4519463873620163E-2</v>
      </c>
      <c r="CC10" s="1">
        <v>0.55207792107459341</v>
      </c>
      <c r="CD10" s="1">
        <v>0.10823298561129684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M31"/>
  <sheetViews>
    <sheetView workbookViewId="0"/>
  </sheetViews>
  <sheetFormatPr baseColWidth="10" defaultColWidth="8.83203125" defaultRowHeight="15" x14ac:dyDescent="0.2"/>
  <cols>
    <col min="1" max="1" width="28.5" customWidth="1"/>
  </cols>
  <sheetData>
    <row r="1" spans="1:91" x14ac:dyDescent="0.2">
      <c r="A1" s="2" t="s">
        <v>4</v>
      </c>
      <c r="B1" t="s">
        <v>28</v>
      </c>
      <c r="C1" t="s">
        <v>28</v>
      </c>
      <c r="D1" t="s">
        <v>28</v>
      </c>
      <c r="E1" t="s">
        <v>28</v>
      </c>
      <c r="F1" t="s">
        <v>28</v>
      </c>
      <c r="G1" t="s">
        <v>28</v>
      </c>
      <c r="H1" t="s">
        <v>28</v>
      </c>
      <c r="I1" t="s">
        <v>28</v>
      </c>
      <c r="J1" t="s">
        <v>28</v>
      </c>
      <c r="K1" t="s">
        <v>28</v>
      </c>
      <c r="L1" t="s">
        <v>28</v>
      </c>
      <c r="M1" t="s">
        <v>28</v>
      </c>
      <c r="N1" t="s">
        <v>28</v>
      </c>
      <c r="O1" t="s">
        <v>28</v>
      </c>
      <c r="P1" t="s">
        <v>28</v>
      </c>
      <c r="Q1" t="s">
        <v>28</v>
      </c>
      <c r="R1" t="s">
        <v>28</v>
      </c>
      <c r="S1" t="s">
        <v>28</v>
      </c>
      <c r="T1" t="s">
        <v>28</v>
      </c>
      <c r="U1" t="s">
        <v>28</v>
      </c>
      <c r="V1" t="s">
        <v>28</v>
      </c>
      <c r="W1" t="s">
        <v>28</v>
      </c>
      <c r="X1" t="s">
        <v>28</v>
      </c>
      <c r="Y1" t="s">
        <v>28</v>
      </c>
      <c r="Z1" t="s">
        <v>28</v>
      </c>
      <c r="AA1" t="s">
        <v>28</v>
      </c>
      <c r="AB1" t="s">
        <v>28</v>
      </c>
      <c r="AC1" t="s">
        <v>28</v>
      </c>
      <c r="AD1" t="s">
        <v>28</v>
      </c>
      <c r="AE1" t="s">
        <v>28</v>
      </c>
      <c r="AF1" t="s">
        <v>28</v>
      </c>
      <c r="AG1" t="s">
        <v>28</v>
      </c>
      <c r="AH1" t="s">
        <v>28</v>
      </c>
      <c r="AI1" t="s">
        <v>28</v>
      </c>
      <c r="AJ1" t="s">
        <v>28</v>
      </c>
      <c r="AK1" t="s">
        <v>28</v>
      </c>
      <c r="AL1" t="s">
        <v>28</v>
      </c>
      <c r="AM1" t="s">
        <v>28</v>
      </c>
      <c r="AN1" t="s">
        <v>28</v>
      </c>
      <c r="AO1" t="s">
        <v>28</v>
      </c>
      <c r="AP1" t="s">
        <v>28</v>
      </c>
      <c r="AQ1" t="s">
        <v>28</v>
      </c>
      <c r="AR1" t="s">
        <v>28</v>
      </c>
      <c r="AS1" t="s">
        <v>28</v>
      </c>
      <c r="AT1" t="s">
        <v>28</v>
      </c>
      <c r="AU1" t="s">
        <v>28</v>
      </c>
      <c r="AV1" t="s">
        <v>28</v>
      </c>
      <c r="AW1" t="s">
        <v>28</v>
      </c>
      <c r="AX1" t="s">
        <v>28</v>
      </c>
      <c r="AY1" t="s">
        <v>28</v>
      </c>
      <c r="AZ1" t="s">
        <v>28</v>
      </c>
      <c r="BA1" t="s">
        <v>28</v>
      </c>
      <c r="BB1" t="s">
        <v>28</v>
      </c>
      <c r="BC1" t="s">
        <v>28</v>
      </c>
      <c r="BD1" t="s">
        <v>28</v>
      </c>
      <c r="BE1" t="s">
        <v>28</v>
      </c>
      <c r="BF1" t="s">
        <v>28</v>
      </c>
      <c r="BG1" t="s">
        <v>28</v>
      </c>
      <c r="BH1" t="s">
        <v>28</v>
      </c>
      <c r="BI1" t="s">
        <v>28</v>
      </c>
      <c r="BJ1" t="s">
        <v>28</v>
      </c>
      <c r="BK1" t="s">
        <v>28</v>
      </c>
      <c r="BL1" t="s">
        <v>28</v>
      </c>
      <c r="BM1" t="s">
        <v>28</v>
      </c>
      <c r="BN1" t="s">
        <v>28</v>
      </c>
      <c r="BO1" t="s">
        <v>28</v>
      </c>
      <c r="BP1" t="s">
        <v>28</v>
      </c>
      <c r="BQ1" t="s">
        <v>28</v>
      </c>
      <c r="BR1" t="s">
        <v>28</v>
      </c>
      <c r="BS1" t="s">
        <v>28</v>
      </c>
      <c r="BT1" t="s">
        <v>28</v>
      </c>
      <c r="BU1" t="s">
        <v>28</v>
      </c>
      <c r="BV1" t="s">
        <v>28</v>
      </c>
      <c r="BW1" t="s">
        <v>28</v>
      </c>
      <c r="BX1" t="s">
        <v>28</v>
      </c>
      <c r="BY1" t="s">
        <v>28</v>
      </c>
      <c r="BZ1" t="s">
        <v>28</v>
      </c>
      <c r="CA1" t="s">
        <v>28</v>
      </c>
      <c r="CB1" t="s">
        <v>28</v>
      </c>
      <c r="CK1" s="12"/>
      <c r="CL1" s="12"/>
      <c r="CM1" s="12"/>
    </row>
    <row r="2" spans="1:91" x14ac:dyDescent="0.2">
      <c r="A2" s="2" t="s">
        <v>3</v>
      </c>
      <c r="B2" t="s">
        <v>74</v>
      </c>
      <c r="C2" t="s">
        <v>75</v>
      </c>
      <c r="D2" t="s">
        <v>76</v>
      </c>
      <c r="E2" t="s">
        <v>77</v>
      </c>
      <c r="F2" t="s">
        <v>78</v>
      </c>
      <c r="G2" t="s">
        <v>80</v>
      </c>
      <c r="H2" t="s">
        <v>81</v>
      </c>
      <c r="I2" t="s">
        <v>82</v>
      </c>
      <c r="J2" t="s">
        <v>83</v>
      </c>
      <c r="K2" t="s">
        <v>84</v>
      </c>
      <c r="L2" t="s">
        <v>85</v>
      </c>
      <c r="M2" t="s">
        <v>86</v>
      </c>
      <c r="N2" t="s">
        <v>87</v>
      </c>
      <c r="O2" t="s">
        <v>88</v>
      </c>
      <c r="P2" t="s">
        <v>89</v>
      </c>
      <c r="Q2" t="s">
        <v>90</v>
      </c>
      <c r="R2" t="s">
        <v>91</v>
      </c>
      <c r="S2" t="s">
        <v>92</v>
      </c>
      <c r="T2" t="s">
        <v>93</v>
      </c>
      <c r="U2" t="s">
        <v>94</v>
      </c>
      <c r="V2" t="s">
        <v>95</v>
      </c>
      <c r="W2" t="s">
        <v>97</v>
      </c>
      <c r="X2" t="s">
        <v>98</v>
      </c>
      <c r="Y2" t="s">
        <v>99</v>
      </c>
      <c r="Z2" t="s">
        <v>100</v>
      </c>
      <c r="AA2" t="s">
        <v>101</v>
      </c>
      <c r="AB2" t="s">
        <v>102</v>
      </c>
      <c r="AC2" t="s">
        <v>103</v>
      </c>
      <c r="AD2" t="s">
        <v>104</v>
      </c>
      <c r="AE2" t="s">
        <v>105</v>
      </c>
      <c r="AF2" t="s">
        <v>106</v>
      </c>
      <c r="AG2" t="s">
        <v>107</v>
      </c>
      <c r="AH2" t="s">
        <v>108</v>
      </c>
      <c r="AI2" t="s">
        <v>109</v>
      </c>
      <c r="AJ2" t="s">
        <v>110</v>
      </c>
      <c r="AK2" t="s">
        <v>111</v>
      </c>
      <c r="AL2" t="s">
        <v>112</v>
      </c>
      <c r="AM2" t="s">
        <v>113</v>
      </c>
      <c r="AN2" t="s">
        <v>114</v>
      </c>
      <c r="AO2" t="s">
        <v>115</v>
      </c>
      <c r="AP2" t="s">
        <v>116</v>
      </c>
      <c r="AQ2" t="s">
        <v>117</v>
      </c>
      <c r="AR2" t="s">
        <v>118</v>
      </c>
      <c r="AS2" t="s">
        <v>119</v>
      </c>
      <c r="AT2" t="s">
        <v>124</v>
      </c>
      <c r="AU2" t="s">
        <v>123</v>
      </c>
      <c r="AV2" t="s">
        <v>126</v>
      </c>
      <c r="AW2" t="s">
        <v>133</v>
      </c>
      <c r="AX2" t="s">
        <v>134</v>
      </c>
      <c r="AY2" t="s">
        <v>135</v>
      </c>
      <c r="AZ2" t="s">
        <v>136</v>
      </c>
      <c r="BA2" t="s">
        <v>137</v>
      </c>
      <c r="BB2" t="s">
        <v>138</v>
      </c>
      <c r="BC2" t="s">
        <v>139</v>
      </c>
      <c r="BD2" t="s">
        <v>140</v>
      </c>
      <c r="BE2" t="s">
        <v>127</v>
      </c>
      <c r="BF2" t="s">
        <v>128</v>
      </c>
      <c r="BG2" t="s">
        <v>129</v>
      </c>
      <c r="BH2" t="s">
        <v>130</v>
      </c>
      <c r="BI2" t="s">
        <v>131</v>
      </c>
      <c r="BJ2" t="s">
        <v>132</v>
      </c>
      <c r="BK2" t="s">
        <v>160</v>
      </c>
      <c r="BL2" t="s">
        <v>188</v>
      </c>
      <c r="BM2" t="s">
        <v>162</v>
      </c>
      <c r="BN2" t="s">
        <v>164</v>
      </c>
      <c r="BO2" t="s">
        <v>166</v>
      </c>
      <c r="BP2" t="s">
        <v>167</v>
      </c>
      <c r="BQ2" t="s">
        <v>168</v>
      </c>
      <c r="BR2" t="s">
        <v>190</v>
      </c>
      <c r="BS2" t="s">
        <v>169</v>
      </c>
      <c r="BT2" t="s">
        <v>191</v>
      </c>
      <c r="BU2" t="s">
        <v>157</v>
      </c>
      <c r="BV2" t="s">
        <v>192</v>
      </c>
      <c r="BW2" t="s">
        <v>158</v>
      </c>
      <c r="BX2" t="s">
        <v>159</v>
      </c>
      <c r="BY2" t="s">
        <v>193</v>
      </c>
      <c r="BZ2" t="s">
        <v>194</v>
      </c>
      <c r="CA2" t="s">
        <v>161</v>
      </c>
      <c r="CB2" t="s">
        <v>213</v>
      </c>
      <c r="CK2" s="12"/>
      <c r="CL2" s="12"/>
      <c r="CM2" s="12"/>
    </row>
    <row r="3" spans="1:91" x14ac:dyDescent="0.2">
      <c r="A3" s="3" t="s">
        <v>73</v>
      </c>
      <c r="B3">
        <v>6.391800536699999</v>
      </c>
      <c r="C3">
        <v>3.1770135480600001</v>
      </c>
      <c r="D3">
        <v>12.816808360899998</v>
      </c>
      <c r="E3">
        <v>6.4393644018000007</v>
      </c>
      <c r="F3">
        <v>4.1415547519999993</v>
      </c>
      <c r="G3">
        <v>6.7330414951999993</v>
      </c>
      <c r="H3">
        <v>6.1017497671000003</v>
      </c>
      <c r="I3">
        <v>5.2679979476000014</v>
      </c>
      <c r="J3">
        <v>1.9426925711999996</v>
      </c>
      <c r="K3">
        <v>7.2663764387999992</v>
      </c>
      <c r="L3">
        <v>9.8133792090527017</v>
      </c>
      <c r="M3">
        <v>5.9634416576470928</v>
      </c>
      <c r="N3">
        <v>8.621972916599999</v>
      </c>
      <c r="O3">
        <v>6.9784064186600006</v>
      </c>
      <c r="P3">
        <v>5.9439750680000003</v>
      </c>
      <c r="Q3">
        <v>9.3769842030999975</v>
      </c>
      <c r="R3">
        <v>5.7659015617000007</v>
      </c>
      <c r="S3">
        <v>4.9435101709999989</v>
      </c>
      <c r="T3">
        <v>6.3687977963999991</v>
      </c>
      <c r="U3">
        <v>4.2012945678399998</v>
      </c>
      <c r="V3">
        <v>1.94224344706537</v>
      </c>
      <c r="W3">
        <v>5.6914977681000014</v>
      </c>
      <c r="X3">
        <v>3.5272978020000001</v>
      </c>
      <c r="Y3">
        <v>3.3474243279999998</v>
      </c>
      <c r="Z3">
        <v>1.9251146577599998</v>
      </c>
      <c r="AA3">
        <v>1.9583813354699993</v>
      </c>
      <c r="AB3">
        <v>12.688791656000001</v>
      </c>
      <c r="AC3">
        <v>4.3809950771999997</v>
      </c>
      <c r="AD3">
        <v>6.8273253735999999</v>
      </c>
      <c r="AE3">
        <v>2.3971099300000001</v>
      </c>
      <c r="AF3">
        <v>3.900568452299999</v>
      </c>
      <c r="AG3">
        <v>4.0726768946000007</v>
      </c>
      <c r="AH3">
        <v>7.5345529800000008</v>
      </c>
      <c r="AI3">
        <v>4.4405213595999999</v>
      </c>
      <c r="AJ3">
        <v>2.5034119380000006</v>
      </c>
      <c r="AK3">
        <v>5.8217415102857135</v>
      </c>
      <c r="AL3">
        <v>5.4120773374000004</v>
      </c>
      <c r="AM3">
        <v>3.1308680299499994</v>
      </c>
      <c r="AN3">
        <v>2.1530791841999997</v>
      </c>
      <c r="AO3">
        <v>4.6828832297511145</v>
      </c>
      <c r="AP3">
        <v>4.5696121390500002</v>
      </c>
      <c r="AQ3">
        <v>5.4771448991999998</v>
      </c>
      <c r="AR3">
        <v>4.5332182904499998</v>
      </c>
      <c r="AS3">
        <v>6.2772916932000005</v>
      </c>
      <c r="AT3">
        <v>7.2507659897804499</v>
      </c>
      <c r="AU3">
        <v>5.2424940364182175</v>
      </c>
      <c r="AV3">
        <v>7.8035580797046311</v>
      </c>
      <c r="AW3">
        <v>4.3081732437999998</v>
      </c>
      <c r="AX3">
        <v>5.9116515077315306</v>
      </c>
      <c r="AY3">
        <v>6.3690267548859678</v>
      </c>
      <c r="AZ3">
        <v>1.9958043233230687</v>
      </c>
      <c r="BA3">
        <v>5.0152046884003711</v>
      </c>
      <c r="BB3">
        <v>2.8197356420516986</v>
      </c>
      <c r="BC3">
        <v>6.8148693932681876</v>
      </c>
      <c r="BD3">
        <v>5.2707788291051818</v>
      </c>
      <c r="BE3">
        <v>3.9566496721089051</v>
      </c>
      <c r="BF3">
        <v>5.5692706669773777</v>
      </c>
      <c r="BG3">
        <v>4.7930427101559818</v>
      </c>
      <c r="BH3">
        <v>4.9504883473366341</v>
      </c>
      <c r="BI3">
        <v>10.871165677992973</v>
      </c>
      <c r="BJ3">
        <v>7.4679808898985423</v>
      </c>
      <c r="BK3">
        <v>19.946134186819162</v>
      </c>
      <c r="BL3">
        <v>6.4223087544769069</v>
      </c>
      <c r="BM3">
        <v>3.6916910040154773</v>
      </c>
      <c r="BN3">
        <v>3.9347221929654719</v>
      </c>
      <c r="BO3">
        <v>3.6236144062996232</v>
      </c>
      <c r="BP3">
        <v>4.5734651714511285</v>
      </c>
      <c r="BQ3">
        <v>6.030428868010616</v>
      </c>
      <c r="BR3">
        <v>6.5530017198397887</v>
      </c>
      <c r="BS3">
        <v>3.777933176509281</v>
      </c>
      <c r="BT3">
        <v>21.360497201093356</v>
      </c>
      <c r="BU3">
        <v>5.1578729531264251</v>
      </c>
      <c r="BV3">
        <v>7.618925827711827</v>
      </c>
      <c r="BW3">
        <v>3.010194052165716</v>
      </c>
      <c r="BX3">
        <v>4.5653243432231205</v>
      </c>
      <c r="BY3">
        <v>2.6636050095151971</v>
      </c>
      <c r="BZ3">
        <v>4.3495176746170765</v>
      </c>
      <c r="CA3">
        <v>4.424043523818284</v>
      </c>
      <c r="CB3">
        <v>1.5789424310550071</v>
      </c>
      <c r="CK3" s="12"/>
      <c r="CL3" s="12"/>
      <c r="CM3" s="12"/>
    </row>
    <row r="4" spans="1:91" x14ac:dyDescent="0.2">
      <c r="A4" s="3" t="s">
        <v>1</v>
      </c>
      <c r="B4" t="s">
        <v>72</v>
      </c>
      <c r="C4" t="s">
        <v>72</v>
      </c>
      <c r="D4" t="s">
        <v>72</v>
      </c>
      <c r="E4" s="13" t="s">
        <v>72</v>
      </c>
      <c r="F4" s="13" t="s">
        <v>72</v>
      </c>
      <c r="G4" s="13" t="s">
        <v>72</v>
      </c>
      <c r="H4" s="13" t="s">
        <v>72</v>
      </c>
      <c r="I4" t="s">
        <v>72</v>
      </c>
      <c r="J4" t="s">
        <v>72</v>
      </c>
      <c r="K4" t="s">
        <v>72</v>
      </c>
      <c r="L4" t="s">
        <v>72</v>
      </c>
      <c r="M4" t="s">
        <v>72</v>
      </c>
      <c r="N4" t="s">
        <v>72</v>
      </c>
      <c r="O4" t="s">
        <v>72</v>
      </c>
      <c r="P4" t="s">
        <v>72</v>
      </c>
      <c r="Q4" t="s">
        <v>72</v>
      </c>
      <c r="R4" t="s">
        <v>72</v>
      </c>
      <c r="S4" t="s">
        <v>72</v>
      </c>
      <c r="T4" t="s">
        <v>72</v>
      </c>
      <c r="U4" t="s">
        <v>72</v>
      </c>
      <c r="V4" t="s">
        <v>72</v>
      </c>
      <c r="W4" t="s">
        <v>72</v>
      </c>
      <c r="X4" t="s">
        <v>72</v>
      </c>
      <c r="Y4" t="s">
        <v>72</v>
      </c>
      <c r="Z4" t="s">
        <v>72</v>
      </c>
      <c r="AA4" t="s">
        <v>72</v>
      </c>
      <c r="AB4" t="s">
        <v>72</v>
      </c>
      <c r="AC4" t="s">
        <v>72</v>
      </c>
      <c r="AD4" t="s">
        <v>72</v>
      </c>
      <c r="AE4" t="s">
        <v>72</v>
      </c>
      <c r="AF4" t="s">
        <v>72</v>
      </c>
      <c r="AG4" t="s">
        <v>72</v>
      </c>
      <c r="AH4" t="s">
        <v>72</v>
      </c>
      <c r="AI4" t="s">
        <v>72</v>
      </c>
      <c r="AJ4" t="s">
        <v>72</v>
      </c>
      <c r="AK4" t="s">
        <v>72</v>
      </c>
      <c r="AL4" t="s">
        <v>72</v>
      </c>
      <c r="AM4" t="s">
        <v>72</v>
      </c>
      <c r="AN4" t="s">
        <v>72</v>
      </c>
      <c r="AO4" t="s">
        <v>72</v>
      </c>
      <c r="AP4" t="s">
        <v>72</v>
      </c>
      <c r="AQ4" t="s">
        <v>72</v>
      </c>
      <c r="AR4" t="s">
        <v>72</v>
      </c>
      <c r="AS4" t="s">
        <v>72</v>
      </c>
      <c r="AT4" t="s">
        <v>72</v>
      </c>
      <c r="AU4" t="s">
        <v>72</v>
      </c>
      <c r="AV4" t="s">
        <v>72</v>
      </c>
      <c r="AW4" t="s">
        <v>155</v>
      </c>
      <c r="AX4" t="s">
        <v>155</v>
      </c>
      <c r="AY4" t="s">
        <v>155</v>
      </c>
      <c r="AZ4" t="s">
        <v>155</v>
      </c>
      <c r="BA4" t="s">
        <v>155</v>
      </c>
      <c r="BB4" t="s">
        <v>155</v>
      </c>
      <c r="BC4" t="s">
        <v>155</v>
      </c>
      <c r="BD4" t="s">
        <v>155</v>
      </c>
      <c r="BE4" t="s">
        <v>155</v>
      </c>
      <c r="BF4" t="s">
        <v>155</v>
      </c>
      <c r="BG4" t="s">
        <v>155</v>
      </c>
      <c r="BH4" t="s">
        <v>155</v>
      </c>
      <c r="BI4" t="s">
        <v>155</v>
      </c>
      <c r="BJ4" t="s">
        <v>155</v>
      </c>
      <c r="BK4" t="s">
        <v>187</v>
      </c>
      <c r="BL4" t="s">
        <v>187</v>
      </c>
      <c r="BM4" t="s">
        <v>187</v>
      </c>
      <c r="BN4" t="s">
        <v>187</v>
      </c>
      <c r="BO4" t="s">
        <v>187</v>
      </c>
      <c r="BP4" t="s">
        <v>187</v>
      </c>
      <c r="BQ4" t="s">
        <v>187</v>
      </c>
      <c r="BR4" t="s">
        <v>187</v>
      </c>
      <c r="BS4" t="s">
        <v>187</v>
      </c>
      <c r="BT4" t="s">
        <v>187</v>
      </c>
      <c r="BU4" t="s">
        <v>187</v>
      </c>
      <c r="BV4" t="s">
        <v>187</v>
      </c>
      <c r="BW4" t="s">
        <v>187</v>
      </c>
      <c r="BX4" t="s">
        <v>187</v>
      </c>
      <c r="BY4" t="s">
        <v>187</v>
      </c>
      <c r="BZ4" t="s">
        <v>187</v>
      </c>
      <c r="CA4" t="s">
        <v>187</v>
      </c>
      <c r="CB4" t="s">
        <v>187</v>
      </c>
      <c r="CK4" s="12"/>
      <c r="CL4" s="12"/>
      <c r="CM4" s="12"/>
    </row>
    <row r="5" spans="1:91" x14ac:dyDescent="0.2">
      <c r="A5" s="3" t="s">
        <v>0</v>
      </c>
      <c r="B5" t="s">
        <v>29</v>
      </c>
      <c r="C5" t="s">
        <v>30</v>
      </c>
      <c r="D5" t="s">
        <v>31</v>
      </c>
      <c r="E5" s="13" t="s">
        <v>32</v>
      </c>
      <c r="F5" s="13" t="s">
        <v>33</v>
      </c>
      <c r="G5" s="13" t="s">
        <v>34</v>
      </c>
      <c r="H5" s="13" t="s">
        <v>35</v>
      </c>
      <c r="I5" t="s">
        <v>36</v>
      </c>
      <c r="J5" t="s">
        <v>37</v>
      </c>
      <c r="K5" t="s">
        <v>38</v>
      </c>
      <c r="L5" t="s">
        <v>39</v>
      </c>
      <c r="M5" t="s">
        <v>40</v>
      </c>
      <c r="N5" t="s">
        <v>41</v>
      </c>
      <c r="O5" t="s">
        <v>42</v>
      </c>
      <c r="P5" t="s">
        <v>43</v>
      </c>
      <c r="Q5" t="s">
        <v>44</v>
      </c>
      <c r="R5" t="s">
        <v>45</v>
      </c>
      <c r="S5" t="s">
        <v>46</v>
      </c>
      <c r="T5" t="s">
        <v>47</v>
      </c>
      <c r="U5" t="s">
        <v>48</v>
      </c>
      <c r="V5" t="s">
        <v>96</v>
      </c>
      <c r="W5" t="s">
        <v>49</v>
      </c>
      <c r="X5" t="s">
        <v>50</v>
      </c>
      <c r="Y5" t="s">
        <v>51</v>
      </c>
      <c r="Z5" t="s">
        <v>52</v>
      </c>
      <c r="AA5" t="s">
        <v>53</v>
      </c>
      <c r="AB5" t="s">
        <v>54</v>
      </c>
      <c r="AC5" t="s">
        <v>55</v>
      </c>
      <c r="AD5" t="s">
        <v>56</v>
      </c>
      <c r="AE5" t="s">
        <v>57</v>
      </c>
      <c r="AF5" t="s">
        <v>58</v>
      </c>
      <c r="AG5" t="s">
        <v>59</v>
      </c>
      <c r="AH5" t="s">
        <v>60</v>
      </c>
      <c r="AI5" t="s">
        <v>61</v>
      </c>
      <c r="AJ5" t="s">
        <v>62</v>
      </c>
      <c r="AK5" t="s">
        <v>63</v>
      </c>
      <c r="AL5" t="s">
        <v>64</v>
      </c>
      <c r="AM5" t="s">
        <v>65</v>
      </c>
      <c r="AN5" t="s">
        <v>66</v>
      </c>
      <c r="AO5" t="s">
        <v>67</v>
      </c>
      <c r="AP5" t="s">
        <v>68</v>
      </c>
      <c r="AQ5" t="s">
        <v>69</v>
      </c>
      <c r="AR5" t="s">
        <v>70</v>
      </c>
      <c r="AS5" t="s">
        <v>71</v>
      </c>
      <c r="AT5" t="s">
        <v>121</v>
      </c>
      <c r="AU5" t="s">
        <v>122</v>
      </c>
      <c r="AV5" t="s">
        <v>125</v>
      </c>
      <c r="AW5" t="s">
        <v>147</v>
      </c>
      <c r="AX5" t="s">
        <v>148</v>
      </c>
      <c r="AY5" t="s">
        <v>149</v>
      </c>
      <c r="AZ5" t="s">
        <v>150</v>
      </c>
      <c r="BA5" t="s">
        <v>151</v>
      </c>
      <c r="BB5" t="s">
        <v>152</v>
      </c>
      <c r="BC5" t="s">
        <v>153</v>
      </c>
      <c r="BD5" t="s">
        <v>154</v>
      </c>
      <c r="BE5" t="s">
        <v>141</v>
      </c>
      <c r="BF5" t="s">
        <v>142</v>
      </c>
      <c r="BG5" t="s">
        <v>143</v>
      </c>
      <c r="BH5" t="s">
        <v>144</v>
      </c>
      <c r="BI5" t="s">
        <v>145</v>
      </c>
      <c r="BJ5" t="s">
        <v>146</v>
      </c>
      <c r="BK5" t="s">
        <v>177</v>
      </c>
      <c r="BL5" t="s">
        <v>179</v>
      </c>
      <c r="BM5" t="s">
        <v>180</v>
      </c>
      <c r="BN5" t="s">
        <v>181</v>
      </c>
      <c r="BO5" t="s">
        <v>182</v>
      </c>
      <c r="BP5" t="s">
        <v>183</v>
      </c>
      <c r="BQ5" t="s">
        <v>184</v>
      </c>
      <c r="BR5" t="s">
        <v>185</v>
      </c>
      <c r="BS5" t="s">
        <v>186</v>
      </c>
      <c r="BT5" t="s">
        <v>170</v>
      </c>
      <c r="BU5" t="s">
        <v>171</v>
      </c>
      <c r="BV5" t="s">
        <v>172</v>
      </c>
      <c r="BW5" t="s">
        <v>173</v>
      </c>
      <c r="BX5" t="s">
        <v>174</v>
      </c>
      <c r="BY5" t="s">
        <v>175</v>
      </c>
      <c r="BZ5" t="s">
        <v>176</v>
      </c>
      <c r="CA5" t="s">
        <v>178</v>
      </c>
      <c r="CB5" t="s">
        <v>189</v>
      </c>
    </row>
    <row r="6" spans="1:91" x14ac:dyDescent="0.2">
      <c r="A6" s="3" t="s">
        <v>334</v>
      </c>
      <c r="B6">
        <v>-7092.24853515625</v>
      </c>
      <c r="C6">
        <v>-1008.77575683593</v>
      </c>
      <c r="D6">
        <v>-3050.23510742187</v>
      </c>
      <c r="E6" s="13">
        <v>-3896.03735351562</v>
      </c>
      <c r="F6" s="13">
        <v>-3554.17529296875</v>
      </c>
      <c r="G6" s="13">
        <v>-2015.2071838378831</v>
      </c>
      <c r="H6" s="13">
        <v>-2016.982421875</v>
      </c>
      <c r="I6">
        <v>-1983.22094726562</v>
      </c>
      <c r="J6">
        <v>-1923.50500488281</v>
      </c>
      <c r="K6">
        <v>-3719.7826035916805</v>
      </c>
      <c r="L6">
        <v>-1056.11608886718</v>
      </c>
      <c r="M6">
        <v>-2639.62377929687</v>
      </c>
      <c r="N6">
        <v>-1585.70617675781</v>
      </c>
      <c r="O6">
        <v>-1442.55212402343</v>
      </c>
      <c r="P6">
        <v>-1621.3935546875</v>
      </c>
      <c r="Q6">
        <v>-1498.87731933593</v>
      </c>
      <c r="R6">
        <v>-1249.88500976562</v>
      </c>
      <c r="S6">
        <v>-1033.18774414062</v>
      </c>
      <c r="T6">
        <v>-880.74572753906205</v>
      </c>
      <c r="U6">
        <v>-1022.71356201171</v>
      </c>
      <c r="V6">
        <v>-829.68170166015602</v>
      </c>
      <c r="W6">
        <v>-834.70147705078102</v>
      </c>
      <c r="X6">
        <v>-807.79217529296795</v>
      </c>
      <c r="Y6">
        <v>-851.74560546875</v>
      </c>
      <c r="Z6">
        <v>-668.92657470703102</v>
      </c>
      <c r="AA6">
        <v>-667.23297119140602</v>
      </c>
      <c r="AB6">
        <v>-724.89862060546795</v>
      </c>
      <c r="AC6">
        <v>-1578.10717773437</v>
      </c>
      <c r="AD6">
        <v>-658.77099609375</v>
      </c>
      <c r="AE6">
        <v>-658.92181396484295</v>
      </c>
      <c r="AF6">
        <v>-623.001220703125</v>
      </c>
      <c r="AG6">
        <v>-582.72412109375</v>
      </c>
      <c r="AH6">
        <v>-643.32318115234295</v>
      </c>
      <c r="AI6">
        <v>-488.23602294921801</v>
      </c>
      <c r="AJ6">
        <v>-511.00048828125</v>
      </c>
      <c r="AK6">
        <v>-465.76852416992102</v>
      </c>
      <c r="AL6">
        <v>-380.48046875</v>
      </c>
      <c r="AM6">
        <v>-351.60711669921801</v>
      </c>
      <c r="AN6">
        <v>-540.71728515625</v>
      </c>
      <c r="AO6">
        <v>-287.28729248046801</v>
      </c>
      <c r="AP6">
        <v>-199.58590698242099</v>
      </c>
      <c r="AQ6">
        <v>-181.74948120117099</v>
      </c>
      <c r="AR6">
        <v>-138.13587951660099</v>
      </c>
      <c r="AS6">
        <v>-205.64947509765599</v>
      </c>
      <c r="AT6">
        <v>-262.17529805501226</v>
      </c>
      <c r="AU6">
        <v>-710.62213134765602</v>
      </c>
      <c r="AV6">
        <v>-202.67994232177685</v>
      </c>
      <c r="AW6">
        <v>-1259.16442871093</v>
      </c>
      <c r="AX6">
        <v>-1878.30895996093</v>
      </c>
      <c r="AY6">
        <v>-1228.71643066406</v>
      </c>
      <c r="AZ6">
        <v>-719.716064453125</v>
      </c>
      <c r="BA6">
        <v>-701.47442022959331</v>
      </c>
      <c r="BB6">
        <v>-238.648834228515</v>
      </c>
      <c r="BC6">
        <v>-425.69692802429182</v>
      </c>
      <c r="BD6">
        <v>-444.202392578125</v>
      </c>
      <c r="BE6">
        <v>-405.83609008789</v>
      </c>
      <c r="BF6">
        <v>-245.05612182617099</v>
      </c>
      <c r="BG6">
        <v>-636.06451416015602</v>
      </c>
      <c r="BH6">
        <v>-134.95062255859301</v>
      </c>
      <c r="BI6">
        <v>-163.615966796875</v>
      </c>
      <c r="BJ6">
        <v>-166.67173862457187</v>
      </c>
      <c r="BK6">
        <v>-1253.5960853386482</v>
      </c>
      <c r="BL6">
        <v>-562.91259765625</v>
      </c>
      <c r="BM6">
        <v>-430.28158569335898</v>
      </c>
      <c r="BN6">
        <v>-524.85577392578102</v>
      </c>
      <c r="BO6">
        <v>-445.917724609375</v>
      </c>
      <c r="BP6">
        <v>-465.91846720377572</v>
      </c>
      <c r="BQ6">
        <v>-767.74268798827995</v>
      </c>
      <c r="BR6">
        <v>-344.938863118489</v>
      </c>
      <c r="BS6">
        <v>-299.99444580078102</v>
      </c>
      <c r="BT6">
        <v>-284.01452636718699</v>
      </c>
      <c r="BU6">
        <v>-308.277587890625</v>
      </c>
      <c r="BV6">
        <v>-324.96003656387245</v>
      </c>
      <c r="BW6">
        <v>-258.53070068359301</v>
      </c>
      <c r="BX6">
        <v>-124.72621154785099</v>
      </c>
      <c r="BY6">
        <v>-159.9383430480955</v>
      </c>
      <c r="BZ6">
        <v>-106.21609560648574</v>
      </c>
      <c r="CA6">
        <v>-197.92558288574151</v>
      </c>
      <c r="CB6">
        <v>-144.70572471618587</v>
      </c>
    </row>
    <row r="7" spans="1:91" x14ac:dyDescent="0.2">
      <c r="A7" s="3" t="s">
        <v>345</v>
      </c>
      <c r="B7">
        <v>-1109.5853968587517</v>
      </c>
      <c r="C7">
        <v>-317.52327825354257</v>
      </c>
      <c r="D7">
        <v>-237.98710424095646</v>
      </c>
      <c r="E7" s="13">
        <v>-605.03445843607756</v>
      </c>
      <c r="F7" s="13">
        <v>-858.17416545136882</v>
      </c>
      <c r="G7" s="13">
        <v>-299.30116801961327</v>
      </c>
      <c r="H7" s="13">
        <v>-330.55803644232662</v>
      </c>
      <c r="I7">
        <v>-376.46577826954876</v>
      </c>
      <c r="J7">
        <v>-990.12321012514224</v>
      </c>
      <c r="K7">
        <v>-511.91713434075564</v>
      </c>
      <c r="L7">
        <v>-107.62002225420251</v>
      </c>
      <c r="M7">
        <v>-442.63429255017604</v>
      </c>
      <c r="N7">
        <v>-183.91453929353324</v>
      </c>
      <c r="O7">
        <v>-206.71655353378372</v>
      </c>
      <c r="P7">
        <v>-272.77933304539562</v>
      </c>
      <c r="Q7">
        <v>-159.84641616868743</v>
      </c>
      <c r="R7">
        <v>-216.77182594791086</v>
      </c>
      <c r="S7">
        <v>-208.99881023843861</v>
      </c>
      <c r="T7">
        <v>-138.29073487572629</v>
      </c>
      <c r="U7">
        <v>-243.42819707057936</v>
      </c>
      <c r="V7">
        <v>-427.17698593024596</v>
      </c>
      <c r="W7">
        <v>-146.65761299761175</v>
      </c>
      <c r="X7">
        <v>-229.01161757165633</v>
      </c>
      <c r="Y7">
        <v>-254.44805378995562</v>
      </c>
      <c r="Z7">
        <v>-347.47362813463383</v>
      </c>
      <c r="AA7">
        <v>-340.70635739145985</v>
      </c>
      <c r="AB7">
        <v>-57.129050602914866</v>
      </c>
      <c r="AC7">
        <v>-360.21660602800233</v>
      </c>
      <c r="AD7">
        <v>-96.490347250930085</v>
      </c>
      <c r="AE7">
        <v>-274.88176729752354</v>
      </c>
      <c r="AF7">
        <v>-159.72062234563984</v>
      </c>
      <c r="AG7">
        <v>-143.08135316759089</v>
      </c>
      <c r="AH7">
        <v>-85.38305893660899</v>
      </c>
      <c r="AI7">
        <v>-109.9501575178096</v>
      </c>
      <c r="AJ7">
        <v>-204.12161519429884</v>
      </c>
      <c r="AK7">
        <v>-80.005016256220301</v>
      </c>
      <c r="AL7">
        <v>-70.30211229996678</v>
      </c>
      <c r="AM7">
        <v>-112.30339743985736</v>
      </c>
      <c r="AN7">
        <v>-251.13673901276394</v>
      </c>
      <c r="AO7">
        <v>-61.348378421073022</v>
      </c>
      <c r="AP7">
        <v>-43.676771881106284</v>
      </c>
      <c r="AQ7">
        <v>-33.183252323252866</v>
      </c>
      <c r="AR7">
        <v>-30.471923182611317</v>
      </c>
      <c r="AS7">
        <v>-32.760860120683866</v>
      </c>
      <c r="AT7">
        <v>-36.158289817177071</v>
      </c>
      <c r="AU7">
        <v>-135.55039384139539</v>
      </c>
      <c r="AV7">
        <v>-25.972760150129925</v>
      </c>
      <c r="AW7">
        <v>-292.27339697237687</v>
      </c>
      <c r="AX7">
        <v>-317.72998755159887</v>
      </c>
      <c r="AY7">
        <v>-192.92059492786024</v>
      </c>
      <c r="AZ7">
        <v>-360.6145432407813</v>
      </c>
      <c r="BA7">
        <v>-139.86954946266263</v>
      </c>
      <c r="BB7">
        <v>-84.635180216706104</v>
      </c>
      <c r="BC7">
        <v>-62.465896770494311</v>
      </c>
      <c r="BD7">
        <v>-84.276424221263909</v>
      </c>
      <c r="BE7">
        <v>-102.57064024361253</v>
      </c>
      <c r="BF7">
        <v>-44.001474605860885</v>
      </c>
      <c r="BG7">
        <v>-132.70578891617185</v>
      </c>
      <c r="BH7">
        <v>-27.260062662544502</v>
      </c>
      <c r="BI7">
        <v>-15.050452880880172</v>
      </c>
      <c r="BJ7">
        <v>-22.318179583188009</v>
      </c>
      <c r="BK7">
        <v>-62.849075093811997</v>
      </c>
      <c r="BL7">
        <v>-87.649569520283663</v>
      </c>
      <c r="BM7">
        <v>-116.55406295525242</v>
      </c>
      <c r="BN7">
        <v>-133.39080834324781</v>
      </c>
      <c r="BO7">
        <v>-123.05882321092189</v>
      </c>
      <c r="BP7">
        <v>-101.87427907228231</v>
      </c>
      <c r="BQ7">
        <v>-127.31145740908994</v>
      </c>
      <c r="BR7">
        <v>-52.638298884335136</v>
      </c>
      <c r="BS7">
        <v>-79.407028071885762</v>
      </c>
      <c r="BT7">
        <v>-13.296250723632475</v>
      </c>
      <c r="BU7">
        <v>-59.768356198801619</v>
      </c>
      <c r="BV7">
        <v>-42.651686591030497</v>
      </c>
      <c r="BW7">
        <v>-85.88506129616141</v>
      </c>
      <c r="BX7">
        <v>-27.320339623404337</v>
      </c>
      <c r="BY7">
        <v>-60.045818534184953</v>
      </c>
      <c r="BZ7">
        <v>-24.42020094005867</v>
      </c>
      <c r="CA7">
        <v>-44.738615662378649</v>
      </c>
      <c r="CB7">
        <v>-91.647245567716723</v>
      </c>
    </row>
    <row r="8" spans="1:91" x14ac:dyDescent="0.2">
      <c r="A8" s="3" t="s">
        <v>335</v>
      </c>
      <c r="B8">
        <v>10</v>
      </c>
      <c r="C8">
        <v>0</v>
      </c>
      <c r="D8">
        <v>10</v>
      </c>
      <c r="E8">
        <v>0</v>
      </c>
      <c r="F8">
        <v>10</v>
      </c>
      <c r="G8">
        <v>10</v>
      </c>
      <c r="H8">
        <v>10</v>
      </c>
      <c r="I8">
        <v>-10</v>
      </c>
      <c r="J8">
        <v>0</v>
      </c>
      <c r="K8">
        <v>10</v>
      </c>
      <c r="L8">
        <v>10</v>
      </c>
      <c r="M8">
        <v>0</v>
      </c>
      <c r="N8">
        <v>-10</v>
      </c>
      <c r="O8">
        <v>0</v>
      </c>
      <c r="P8">
        <v>10</v>
      </c>
      <c r="Q8">
        <v>10</v>
      </c>
      <c r="R8">
        <v>20</v>
      </c>
      <c r="S8">
        <v>0</v>
      </c>
      <c r="T8">
        <v>0</v>
      </c>
      <c r="U8">
        <v>0</v>
      </c>
      <c r="V8">
        <v>10</v>
      </c>
      <c r="W8">
        <v>10</v>
      </c>
      <c r="X8">
        <v>0</v>
      </c>
      <c r="Y8">
        <v>10</v>
      </c>
      <c r="Z8">
        <v>10</v>
      </c>
      <c r="AA8">
        <v>10</v>
      </c>
      <c r="AB8">
        <v>0</v>
      </c>
      <c r="AC8">
        <v>0</v>
      </c>
      <c r="AD8">
        <v>20</v>
      </c>
      <c r="AE8">
        <v>20</v>
      </c>
      <c r="AF8">
        <v>10</v>
      </c>
      <c r="AG8">
        <v>10</v>
      </c>
      <c r="AH8">
        <v>10</v>
      </c>
      <c r="AI8">
        <v>10</v>
      </c>
      <c r="AJ8">
        <v>10</v>
      </c>
      <c r="AK8">
        <v>0</v>
      </c>
      <c r="AL8">
        <v>10</v>
      </c>
      <c r="AM8">
        <v>10</v>
      </c>
      <c r="AN8">
        <v>20</v>
      </c>
      <c r="AO8">
        <v>10</v>
      </c>
      <c r="AP8">
        <v>10</v>
      </c>
      <c r="AQ8">
        <v>10</v>
      </c>
      <c r="AR8">
        <v>10</v>
      </c>
      <c r="AS8">
        <v>10</v>
      </c>
      <c r="AT8">
        <v>10</v>
      </c>
      <c r="AU8">
        <v>10</v>
      </c>
      <c r="AV8">
        <v>20</v>
      </c>
      <c r="AW8">
        <v>10</v>
      </c>
      <c r="AX8">
        <v>0</v>
      </c>
      <c r="AY8">
        <v>0</v>
      </c>
      <c r="AZ8">
        <v>10</v>
      </c>
      <c r="BA8">
        <v>10</v>
      </c>
      <c r="BB8">
        <v>10</v>
      </c>
      <c r="BC8">
        <v>10</v>
      </c>
      <c r="BD8">
        <v>10</v>
      </c>
      <c r="BE8">
        <v>10</v>
      </c>
      <c r="BF8">
        <v>20</v>
      </c>
      <c r="BG8">
        <v>20</v>
      </c>
      <c r="BH8">
        <v>10</v>
      </c>
      <c r="BI8">
        <v>10</v>
      </c>
      <c r="BJ8">
        <v>10</v>
      </c>
      <c r="BK8">
        <v>10</v>
      </c>
      <c r="BL8">
        <v>10</v>
      </c>
      <c r="BM8">
        <v>20</v>
      </c>
      <c r="BN8">
        <v>0</v>
      </c>
      <c r="BO8">
        <v>10</v>
      </c>
      <c r="BP8">
        <v>10</v>
      </c>
      <c r="BQ8">
        <v>0</v>
      </c>
      <c r="BR8">
        <v>10</v>
      </c>
      <c r="BS8">
        <v>10</v>
      </c>
      <c r="BT8">
        <v>10</v>
      </c>
      <c r="BU8">
        <v>20</v>
      </c>
      <c r="BV8">
        <v>10</v>
      </c>
      <c r="BW8">
        <v>10</v>
      </c>
      <c r="BX8">
        <v>10</v>
      </c>
      <c r="BY8">
        <v>10</v>
      </c>
      <c r="BZ8">
        <v>10</v>
      </c>
      <c r="CA8">
        <v>30</v>
      </c>
      <c r="CB8">
        <v>10</v>
      </c>
    </row>
    <row r="9" spans="1:91" x14ac:dyDescent="0.2">
      <c r="A9" s="3" t="s">
        <v>336</v>
      </c>
      <c r="B9">
        <v>-122.28014715786638</v>
      </c>
      <c r="C9">
        <v>-14.834937600528383</v>
      </c>
      <c r="D9">
        <v>-52.59026047279086</v>
      </c>
      <c r="E9">
        <v>-57.294666963464998</v>
      </c>
      <c r="F9">
        <v>-61.278884361530174</v>
      </c>
      <c r="G9" s="1">
        <v>-34.744951445480744</v>
      </c>
      <c r="H9">
        <v>-34.775558997844826</v>
      </c>
      <c r="I9">
        <v>-25.425909580328462</v>
      </c>
      <c r="J9">
        <v>-28.286838307100147</v>
      </c>
      <c r="K9">
        <v>-64.134182820546215</v>
      </c>
      <c r="L9">
        <v>-18.208898083916896</v>
      </c>
      <c r="M9">
        <v>-38.817996754365737</v>
      </c>
      <c r="N9">
        <v>-20.329566368689871</v>
      </c>
      <c r="O9">
        <v>-21.214001823873971</v>
      </c>
      <c r="P9">
        <v>-27.955061287715516</v>
      </c>
      <c r="Q9">
        <v>-25.842712402343622</v>
      </c>
      <c r="R9">
        <v>-26.039271036783749</v>
      </c>
      <c r="S9">
        <v>-15.193937413832646</v>
      </c>
      <c r="T9">
        <v>-12.952143052045031</v>
      </c>
      <c r="U9">
        <v>-15.039905323701618</v>
      </c>
      <c r="V9">
        <v>-14.304856925175104</v>
      </c>
      <c r="W9">
        <v>-14.391404776737604</v>
      </c>
      <c r="X9">
        <v>-11.879296695484824</v>
      </c>
      <c r="Y9">
        <v>-14.685269059806034</v>
      </c>
      <c r="Z9">
        <v>-11.533216805293637</v>
      </c>
      <c r="AA9">
        <v>-11.504016744679415</v>
      </c>
      <c r="AB9">
        <v>-10.660273832433353</v>
      </c>
      <c r="AC9">
        <v>-23.207458496093675</v>
      </c>
      <c r="AD9">
        <v>-13.724395751953125</v>
      </c>
      <c r="AE9">
        <v>-13.727537790934228</v>
      </c>
      <c r="AF9">
        <v>-10.741400356950431</v>
      </c>
      <c r="AG9">
        <v>-10.046967605064655</v>
      </c>
      <c r="AH9">
        <v>-11.091778985385224</v>
      </c>
      <c r="AI9">
        <v>-8.41786246464169</v>
      </c>
      <c r="AJ9">
        <v>-8.8103532462284484</v>
      </c>
      <c r="AK9">
        <v>-6.8495371201458974</v>
      </c>
      <c r="AL9">
        <v>-6.5600080818965516</v>
      </c>
      <c r="AM9">
        <v>-6.0621916672278964</v>
      </c>
      <c r="AN9">
        <v>-11.264943440755209</v>
      </c>
      <c r="AO9">
        <v>-4.9532291806977247</v>
      </c>
      <c r="AP9">
        <v>-3.4411363272831208</v>
      </c>
      <c r="AQ9">
        <v>-3.1336117448477756</v>
      </c>
      <c r="AR9">
        <v>-2.3816530951138102</v>
      </c>
      <c r="AS9">
        <v>-3.545680605132</v>
      </c>
      <c r="AT9">
        <v>-4.5202637595691773</v>
      </c>
      <c r="AU9">
        <v>-12.252105712890621</v>
      </c>
      <c r="AV9">
        <v>-4.222498798370351</v>
      </c>
      <c r="AW9">
        <v>-21.709731529498793</v>
      </c>
      <c r="AX9">
        <v>-27.622190587660736</v>
      </c>
      <c r="AY9">
        <v>-18.06935927447147</v>
      </c>
      <c r="AZ9">
        <v>-12.408897662984915</v>
      </c>
      <c r="BA9">
        <v>-12.094386555682643</v>
      </c>
      <c r="BB9">
        <v>-4.1146350729054308</v>
      </c>
      <c r="BC9">
        <v>-7.3396022073153766</v>
      </c>
      <c r="BD9">
        <v>-7.6586619410021548</v>
      </c>
      <c r="BE9">
        <v>-6.9971739670325865</v>
      </c>
      <c r="BF9">
        <v>-5.1053358713785624</v>
      </c>
      <c r="BG9">
        <v>-13.25134404500325</v>
      </c>
      <c r="BH9">
        <v>-2.3267348716998795</v>
      </c>
      <c r="BI9">
        <v>-2.8209649447737069</v>
      </c>
      <c r="BJ9">
        <v>-2.8736506659408945</v>
      </c>
      <c r="BK9">
        <v>-21.613725609287037</v>
      </c>
      <c r="BL9">
        <v>-9.7053896147629306</v>
      </c>
      <c r="BM9">
        <v>-8.9641997019449793</v>
      </c>
      <c r="BN9">
        <v>-7.7184672636144267</v>
      </c>
      <c r="BO9">
        <v>-7.688236631196121</v>
      </c>
      <c r="BP9">
        <v>-8.0330770207547531</v>
      </c>
      <c r="BQ9">
        <v>-11.29033364688647</v>
      </c>
      <c r="BR9">
        <v>-5.947221777904983</v>
      </c>
      <c r="BS9">
        <v>-5.1723180310479488</v>
      </c>
      <c r="BT9">
        <v>-4.8968021787446032</v>
      </c>
      <c r="BU9">
        <v>-6.4224497477213545</v>
      </c>
      <c r="BV9">
        <v>-5.6027592511012489</v>
      </c>
      <c r="BW9">
        <v>-4.4574258738550521</v>
      </c>
      <c r="BX9">
        <v>-2.1504519232388102</v>
      </c>
      <c r="BY9">
        <v>-2.7575576387602672</v>
      </c>
      <c r="BZ9">
        <v>-1.8313119932152713</v>
      </c>
      <c r="CA9">
        <v>-5.2085679706774082</v>
      </c>
      <c r="CB9">
        <v>-2.4949262882101011</v>
      </c>
    </row>
    <row r="10" spans="1:91" x14ac:dyDescent="0.2">
      <c r="A10" s="3" t="s">
        <v>337</v>
      </c>
      <c r="B10">
        <v>-96.536215020798522</v>
      </c>
      <c r="C10">
        <v>-12.491131399007585</v>
      </c>
      <c r="D10">
        <v>-51.761193209791074</v>
      </c>
      <c r="E10">
        <v>-58.310752896993492</v>
      </c>
      <c r="F10">
        <v>-67.660668432667393</v>
      </c>
      <c r="G10" s="1">
        <v>-31.987415616474337</v>
      </c>
      <c r="H10">
        <v>-25.478165181074839</v>
      </c>
      <c r="I10">
        <v>-23.501251005440821</v>
      </c>
      <c r="J10">
        <v>-30.226745070157726</v>
      </c>
      <c r="K10">
        <v>-50.876875450739462</v>
      </c>
      <c r="L10">
        <v>-18.634960839439181</v>
      </c>
      <c r="M10">
        <v>-33.396200629284891</v>
      </c>
      <c r="N10">
        <v>-20.052588651008076</v>
      </c>
      <c r="O10">
        <v>-22.364359665772277</v>
      </c>
      <c r="P10">
        <v>-28.349772729351962</v>
      </c>
      <c r="Q10">
        <v>-24.981944003685204</v>
      </c>
      <c r="R10">
        <v>-25.337683980577673</v>
      </c>
      <c r="S10">
        <v>-15.918961578186458</v>
      </c>
      <c r="T10">
        <v>-13.042406104140985</v>
      </c>
      <c r="U10">
        <v>-15.220378267644286</v>
      </c>
      <c r="V10">
        <v>-14.07238885061456</v>
      </c>
      <c r="W10">
        <v>-15.532352321341937</v>
      </c>
      <c r="X10">
        <v>-11.526871083734999</v>
      </c>
      <c r="Y10">
        <v>-14.806154479922286</v>
      </c>
      <c r="Z10">
        <v>-11.353188444360045</v>
      </c>
      <c r="AA10">
        <v>-11.768283998419914</v>
      </c>
      <c r="AB10">
        <v>-10.543629020358217</v>
      </c>
      <c r="AC10">
        <v>-20.536800552314563</v>
      </c>
      <c r="AD10">
        <v>-11.883235907534758</v>
      </c>
      <c r="AE10">
        <v>-15.816196966696486</v>
      </c>
      <c r="AF10">
        <v>-10.453227553431455</v>
      </c>
      <c r="AG10">
        <v>-9.9129180392543628</v>
      </c>
      <c r="AH10">
        <v>-11.042975506774667</v>
      </c>
      <c r="AI10">
        <v>-8.5482564482207426</v>
      </c>
      <c r="AJ10">
        <v>-8.1598302101809104</v>
      </c>
      <c r="AK10">
        <v>-6.4318126740396266</v>
      </c>
      <c r="AL10">
        <v>-6.4297710547284721</v>
      </c>
      <c r="AM10">
        <v>-5.7188421001712131</v>
      </c>
      <c r="AO10">
        <v>-5.3444887074168443</v>
      </c>
      <c r="AP10">
        <v>-3.8133002924049646</v>
      </c>
      <c r="AQ10">
        <v>-2.9551690454281108</v>
      </c>
      <c r="AR10">
        <v>-2.6786400432414137</v>
      </c>
      <c r="AS10">
        <v>-3.3764100352031901</v>
      </c>
      <c r="AT10">
        <v>-4.475790204835735</v>
      </c>
      <c r="AU10">
        <v>-11.968113724377993</v>
      </c>
      <c r="AV10">
        <v>-5.1456709307483086</v>
      </c>
      <c r="AW10">
        <v>-20.69216565107514</v>
      </c>
      <c r="AX10">
        <v>-24.592219501124301</v>
      </c>
      <c r="AY10">
        <v>-17.730231429650509</v>
      </c>
      <c r="AZ10">
        <v>-10.408093328984085</v>
      </c>
      <c r="BA10">
        <v>-10.692145549921953</v>
      </c>
      <c r="BB10">
        <v>-3.9159107480854591</v>
      </c>
      <c r="BC10">
        <v>-7.5231126116285996</v>
      </c>
      <c r="BD10">
        <v>-8.394091599004506</v>
      </c>
      <c r="BE10">
        <v>-5.7267504455953828</v>
      </c>
      <c r="BF10">
        <v>-5.3475886143379441</v>
      </c>
      <c r="BG10">
        <v>-10.700859828284415</v>
      </c>
      <c r="BH10">
        <v>-2.3411905436543989</v>
      </c>
      <c r="BI10">
        <v>-2.8240739769608858</v>
      </c>
      <c r="BJ10">
        <v>-2.7091391650553187</v>
      </c>
      <c r="BK10">
        <v>-20.912934132967102</v>
      </c>
      <c r="BL10">
        <v>-9.8762902865431172</v>
      </c>
      <c r="BM10">
        <v>-7.6458957743434635</v>
      </c>
      <c r="BN10">
        <v>-3.006675187037855</v>
      </c>
      <c r="BO10">
        <v>-9.077736760107495</v>
      </c>
      <c r="BP10">
        <v>-9.1744554709167598</v>
      </c>
      <c r="BQ10">
        <v>-12.186953249381414</v>
      </c>
      <c r="BR10">
        <v>-5.8187298775590994</v>
      </c>
      <c r="BS10">
        <v>-4.1802577055449959</v>
      </c>
      <c r="BT10">
        <v>-4.9233836168213454</v>
      </c>
      <c r="BU10">
        <v>-5.4761237052935288</v>
      </c>
      <c r="BV10">
        <v>-5.129415091196015</v>
      </c>
      <c r="BW10">
        <v>-5.0749450683593018</v>
      </c>
      <c r="BX10">
        <v>-2.6177233134976352</v>
      </c>
      <c r="BY10">
        <v>-3.5092205541127997</v>
      </c>
      <c r="BZ10">
        <v>-1.7680960850241494</v>
      </c>
      <c r="CA10">
        <v>-2.3330325936501106</v>
      </c>
      <c r="CB10">
        <v>-2.224892967157011</v>
      </c>
    </row>
    <row r="11" spans="1:91" x14ac:dyDescent="0.2">
      <c r="A11" s="3" t="s">
        <v>338</v>
      </c>
      <c r="B11">
        <v>83.467232308913708</v>
      </c>
      <c r="C11">
        <v>80.759358348922405</v>
      </c>
      <c r="D11">
        <v>68.928995223489011</v>
      </c>
      <c r="E11">
        <v>66.815075435537722</v>
      </c>
      <c r="F11">
        <v>62.52941443381826</v>
      </c>
      <c r="G11">
        <v>73.110673447135653</v>
      </c>
      <c r="H11">
        <v>89.16513640366901</v>
      </c>
      <c r="I11">
        <v>74.387888406726972</v>
      </c>
      <c r="J11">
        <v>63.635862889578831</v>
      </c>
      <c r="K11">
        <v>83.113424726588946</v>
      </c>
      <c r="L11">
        <v>66.673909753113477</v>
      </c>
      <c r="M11">
        <v>79.039643119828511</v>
      </c>
      <c r="N11">
        <v>69.077380200390934</v>
      </c>
      <c r="O11">
        <v>64.502277086484</v>
      </c>
      <c r="P11">
        <v>67.192471000262685</v>
      </c>
      <c r="Q11">
        <v>69.99842602780727</v>
      </c>
      <c r="R11">
        <v>69.329094589849092</v>
      </c>
      <c r="S11">
        <v>64.902961104974551</v>
      </c>
      <c r="T11">
        <v>67.529389938212688</v>
      </c>
      <c r="U11">
        <v>67.193702024200689</v>
      </c>
      <c r="V11">
        <v>68.958127896240072</v>
      </c>
      <c r="W11">
        <v>63.739540526895922</v>
      </c>
      <c r="X11">
        <v>70.079050023627289</v>
      </c>
      <c r="Y11">
        <v>67.526456759839277</v>
      </c>
      <c r="Z11">
        <v>68.919710351441893</v>
      </c>
      <c r="AA11">
        <v>66.69755856342293</v>
      </c>
      <c r="AB11">
        <v>68.752288154846298</v>
      </c>
      <c r="AC11">
        <v>76.842893503024854</v>
      </c>
      <c r="AD11">
        <v>75.437003962535627</v>
      </c>
      <c r="AE11">
        <v>61.661204356034986</v>
      </c>
      <c r="AF11">
        <v>69.59893415872439</v>
      </c>
      <c r="AG11">
        <v>68.78431747203085</v>
      </c>
      <c r="AH11">
        <v>68.256326001780565</v>
      </c>
      <c r="AI11">
        <v>67.11527560112458</v>
      </c>
      <c r="AJ11">
        <v>72.623911909794586</v>
      </c>
      <c r="AK11">
        <v>72.416369657324907</v>
      </c>
      <c r="AL11">
        <v>69.174808171465699</v>
      </c>
      <c r="AM11">
        <v>71.482221495272867</v>
      </c>
      <c r="AO11">
        <v>63.753933857467686</v>
      </c>
      <c r="AP11">
        <v>62.339415120267532</v>
      </c>
      <c r="AQ11">
        <v>71.5022282675681</v>
      </c>
      <c r="AR11">
        <v>61.569407343527658</v>
      </c>
      <c r="AS11">
        <v>70.907731274788773</v>
      </c>
      <c r="AT11">
        <v>68.576315255293409</v>
      </c>
      <c r="AU11">
        <v>69.376284994700654</v>
      </c>
      <c r="AV11">
        <v>59.388438368774999</v>
      </c>
      <c r="AW11">
        <v>70.852230256793121</v>
      </c>
      <c r="AX11">
        <v>76.378179687077775</v>
      </c>
      <c r="AY11">
        <v>69.300642551639839</v>
      </c>
      <c r="AZ11">
        <v>79.149655148545364</v>
      </c>
      <c r="BA11">
        <v>75.606516199614745</v>
      </c>
      <c r="BB11">
        <v>70.9433793518388</v>
      </c>
      <c r="BC11">
        <v>66.585212796932623</v>
      </c>
      <c r="BD11">
        <v>62.918459054080969</v>
      </c>
      <c r="BE11">
        <v>80.866732179683297</v>
      </c>
      <c r="BF11">
        <v>65.825537358862462</v>
      </c>
      <c r="BG11">
        <v>79.440505189958301</v>
      </c>
      <c r="BH11">
        <v>67.641879224382393</v>
      </c>
      <c r="BI11">
        <v>67.936147612163325</v>
      </c>
      <c r="BJ11">
        <v>71.52202912808599</v>
      </c>
      <c r="BK11">
        <v>69.943577375040945</v>
      </c>
      <c r="BL11">
        <v>66.996360103271101</v>
      </c>
      <c r="BM11">
        <v>76.276151074045515</v>
      </c>
      <c r="BN11">
        <v>62.216655854183799</v>
      </c>
      <c r="BO11">
        <v>59.122125524610894</v>
      </c>
      <c r="BP11">
        <v>60.784318337011747</v>
      </c>
      <c r="BQ11">
        <v>62.997097984867466</v>
      </c>
      <c r="BR11">
        <v>69.280782984754651</v>
      </c>
      <c r="BS11">
        <v>81.764581739266148</v>
      </c>
      <c r="BT11">
        <v>67.686856940583795</v>
      </c>
      <c r="BU11">
        <v>76.294854623650409</v>
      </c>
      <c r="BV11">
        <v>73.352259621496572</v>
      </c>
      <c r="BW11">
        <v>60.942561387600279</v>
      </c>
      <c r="BX11">
        <v>57.646827647800471</v>
      </c>
      <c r="BY11">
        <v>55.57660043927649</v>
      </c>
      <c r="BZ11">
        <v>70.073712342977672</v>
      </c>
      <c r="CA11">
        <v>114.83618421124586</v>
      </c>
      <c r="CB11">
        <v>75.039409469252888</v>
      </c>
    </row>
    <row r="12" spans="1:91" x14ac:dyDescent="0.2">
      <c r="A12" s="3" t="s">
        <v>339</v>
      </c>
      <c r="B12">
        <v>-19.130782704461236</v>
      </c>
      <c r="C12">
        <v>-4.6694599743168022</v>
      </c>
      <c r="D12">
        <v>-4.1032259351889042</v>
      </c>
      <c r="E12">
        <v>-8.8975655652364338</v>
      </c>
      <c r="F12">
        <v>-14.79610630088567</v>
      </c>
      <c r="G12">
        <v>-5.1603649658554014</v>
      </c>
      <c r="H12">
        <v>-5.6992764903849418</v>
      </c>
      <c r="I12">
        <v>-4.8264843367890871</v>
      </c>
      <c r="J12">
        <v>-14.560635443016798</v>
      </c>
      <c r="K12">
        <v>-8.8261574886337186</v>
      </c>
      <c r="L12">
        <v>-1.855517625072457</v>
      </c>
      <c r="M12">
        <v>-6.5093278316202356</v>
      </c>
      <c r="N12">
        <v>-2.3578787088914517</v>
      </c>
      <c r="O12">
        <v>-3.0399493166732903</v>
      </c>
      <c r="P12">
        <v>-4.7030919490585452</v>
      </c>
      <c r="Q12">
        <v>-2.7559726925635761</v>
      </c>
      <c r="R12">
        <v>-4.5160797072481431</v>
      </c>
      <c r="S12">
        <v>-3.0735119152711561</v>
      </c>
      <c r="T12">
        <v>-2.0336872775842103</v>
      </c>
      <c r="U12">
        <v>-3.5798264275085199</v>
      </c>
      <c r="V12">
        <v>-7.3651204470732061</v>
      </c>
      <c r="W12">
        <v>-2.5285795344415818</v>
      </c>
      <c r="X12">
        <v>-3.3678179054655342</v>
      </c>
      <c r="Y12">
        <v>-4.3870354101716487</v>
      </c>
      <c r="Z12">
        <v>-5.9909246230109279</v>
      </c>
      <c r="AA12">
        <v>-5.8742475412320667</v>
      </c>
      <c r="AB12">
        <v>-0.84013309710168915</v>
      </c>
      <c r="AC12">
        <v>-5.2973030298235635</v>
      </c>
      <c r="AD12">
        <v>-2.0102155677277103</v>
      </c>
      <c r="AE12">
        <v>-5.726703485365074</v>
      </c>
      <c r="AF12">
        <v>-2.7538038335455144</v>
      </c>
      <c r="AG12">
        <v>-2.4669198821998428</v>
      </c>
      <c r="AH12">
        <v>-1.4721217058036034</v>
      </c>
      <c r="AI12">
        <v>-1.8956923709967173</v>
      </c>
      <c r="AJ12">
        <v>-3.5193381930051526</v>
      </c>
      <c r="AK12">
        <v>-1.1765443567091221</v>
      </c>
      <c r="AL12">
        <v>-1.2121053844821859</v>
      </c>
      <c r="AM12">
        <v>-1.936265473100989</v>
      </c>
      <c r="AN12">
        <v>-5.232015396099249</v>
      </c>
      <c r="AO12">
        <v>-1.0577306624322935</v>
      </c>
      <c r="AP12">
        <v>-0.75304779105355657</v>
      </c>
      <c r="AQ12">
        <v>-0.57212504005608389</v>
      </c>
      <c r="AR12">
        <v>-0.52537798590709162</v>
      </c>
      <c r="AS12">
        <v>-0.56484241587385975</v>
      </c>
      <c r="AT12">
        <v>-0.62341878995132882</v>
      </c>
      <c r="AU12">
        <v>-2.3370757558861275</v>
      </c>
      <c r="AV12">
        <v>-0.54109916979437345</v>
      </c>
      <c r="AW12">
        <v>-5.0391964995237393</v>
      </c>
      <c r="AX12">
        <v>-4.6724998169352778</v>
      </c>
      <c r="AY12">
        <v>-2.8370675724685328</v>
      </c>
      <c r="AZ12">
        <v>-6.2174921248410566</v>
      </c>
      <c r="BA12">
        <v>-2.411543956252804</v>
      </c>
      <c r="BB12">
        <v>-1.4592272451156225</v>
      </c>
      <c r="BC12">
        <v>-1.0769982201809365</v>
      </c>
      <c r="BD12">
        <v>-1.4530417969183433</v>
      </c>
      <c r="BE12">
        <v>-1.7684593145450436</v>
      </c>
      <c r="BF12">
        <v>-0.91669738762210173</v>
      </c>
      <c r="BG12">
        <v>-2.7647039357535803</v>
      </c>
      <c r="BH12">
        <v>-0.47000108038869831</v>
      </c>
      <c r="BI12">
        <v>-0.25949056691172712</v>
      </c>
      <c r="BJ12">
        <v>-0.38479619971013806</v>
      </c>
      <c r="BK12">
        <v>-1.0836047429967586</v>
      </c>
      <c r="BL12">
        <v>-1.5111994744876494</v>
      </c>
      <c r="BM12">
        <v>-2.4282096449010919</v>
      </c>
      <c r="BN12">
        <v>-1.9616295344595267</v>
      </c>
      <c r="BO12">
        <v>-2.1217038484641706</v>
      </c>
      <c r="BP12">
        <v>-1.7564530874531432</v>
      </c>
      <c r="BQ12">
        <v>-1.8722273148395578</v>
      </c>
      <c r="BR12">
        <v>-0.907556877316123</v>
      </c>
      <c r="BS12">
        <v>-1.369086690894582</v>
      </c>
      <c r="BT12">
        <v>-0.2292457021315944</v>
      </c>
      <c r="BU12">
        <v>-1.2451740874750337</v>
      </c>
      <c r="BV12">
        <v>-0.73537390674190517</v>
      </c>
      <c r="BW12">
        <v>-1.4807769188993347</v>
      </c>
      <c r="BX12">
        <v>-0.47104033833455755</v>
      </c>
      <c r="BY12">
        <v>-1.0352727333480165</v>
      </c>
      <c r="BZ12">
        <v>-0.42103794724239085</v>
      </c>
      <c r="CA12">
        <v>-1.1773319911152276</v>
      </c>
      <c r="CB12">
        <v>-1.5801249235813228</v>
      </c>
    </row>
    <row r="13" spans="1:91" x14ac:dyDescent="0.2">
      <c r="A13" s="3" t="s">
        <v>340</v>
      </c>
      <c r="B13">
        <v>-15.103133219898455</v>
      </c>
      <c r="C13">
        <v>-3.9317211620438708</v>
      </c>
      <c r="D13">
        <v>-4.0385399978124035</v>
      </c>
      <c r="E13">
        <v>-9.055358457535629</v>
      </c>
      <c r="F13">
        <v>-16.337021356531231</v>
      </c>
      <c r="G13" s="1">
        <v>-4.7424809730531781</v>
      </c>
      <c r="H13">
        <v>-4.1755506458902092</v>
      </c>
      <c r="I13">
        <v>-4.4611351863087831</v>
      </c>
      <c r="J13">
        <v>-15.559201449710951</v>
      </c>
      <c r="K13">
        <v>-7.0016845231240854</v>
      </c>
      <c r="L13">
        <v>-1.8989341431184783</v>
      </c>
      <c r="M13">
        <v>-5.6001555052458647</v>
      </c>
      <c r="N13">
        <v>-2.3257540756594768</v>
      </c>
      <c r="O13">
        <v>-3.2047946657235102</v>
      </c>
      <c r="P13">
        <v>-4.7694972480581006</v>
      </c>
      <c r="Q13">
        <v>-2.664176825148779</v>
      </c>
      <c r="R13">
        <v>-4.3944010679757746</v>
      </c>
      <c r="S13">
        <v>-3.2201737282895664</v>
      </c>
      <c r="T13">
        <v>-2.0478599762600855</v>
      </c>
      <c r="U13">
        <v>-3.6227829355630012</v>
      </c>
      <c r="V13">
        <v>-7.2454299546625913</v>
      </c>
      <c r="W13">
        <v>-2.7290447882451017</v>
      </c>
      <c r="X13">
        <v>-3.2679041381760259</v>
      </c>
      <c r="Y13">
        <v>-4.4231483759241792</v>
      </c>
      <c r="Z13">
        <v>-5.8974089665756546</v>
      </c>
      <c r="AA13">
        <v>-6.0091892142117453</v>
      </c>
      <c r="AB13">
        <v>-0.83094035320318105</v>
      </c>
      <c r="AC13">
        <v>-4.6877022663627663</v>
      </c>
      <c r="AD13">
        <v>-1.7405404396698338</v>
      </c>
      <c r="AE13">
        <v>-6.598027386543964</v>
      </c>
      <c r="AF13">
        <v>-2.6799241395873041</v>
      </c>
      <c r="AG13">
        <v>-2.4340055191704479</v>
      </c>
      <c r="AH13">
        <v>-1.4656444166080662</v>
      </c>
      <c r="AI13">
        <v>-1.9250569372310744</v>
      </c>
      <c r="AJ13">
        <v>-3.2594836216607148</v>
      </c>
      <c r="AK13">
        <v>-1.1047918672919528</v>
      </c>
      <c r="AL13">
        <v>-1.1880412370118456</v>
      </c>
      <c r="AM13">
        <v>-1.8265995389983094</v>
      </c>
      <c r="AN13">
        <v>12.556836950638196</v>
      </c>
      <c r="AO13">
        <v>-1.1412816517530147</v>
      </c>
      <c r="AP13">
        <v>-0.83449101944956983</v>
      </c>
      <c r="AQ13">
        <v>-0.53954552961703584</v>
      </c>
      <c r="AR13">
        <v>-0.5908914752427491</v>
      </c>
      <c r="AS13">
        <v>-0.53787687433113107</v>
      </c>
      <c r="AT13">
        <v>-0.61728515458147615</v>
      </c>
      <c r="AU13">
        <v>-2.2829045948814968</v>
      </c>
      <c r="AV13">
        <v>-0.65940060651705634</v>
      </c>
      <c r="AW13">
        <v>-4.8030022192941644</v>
      </c>
      <c r="AX13">
        <v>-4.1599575802060489</v>
      </c>
      <c r="AY13">
        <v>-2.7838211569842826</v>
      </c>
      <c r="AZ13">
        <v>-5.2149868638696635</v>
      </c>
      <c r="BA13">
        <v>-2.1319459950760802</v>
      </c>
      <c r="BB13">
        <v>-1.3887510196651487</v>
      </c>
      <c r="BC13">
        <v>-1.1039261616752367</v>
      </c>
      <c r="BD13">
        <v>-1.5925713962142416</v>
      </c>
      <c r="BE13">
        <v>-1.4473736418880394</v>
      </c>
      <c r="BF13">
        <v>-0.96019549670051363</v>
      </c>
      <c r="BG13">
        <v>-2.2325817805900945</v>
      </c>
      <c r="BH13">
        <v>-0.47292113007678543</v>
      </c>
      <c r="BI13">
        <v>-0.25977655576326975</v>
      </c>
      <c r="BJ13">
        <v>-0.36276728676686854</v>
      </c>
      <c r="BK13">
        <v>-1.0484705425669312</v>
      </c>
      <c r="BL13">
        <v>-1.5378099471873701</v>
      </c>
      <c r="BM13">
        <v>-2.0711093550427084</v>
      </c>
      <c r="BN13">
        <v>-0.76413912840230835</v>
      </c>
      <c r="BO13">
        <v>-2.5051607986561502</v>
      </c>
      <c r="BP13">
        <v>-2.0060184405002843</v>
      </c>
      <c r="BQ13">
        <v>-2.0209098749226739</v>
      </c>
      <c r="BR13">
        <v>-0.8879487792506422</v>
      </c>
      <c r="BS13">
        <v>-1.1064932888536301</v>
      </c>
      <c r="BT13">
        <v>-0.2304901225131285</v>
      </c>
      <c r="BU13">
        <v>-1.0617019370308833</v>
      </c>
      <c r="BV13">
        <v>-0.67324649264061931</v>
      </c>
      <c r="BW13">
        <v>-1.6859195720980442</v>
      </c>
      <c r="BX13">
        <v>-0.57339262595514118</v>
      </c>
      <c r="BY13">
        <v>-1.3174703237067094</v>
      </c>
      <c r="BZ13">
        <v>-0.40650394303313392</v>
      </c>
      <c r="CA13">
        <v>-0.52735299304572103</v>
      </c>
      <c r="CB13">
        <v>-1.4091032854632941</v>
      </c>
    </row>
    <row r="14" spans="1:91" x14ac:dyDescent="0.2">
      <c r="A14" s="3" t="s">
        <v>341</v>
      </c>
      <c r="B14">
        <v>14.265662516329694</v>
      </c>
      <c r="C14">
        <v>12.553900451416633</v>
      </c>
      <c r="D14">
        <v>17.478313824704063</v>
      </c>
      <c r="E14">
        <v>16.409855569113233</v>
      </c>
      <c r="F14">
        <v>21.196503928555352</v>
      </c>
      <c r="G14">
        <v>38.255470033542352</v>
      </c>
      <c r="H14">
        <v>13.629283255105255</v>
      </c>
      <c r="I14">
        <v>12.704370413160571</v>
      </c>
      <c r="J14">
        <v>17.107434875196084</v>
      </c>
      <c r="K14">
        <v>14.020037128036867</v>
      </c>
      <c r="L14">
        <v>17.652902961637178</v>
      </c>
      <c r="M14">
        <v>13.246161010671601</v>
      </c>
      <c r="N14">
        <v>15.687558514089508</v>
      </c>
      <c r="O14">
        <v>17.012562063162115</v>
      </c>
      <c r="P14">
        <v>19.340795092521148</v>
      </c>
      <c r="Q14">
        <v>17.809370894771536</v>
      </c>
      <c r="R14">
        <v>17.893316512159348</v>
      </c>
      <c r="S14">
        <v>16.880729382060483</v>
      </c>
      <c r="T14">
        <v>15.093986614780015</v>
      </c>
      <c r="U14">
        <v>15.924646662692075</v>
      </c>
      <c r="V14">
        <v>17.979020543617096</v>
      </c>
      <c r="W14">
        <v>16.5895249442401</v>
      </c>
      <c r="X14">
        <v>16.707651436380679</v>
      </c>
      <c r="Y14">
        <v>17.260996399993164</v>
      </c>
      <c r="Z14">
        <v>18.315038005572291</v>
      </c>
      <c r="AA14">
        <v>18.808761585666499</v>
      </c>
      <c r="AB14">
        <v>16.847489547485587</v>
      </c>
      <c r="AC14">
        <v>13.690142352314627</v>
      </c>
      <c r="AD14">
        <v>17.255284199925285</v>
      </c>
      <c r="AE14">
        <v>22.668483749319492</v>
      </c>
      <c r="AF14">
        <v>18.367678605519629</v>
      </c>
      <c r="AG14">
        <v>17.663520748874607</v>
      </c>
      <c r="AH14">
        <v>18.180269135131791</v>
      </c>
      <c r="AI14">
        <v>17.465516125127525</v>
      </c>
      <c r="AJ14">
        <v>16.749585596512034</v>
      </c>
      <c r="AK14">
        <v>15.679990033520605</v>
      </c>
      <c r="AL14">
        <v>18.331068712919446</v>
      </c>
      <c r="AM14">
        <v>17.547005156550451</v>
      </c>
      <c r="AO14">
        <v>19.640102220046764</v>
      </c>
      <c r="AP14">
        <v>20.252816366619697</v>
      </c>
      <c r="AQ14">
        <v>17.58245063780144</v>
      </c>
      <c r="AR14">
        <v>20.043612006744556</v>
      </c>
      <c r="AS14">
        <v>16.906619214331439</v>
      </c>
      <c r="AT14">
        <v>18.406024890586789</v>
      </c>
      <c r="AU14">
        <v>16.947158191231399</v>
      </c>
      <c r="AV14">
        <v>21.879757065603012</v>
      </c>
      <c r="AW14">
        <v>18.63209753512632</v>
      </c>
      <c r="AX14">
        <v>15.365929942810165</v>
      </c>
      <c r="AY14">
        <v>16.421376428009729</v>
      </c>
      <c r="AZ14">
        <v>16.221878809791384</v>
      </c>
      <c r="BA14">
        <v>16.811717224445815</v>
      </c>
      <c r="BB14">
        <v>18.322148744485688</v>
      </c>
      <c r="BC14">
        <v>17.008927762021376</v>
      </c>
      <c r="BD14">
        <v>19.958167194903812</v>
      </c>
      <c r="BE14">
        <v>14.324853362108509</v>
      </c>
      <c r="BF14">
        <v>20.429299564354107</v>
      </c>
      <c r="BG14">
        <v>15.725698150279031</v>
      </c>
      <c r="BH14">
        <v>17.441552826756045</v>
      </c>
      <c r="BI14">
        <v>18.852465269658204</v>
      </c>
      <c r="BJ14">
        <v>17.479281310072444</v>
      </c>
      <c r="BK14">
        <v>18.319253368519949</v>
      </c>
      <c r="BL14">
        <v>17.555275003929204</v>
      </c>
      <c r="BM14">
        <v>15.545987884135036</v>
      </c>
      <c r="BN14">
        <v>17.688781072614184</v>
      </c>
      <c r="BO14">
        <v>22.524706571620126</v>
      </c>
      <c r="BP14">
        <v>20.202878483854203</v>
      </c>
      <c r="BQ14">
        <v>18.425178484657721</v>
      </c>
      <c r="BR14">
        <v>18.465669023677432</v>
      </c>
      <c r="BS14">
        <v>15.266560563802427</v>
      </c>
      <c r="BT14">
        <v>17.073975780395457</v>
      </c>
      <c r="BU14">
        <v>17.265793613592386</v>
      </c>
      <c r="BV14">
        <v>15.688415968291627</v>
      </c>
      <c r="BW14">
        <v>19.629951316963147</v>
      </c>
      <c r="BX14">
        <v>22.027037069550552</v>
      </c>
      <c r="BY14">
        <v>24.600493749993287</v>
      </c>
      <c r="BZ14">
        <v>16.981466165771113</v>
      </c>
      <c r="CA14">
        <v>10.636742596046773</v>
      </c>
      <c r="CB14">
        <v>16.697658168938357</v>
      </c>
    </row>
    <row r="15" spans="1:91" x14ac:dyDescent="0.2">
      <c r="A15" s="3" t="s">
        <v>333</v>
      </c>
      <c r="B15">
        <v>0.21053239414106911</v>
      </c>
      <c r="C15">
        <v>0.15799231952531548</v>
      </c>
      <c r="D15">
        <v>1.5764654054693805E-2</v>
      </c>
      <c r="E15">
        <v>-1.7734389383507892E-2</v>
      </c>
      <c r="F15">
        <v>-0.1041432809625952</v>
      </c>
      <c r="G15" s="1">
        <v>0.92063492063492069</v>
      </c>
      <c r="H15">
        <v>0.26735425927577988</v>
      </c>
      <c r="I15">
        <v>7.5696744252434223E-2</v>
      </c>
      <c r="J15">
        <v>-6.8579837095850041E-2</v>
      </c>
      <c r="K15">
        <v>0.20671203384475967</v>
      </c>
      <c r="L15">
        <v>-2.3398601802192897E-2</v>
      </c>
      <c r="M15">
        <v>0.13967222882183053</v>
      </c>
      <c r="N15">
        <v>1.3624379027994243E-2</v>
      </c>
      <c r="O15">
        <v>-5.4226347836159185E-2</v>
      </c>
      <c r="P15">
        <v>-1.4119498346794769E-2</v>
      </c>
      <c r="Q15">
        <v>3.3307974227208333E-2</v>
      </c>
      <c r="R15">
        <v>2.6943421542599873E-2</v>
      </c>
      <c r="S15">
        <v>-4.7717990709488227E-2</v>
      </c>
      <c r="T15">
        <v>-6.9689665820748224E-3</v>
      </c>
      <c r="U15">
        <v>-1.1999606384373838E-2</v>
      </c>
      <c r="V15">
        <v>1.6250989141416931E-2</v>
      </c>
      <c r="W15">
        <v>-7.9279789728975703E-2</v>
      </c>
      <c r="X15">
        <v>2.9667211854703238E-2</v>
      </c>
      <c r="Y15">
        <v>-8.2317470401083032E-3</v>
      </c>
      <c r="Z15">
        <v>1.5609553169152348E-2</v>
      </c>
      <c r="AA15">
        <v>-2.2971737577026925E-2</v>
      </c>
      <c r="AB15">
        <v>1.0942008986696859E-2</v>
      </c>
      <c r="AC15">
        <v>0.11507757061070011</v>
      </c>
      <c r="AD15">
        <v>0.13415234285679581</v>
      </c>
      <c r="AE15">
        <v>-0.15215104176523372</v>
      </c>
      <c r="AF15">
        <v>2.682823411684003E-2</v>
      </c>
      <c r="AG15">
        <v>1.3342291035428236E-2</v>
      </c>
      <c r="AH15">
        <v>4.3999685420040777E-3</v>
      </c>
      <c r="AI15">
        <v>-1.5490153720942612E-2</v>
      </c>
      <c r="AJ15">
        <v>7.3836203596719011E-2</v>
      </c>
      <c r="AK15">
        <v>6.0985792000113011E-2</v>
      </c>
      <c r="AL15">
        <v>1.9853180901939823E-2</v>
      </c>
      <c r="AM15">
        <v>5.6637860678807821E-2</v>
      </c>
      <c r="AO15">
        <v>-7.8990798213783811E-2</v>
      </c>
      <c r="AP15">
        <v>-0.10815147373590929</v>
      </c>
      <c r="AQ15">
        <v>5.6944737877325395E-2</v>
      </c>
      <c r="AR15">
        <v>-0.12469781965177915</v>
      </c>
      <c r="AS15">
        <v>4.7739937343428115E-2</v>
      </c>
      <c r="AT15">
        <v>9.8387078938245442E-3</v>
      </c>
      <c r="AU15">
        <v>2.3179035111804198E-2</v>
      </c>
      <c r="AV15">
        <v>-0.21863170990936706</v>
      </c>
      <c r="AW15">
        <v>4.687141695147188E-2</v>
      </c>
      <c r="AX15">
        <v>0.1096933668935718</v>
      </c>
      <c r="AY15">
        <v>1.8768116769922415E-2</v>
      </c>
      <c r="AZ15">
        <v>0.16123949027068882</v>
      </c>
      <c r="BA15">
        <v>0.11594147411319805</v>
      </c>
      <c r="BB15">
        <v>4.8296950105868867E-2</v>
      </c>
      <c r="BC15">
        <v>-2.5002772511338322E-2</v>
      </c>
      <c r="BD15">
        <v>-9.6025867660391645E-2</v>
      </c>
      <c r="BE15">
        <v>0.1815623746705235</v>
      </c>
      <c r="BF15">
        <v>-4.7450892372722125E-2</v>
      </c>
      <c r="BG15">
        <v>0.19246985121336121</v>
      </c>
      <c r="BH15">
        <v>-6.2128573952898889E-3</v>
      </c>
      <c r="BI15">
        <v>-1.1021165622560943E-3</v>
      </c>
      <c r="BJ15">
        <v>5.724826014358679E-2</v>
      </c>
      <c r="BK15">
        <v>3.2423446516727197E-2</v>
      </c>
      <c r="BL15">
        <v>-1.7608841949037113E-2</v>
      </c>
      <c r="BM15">
        <v>0.14706320379224494</v>
      </c>
      <c r="BN15">
        <v>0.6104569619396325</v>
      </c>
      <c r="BO15">
        <v>-0.18073066628481207</v>
      </c>
      <c r="BP15">
        <v>-0.14208483837676036</v>
      </c>
      <c r="BQ15">
        <v>-7.941480123948369E-2</v>
      </c>
      <c r="BR15">
        <v>2.1605365520965512E-2</v>
      </c>
      <c r="BS15">
        <v>0.19180188061675596</v>
      </c>
      <c r="BT15">
        <v>-5.4283258964643094E-3</v>
      </c>
      <c r="BU15">
        <v>0.14734658574223586</v>
      </c>
      <c r="BV15">
        <v>8.4484115538642129E-2</v>
      </c>
      <c r="BW15">
        <v>-0.13853717638386248</v>
      </c>
      <c r="BX15">
        <v>-0.21728985670838175</v>
      </c>
      <c r="BY15">
        <v>-0.27258284823756662</v>
      </c>
      <c r="BZ15">
        <v>3.4519463873620163E-2</v>
      </c>
      <c r="CA15">
        <v>0.55207792107459341</v>
      </c>
      <c r="CB15">
        <v>0.10823298561129684</v>
      </c>
    </row>
    <row r="16" spans="1:91" x14ac:dyDescent="0.2">
      <c r="A16" s="3" t="s">
        <v>343</v>
      </c>
    </row>
    <row r="17" spans="1:7" x14ac:dyDescent="0.2">
      <c r="A17" s="3" t="s">
        <v>344</v>
      </c>
    </row>
    <row r="24" spans="1:7" x14ac:dyDescent="0.2">
      <c r="G24" s="1"/>
    </row>
    <row r="25" spans="1:7" x14ac:dyDescent="0.2">
      <c r="G25" s="1"/>
    </row>
    <row r="26" spans="1:7" x14ac:dyDescent="0.2">
      <c r="G26" s="1"/>
    </row>
    <row r="29" spans="1:7" x14ac:dyDescent="0.2">
      <c r="G29" s="1"/>
    </row>
    <row r="31" spans="1:7" x14ac:dyDescent="0.2">
      <c r="G31"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484CC-D01B-224A-9333-ABBC777DEE6A}">
  <dimension ref="A1:V18"/>
  <sheetViews>
    <sheetView workbookViewId="0">
      <selection activeCell="B3" sqref="B3"/>
    </sheetView>
  </sheetViews>
  <sheetFormatPr baseColWidth="10" defaultRowHeight="15" x14ac:dyDescent="0.2"/>
  <sheetData>
    <row r="1" spans="1:22" x14ac:dyDescent="0.2">
      <c r="A1" t="s">
        <v>216</v>
      </c>
      <c r="B1" t="s">
        <v>350</v>
      </c>
      <c r="C1" t="s">
        <v>253</v>
      </c>
      <c r="D1" t="s">
        <v>349</v>
      </c>
      <c r="E1" t="s">
        <v>348</v>
      </c>
      <c r="F1" t="s">
        <v>219</v>
      </c>
      <c r="G1" t="s">
        <v>219</v>
      </c>
      <c r="H1" t="s">
        <v>224</v>
      </c>
      <c r="I1" t="s">
        <v>225</v>
      </c>
      <c r="J1" t="s">
        <v>220</v>
      </c>
      <c r="K1" t="s">
        <v>221</v>
      </c>
      <c r="L1" t="s">
        <v>226</v>
      </c>
      <c r="M1" t="s">
        <v>227</v>
      </c>
      <c r="N1" t="s">
        <v>228</v>
      </c>
      <c r="O1" t="s">
        <v>229</v>
      </c>
      <c r="P1" t="s">
        <v>230</v>
      </c>
      <c r="Q1" t="s">
        <v>231</v>
      </c>
      <c r="R1" t="s">
        <v>232</v>
      </c>
      <c r="S1" t="s">
        <v>233</v>
      </c>
      <c r="T1" t="s">
        <v>234</v>
      </c>
      <c r="U1" t="s">
        <v>235</v>
      </c>
      <c r="V1" t="s">
        <v>236</v>
      </c>
    </row>
    <row r="2" spans="1:22" x14ac:dyDescent="0.2">
      <c r="A2">
        <v>-80</v>
      </c>
      <c r="B2">
        <v>1.3113798415248752</v>
      </c>
      <c r="C2">
        <v>12.775597045364066</v>
      </c>
      <c r="D2">
        <f>B2+C2</f>
        <v>14.086976886888941</v>
      </c>
      <c r="E2">
        <f>B2-C2</f>
        <v>-11.464217203839191</v>
      </c>
      <c r="F2">
        <v>2.3935486200528189</v>
      </c>
      <c r="G2">
        <v>10.250119016258344</v>
      </c>
      <c r="H2">
        <f>F2+G2</f>
        <v>12.643667636311163</v>
      </c>
      <c r="I2">
        <f>F2-G2</f>
        <v>-7.8565703962055249</v>
      </c>
      <c r="J2">
        <v>-0.93083286090119444</v>
      </c>
      <c r="K2">
        <v>4.3150182983586136</v>
      </c>
      <c r="L2">
        <f>J2+K2</f>
        <v>3.3841854374574192</v>
      </c>
      <c r="M2">
        <f>J2-K2</f>
        <v>-5.245851159259808</v>
      </c>
      <c r="N2">
        <v>-0.9939219951629763</v>
      </c>
      <c r="O2">
        <v>29.351708032190775</v>
      </c>
      <c r="P2">
        <v>-17.444046735763525</v>
      </c>
      <c r="Q2">
        <v>10.436797857284517</v>
      </c>
      <c r="R2">
        <v>32.267271995544377</v>
      </c>
      <c r="S2">
        <v>-12.546784162521314</v>
      </c>
      <c r="T2">
        <v>-4.5313661098480367</v>
      </c>
      <c r="U2">
        <v>16.606619715690492</v>
      </c>
      <c r="V2">
        <v>-8.5560807432447223</v>
      </c>
    </row>
    <row r="3" spans="1:22" x14ac:dyDescent="0.2">
      <c r="A3">
        <f>A2+10</f>
        <v>-70</v>
      </c>
      <c r="B3">
        <v>7.407094096582604</v>
      </c>
      <c r="C3">
        <v>10.2649853314885</v>
      </c>
      <c r="D3">
        <f t="shared" ref="D3:D18" si="0">B3+C3</f>
        <v>17.672079428071104</v>
      </c>
      <c r="E3">
        <f t="shared" ref="E3:E18" si="1">B3-C3</f>
        <v>-2.857891234905896</v>
      </c>
      <c r="F3">
        <v>-2.3935486200528224</v>
      </c>
      <c r="G3">
        <v>9.5914828670209253</v>
      </c>
      <c r="H3">
        <f t="shared" ref="H3:H18" si="2">F3+G3</f>
        <v>7.1979342469681029</v>
      </c>
      <c r="I3">
        <f t="shared" ref="I3:I18" si="3">F3-G3</f>
        <v>-11.985031487073748</v>
      </c>
      <c r="J3">
        <v>-2.2616508247342537</v>
      </c>
      <c r="K3">
        <v>5.3006541938142346</v>
      </c>
      <c r="L3">
        <f t="shared" ref="L3:L18" si="4">J3+K3</f>
        <v>3.0390033690799809</v>
      </c>
      <c r="M3">
        <f t="shared" ref="M3:M18" si="5">J3-K3</f>
        <v>-7.5623050185484884</v>
      </c>
      <c r="N3">
        <v>14.228061914443977</v>
      </c>
      <c r="O3">
        <v>33.52591347694387</v>
      </c>
      <c r="P3">
        <v>-13.057612180709825</v>
      </c>
      <c r="Q3">
        <v>-11.431853055953926</v>
      </c>
      <c r="R3">
        <v>18.178032159805223</v>
      </c>
      <c r="S3">
        <v>-15.864962339401204</v>
      </c>
      <c r="T3">
        <v>-0.9854710102081139</v>
      </c>
      <c r="U3">
        <v>16.302250703175755</v>
      </c>
      <c r="V3">
        <v>-12.887256582578004</v>
      </c>
    </row>
    <row r="4" spans="1:22" x14ac:dyDescent="0.2">
      <c r="A4">
        <f t="shared" ref="A4:A18" si="6">A3+10</f>
        <v>-60</v>
      </c>
      <c r="B4">
        <v>-14.879756301086577</v>
      </c>
      <c r="C4">
        <v>7.073799149788222</v>
      </c>
      <c r="D4">
        <f t="shared" si="0"/>
        <v>-7.8059571512983545</v>
      </c>
      <c r="E4">
        <f t="shared" si="1"/>
        <v>-21.953555450874799</v>
      </c>
      <c r="F4">
        <v>-5.6336285283422995</v>
      </c>
      <c r="G4">
        <v>11.108368408356426</v>
      </c>
      <c r="H4">
        <f t="shared" si="2"/>
        <v>5.4747398800141269</v>
      </c>
      <c r="I4">
        <f t="shared" si="3"/>
        <v>-16.741996936698726</v>
      </c>
      <c r="J4">
        <v>0.93083286090119266</v>
      </c>
      <c r="K4">
        <v>4.2680869964966153</v>
      </c>
      <c r="L4">
        <f t="shared" si="4"/>
        <v>5.1989198573978079</v>
      </c>
      <c r="M4">
        <f t="shared" si="5"/>
        <v>-3.3372541355954226</v>
      </c>
      <c r="N4">
        <v>-4.3129012584685995</v>
      </c>
      <c r="O4">
        <v>23.908850908279422</v>
      </c>
      <c r="P4">
        <v>-22.761330366134413</v>
      </c>
      <c r="Q4">
        <v>-10.436797857284517</v>
      </c>
      <c r="R4">
        <v>20.683358669280931</v>
      </c>
      <c r="S4">
        <v>-16.385549783706672</v>
      </c>
      <c r="T4">
        <v>0.98547101020811567</v>
      </c>
      <c r="U4">
        <v>15.580743670463477</v>
      </c>
      <c r="V4">
        <v>-9.3388617209026066</v>
      </c>
    </row>
    <row r="5" spans="1:22" x14ac:dyDescent="0.2">
      <c r="A5">
        <f t="shared" si="6"/>
        <v>-50</v>
      </c>
      <c r="B5">
        <v>-1.3113798415248752</v>
      </c>
      <c r="C5">
        <v>10.958400629142803</v>
      </c>
      <c r="D5">
        <f t="shared" si="0"/>
        <v>9.6470207876179277</v>
      </c>
      <c r="E5">
        <f t="shared" si="1"/>
        <v>-12.269780470667678</v>
      </c>
      <c r="F5">
        <v>5.2423831081797836</v>
      </c>
      <c r="G5">
        <v>9.9571580230841832</v>
      </c>
      <c r="H5">
        <f t="shared" si="2"/>
        <v>15.199541131263967</v>
      </c>
      <c r="I5">
        <f t="shared" si="3"/>
        <v>-4.7147749149043996</v>
      </c>
      <c r="J5">
        <v>7.1657900043232878</v>
      </c>
      <c r="K5">
        <v>4.398815892937451</v>
      </c>
      <c r="L5">
        <f t="shared" si="4"/>
        <v>11.564605897260739</v>
      </c>
      <c r="M5">
        <f t="shared" si="5"/>
        <v>2.7669741113858368</v>
      </c>
      <c r="N5">
        <v>0.99392199516297453</v>
      </c>
      <c r="O5">
        <v>25.951306581497139</v>
      </c>
      <c r="P5">
        <v>-18.003987073898273</v>
      </c>
      <c r="Q5">
        <v>14.44663500785823</v>
      </c>
      <c r="R5">
        <v>26.709806442260653</v>
      </c>
      <c r="S5">
        <v>-17.329468488693159</v>
      </c>
      <c r="T5">
        <v>5.5603396892547039</v>
      </c>
      <c r="U5">
        <v>17.658152818679653</v>
      </c>
      <c r="V5">
        <v>-5.5728323459625368</v>
      </c>
    </row>
    <row r="6" spans="1:22" x14ac:dyDescent="0.2">
      <c r="A6">
        <f t="shared" si="6"/>
        <v>-40</v>
      </c>
      <c r="B6">
        <v>-10.649625417822609</v>
      </c>
      <c r="C6">
        <v>9.1991754155846657</v>
      </c>
      <c r="D6">
        <f t="shared" si="0"/>
        <v>-1.4504500022379432</v>
      </c>
      <c r="E6">
        <f t="shared" si="1"/>
        <v>-19.848800833407275</v>
      </c>
      <c r="F6">
        <v>-4.6351821016478816</v>
      </c>
      <c r="G6">
        <v>13.519132274189314</v>
      </c>
      <c r="H6">
        <f t="shared" si="2"/>
        <v>8.8839501725414323</v>
      </c>
      <c r="I6">
        <f t="shared" si="3"/>
        <v>-18.154314375837195</v>
      </c>
      <c r="J6">
        <v>5.7390838972579452</v>
      </c>
      <c r="K6">
        <v>5.8666936761676949</v>
      </c>
      <c r="L6">
        <f t="shared" si="4"/>
        <v>11.605777573425641</v>
      </c>
      <c r="M6">
        <f t="shared" si="5"/>
        <v>-0.12760977890974967</v>
      </c>
      <c r="N6">
        <v>3.9567402362823465</v>
      </c>
      <c r="O6">
        <v>24.705239534378013</v>
      </c>
      <c r="P6">
        <v>-22.964005231857321</v>
      </c>
      <c r="Q6">
        <v>12.17868542671199</v>
      </c>
      <c r="R6">
        <v>24.958194494247376</v>
      </c>
      <c r="S6">
        <v>-14.865857839584315</v>
      </c>
      <c r="T6">
        <v>5.6414463520049374</v>
      </c>
      <c r="U6">
        <v>30.709831725918804</v>
      </c>
      <c r="V6">
        <v>-10.787339694159373</v>
      </c>
    </row>
    <row r="7" spans="1:22" x14ac:dyDescent="0.2">
      <c r="A7">
        <f t="shared" si="6"/>
        <v>-30</v>
      </c>
      <c r="B7">
        <v>-100.61696601336537</v>
      </c>
      <c r="C7">
        <v>18.773018770484491</v>
      </c>
      <c r="D7">
        <f t="shared" si="0"/>
        <v>-81.843947242880887</v>
      </c>
      <c r="E7">
        <f t="shared" si="1"/>
        <v>-119.38998478384985</v>
      </c>
      <c r="F7">
        <v>-36.988748748223749</v>
      </c>
      <c r="G7">
        <v>25.018080198989892</v>
      </c>
      <c r="H7">
        <f t="shared" si="2"/>
        <v>-11.970668549233856</v>
      </c>
      <c r="I7">
        <f t="shared" si="3"/>
        <v>-62.006828947213641</v>
      </c>
      <c r="J7">
        <v>-20.85147050583172</v>
      </c>
      <c r="K7">
        <v>8.560404448599261</v>
      </c>
      <c r="L7">
        <f t="shared" si="4"/>
        <v>-12.291066057232459</v>
      </c>
      <c r="M7">
        <f t="shared" si="5"/>
        <v>-29.411874954430981</v>
      </c>
      <c r="N7">
        <v>-52.631047010421725</v>
      </c>
      <c r="O7">
        <v>-18.454654932022073</v>
      </c>
      <c r="P7">
        <v>-84.337406873702918</v>
      </c>
      <c r="Q7">
        <v>-20.380121946334754</v>
      </c>
      <c r="R7">
        <v>24.852924108505203</v>
      </c>
      <c r="S7">
        <v>-43.112471818923936</v>
      </c>
      <c r="T7">
        <v>-23.516451716423042</v>
      </c>
      <c r="U7">
        <v>-0.4553942282994683</v>
      </c>
      <c r="V7">
        <v>-33.629505991935687</v>
      </c>
    </row>
    <row r="8" spans="1:22" x14ac:dyDescent="0.2">
      <c r="A8">
        <f t="shared" si="6"/>
        <v>-20</v>
      </c>
      <c r="B8">
        <v>-477.48148903933293</v>
      </c>
      <c r="C8">
        <v>77.943265822682562</v>
      </c>
      <c r="D8">
        <f t="shared" si="0"/>
        <v>-399.53822321665035</v>
      </c>
      <c r="E8">
        <f t="shared" si="1"/>
        <v>-555.42475486201545</v>
      </c>
      <c r="F8">
        <v>-214.95160036340243</v>
      </c>
      <c r="G8">
        <v>78.681445089333167</v>
      </c>
      <c r="H8">
        <f t="shared" si="2"/>
        <v>-136.27015527406928</v>
      </c>
      <c r="I8">
        <f t="shared" si="3"/>
        <v>-293.63304545273559</v>
      </c>
      <c r="J8">
        <v>-115.99868695266389</v>
      </c>
      <c r="K8">
        <v>19.727987680193561</v>
      </c>
      <c r="L8">
        <f t="shared" si="4"/>
        <v>-96.270699272470324</v>
      </c>
      <c r="M8">
        <f t="shared" si="5"/>
        <v>-135.72667463285745</v>
      </c>
      <c r="N8">
        <v>-209.10566926002454</v>
      </c>
      <c r="O8">
        <v>-116.66800761222783</v>
      </c>
      <c r="P8">
        <v>-757.4950664043422</v>
      </c>
      <c r="Q8">
        <v>-115.81419539451566</v>
      </c>
      <c r="R8">
        <v>-47.579071521759005</v>
      </c>
      <c r="S8">
        <v>-158.64614272117595</v>
      </c>
      <c r="T8">
        <v>-99.517126957575357</v>
      </c>
      <c r="U8">
        <v>-44.627326726913431</v>
      </c>
      <c r="V8">
        <v>-148.05415063565971</v>
      </c>
    </row>
    <row r="9" spans="1:22" x14ac:dyDescent="0.2">
      <c r="A9">
        <f t="shared" si="6"/>
        <v>-10</v>
      </c>
      <c r="B9">
        <v>-966.06523490659538</v>
      </c>
      <c r="C9">
        <v>152.35151575005392</v>
      </c>
      <c r="D9">
        <f t="shared" si="0"/>
        <v>-813.7137191565414</v>
      </c>
      <c r="E9">
        <f t="shared" si="1"/>
        <v>-1118.4167506566494</v>
      </c>
      <c r="F9">
        <v>-432.76310540861192</v>
      </c>
      <c r="G9">
        <v>117.86647650587517</v>
      </c>
      <c r="H9">
        <f t="shared" si="2"/>
        <v>-314.89662890273678</v>
      </c>
      <c r="I9">
        <f t="shared" si="3"/>
        <v>-550.62958191448706</v>
      </c>
      <c r="J9">
        <v>-271.03981464370207</v>
      </c>
      <c r="K9">
        <v>43.945976112909882</v>
      </c>
      <c r="L9">
        <f t="shared" si="4"/>
        <v>-227.0938385307922</v>
      </c>
      <c r="M9">
        <f t="shared" si="5"/>
        <v>-314.98579075661195</v>
      </c>
      <c r="N9">
        <v>-465.02564597129742</v>
      </c>
      <c r="O9">
        <v>-298.8983018398277</v>
      </c>
      <c r="P9">
        <v>-1244.9471175670549</v>
      </c>
      <c r="Q9">
        <v>-290.50744795799204</v>
      </c>
      <c r="R9">
        <v>-112.10477042198173</v>
      </c>
      <c r="S9">
        <v>-463.0901696681974</v>
      </c>
      <c r="T9">
        <v>-207.61548447608877</v>
      </c>
      <c r="U9">
        <v>-95.200088977813408</v>
      </c>
      <c r="V9">
        <v>-389.13083863258311</v>
      </c>
    </row>
    <row r="10" spans="1:22" x14ac:dyDescent="0.2">
      <c r="A10">
        <f t="shared" si="6"/>
        <v>0</v>
      </c>
      <c r="B10">
        <v>-1201.2218577941296</v>
      </c>
      <c r="C10">
        <v>182.38166413504848</v>
      </c>
      <c r="D10">
        <f t="shared" si="0"/>
        <v>-1018.8401936590811</v>
      </c>
      <c r="E10">
        <f t="shared" si="1"/>
        <v>-1383.603521929178</v>
      </c>
      <c r="F10">
        <v>-580.55372376013895</v>
      </c>
      <c r="G10">
        <v>134.23032709643829</v>
      </c>
      <c r="H10">
        <f t="shared" si="2"/>
        <v>-446.32339666370069</v>
      </c>
      <c r="I10">
        <f t="shared" si="3"/>
        <v>-714.78405085657721</v>
      </c>
      <c r="J10">
        <v>-364.33527297402378</v>
      </c>
      <c r="K10">
        <v>53.457349263149112</v>
      </c>
      <c r="L10">
        <f t="shared" si="4"/>
        <v>-310.87792371087465</v>
      </c>
      <c r="M10">
        <f t="shared" si="5"/>
        <v>-417.79262223717291</v>
      </c>
      <c r="N10">
        <v>-738.44224619865395</v>
      </c>
      <c r="O10">
        <v>-439.13543581962568</v>
      </c>
      <c r="P10">
        <v>-1475.1994864940643</v>
      </c>
      <c r="Q10">
        <v>-432.294973134994</v>
      </c>
      <c r="R10">
        <v>-179.91097450256288</v>
      </c>
      <c r="S10">
        <v>-752.36109709739594</v>
      </c>
      <c r="T10">
        <v>-300.91283650171147</v>
      </c>
      <c r="U10">
        <v>-157.11861217021874</v>
      </c>
      <c r="V10">
        <v>-482.07393002510031</v>
      </c>
    </row>
    <row r="11" spans="1:22" x14ac:dyDescent="0.2">
      <c r="A11">
        <f t="shared" si="6"/>
        <v>10</v>
      </c>
      <c r="B11">
        <v>-1259.9332164982147</v>
      </c>
      <c r="C11">
        <v>185.65101658683582</v>
      </c>
      <c r="D11">
        <f t="shared" si="0"/>
        <v>-1074.2821999113789</v>
      </c>
      <c r="E11">
        <f t="shared" si="1"/>
        <v>-1445.5842330850505</v>
      </c>
      <c r="F11">
        <v>-618.75193361353797</v>
      </c>
      <c r="G11">
        <v>134.83727608007567</v>
      </c>
      <c r="H11">
        <f t="shared" si="2"/>
        <v>-483.91465753346233</v>
      </c>
      <c r="I11">
        <f t="shared" si="3"/>
        <v>-753.58920969361361</v>
      </c>
      <c r="J11">
        <v>-398.69882241087993</v>
      </c>
      <c r="K11">
        <v>57.772738256924924</v>
      </c>
      <c r="L11">
        <f t="shared" si="4"/>
        <v>-340.926084153955</v>
      </c>
      <c r="M11">
        <f t="shared" si="5"/>
        <v>-456.47156066780485</v>
      </c>
      <c r="N11">
        <v>-798.30145335197381</v>
      </c>
      <c r="O11">
        <v>-500.72516703605584</v>
      </c>
      <c r="P11">
        <v>-1468.8785045146867</v>
      </c>
      <c r="Q11">
        <v>-446.89276671409596</v>
      </c>
      <c r="R11">
        <v>-224.67644882202089</v>
      </c>
      <c r="S11">
        <v>-833.53068558374912</v>
      </c>
      <c r="T11">
        <v>-337.89563105446882</v>
      </c>
      <c r="U11">
        <v>-203.10595554113362</v>
      </c>
      <c r="V11">
        <v>-490.10122386614415</v>
      </c>
    </row>
    <row r="12" spans="1:22" x14ac:dyDescent="0.2">
      <c r="A12">
        <f t="shared" si="6"/>
        <v>20</v>
      </c>
      <c r="B12">
        <v>-1138.7580842105394</v>
      </c>
      <c r="C12">
        <v>169.59983917636865</v>
      </c>
      <c r="D12">
        <f t="shared" si="0"/>
        <v>-969.15824503417082</v>
      </c>
      <c r="E12">
        <f t="shared" si="1"/>
        <v>-1308.3579233869082</v>
      </c>
      <c r="F12">
        <v>-578.78503446832076</v>
      </c>
      <c r="G12">
        <v>123.43286655696832</v>
      </c>
      <c r="H12">
        <f t="shared" si="2"/>
        <v>-455.35216791135247</v>
      </c>
      <c r="I12">
        <f t="shared" si="3"/>
        <v>-702.21790102528905</v>
      </c>
      <c r="J12">
        <v>-357.83020207316514</v>
      </c>
      <c r="K12">
        <v>53.88241876160216</v>
      </c>
      <c r="L12">
        <f t="shared" si="4"/>
        <v>-303.947783311563</v>
      </c>
      <c r="M12">
        <f t="shared" si="5"/>
        <v>-411.71262083476728</v>
      </c>
      <c r="N12">
        <v>-654.30314707756031</v>
      </c>
      <c r="O12">
        <v>-447.4252612590787</v>
      </c>
      <c r="P12">
        <v>-1342.9927623271867</v>
      </c>
      <c r="Q12">
        <v>-396.76518797874394</v>
      </c>
      <c r="R12">
        <v>-220.89255809783901</v>
      </c>
      <c r="S12">
        <v>-787.83558670679577</v>
      </c>
      <c r="T12">
        <v>-316.33934330940247</v>
      </c>
      <c r="U12">
        <v>-190.13176387548395</v>
      </c>
      <c r="V12">
        <v>-429.69678060213687</v>
      </c>
    </row>
    <row r="13" spans="1:22" x14ac:dyDescent="0.2">
      <c r="A13">
        <f t="shared" si="6"/>
        <v>30</v>
      </c>
      <c r="B13">
        <v>-938.21057434466036</v>
      </c>
      <c r="C13">
        <v>145.23582203963272</v>
      </c>
      <c r="D13">
        <f t="shared" si="0"/>
        <v>-792.97475230502766</v>
      </c>
      <c r="E13">
        <f t="shared" si="1"/>
        <v>-1083.4463963842932</v>
      </c>
      <c r="F13">
        <v>-482.04917391621478</v>
      </c>
      <c r="G13">
        <v>102.22645885560051</v>
      </c>
      <c r="H13">
        <f t="shared" si="2"/>
        <v>-379.82271506061426</v>
      </c>
      <c r="I13">
        <f t="shared" si="3"/>
        <v>-584.27563277181525</v>
      </c>
      <c r="J13">
        <v>-292.942995096071</v>
      </c>
      <c r="K13">
        <v>46.198291368542328</v>
      </c>
      <c r="L13">
        <f t="shared" si="4"/>
        <v>-246.74470372752867</v>
      </c>
      <c r="M13">
        <f t="shared" si="5"/>
        <v>-339.14128646461336</v>
      </c>
      <c r="N13">
        <v>-562.22026944160439</v>
      </c>
      <c r="O13">
        <v>-360.32458233833296</v>
      </c>
      <c r="P13">
        <v>-1022.6835534572527</v>
      </c>
      <c r="Q13">
        <v>-309.91806006431563</v>
      </c>
      <c r="R13">
        <v>-180.40185928344638</v>
      </c>
      <c r="S13">
        <v>-682.88189713160136</v>
      </c>
      <c r="T13">
        <v>-261.44446921348504</v>
      </c>
      <c r="U13">
        <v>-190.36144026120468</v>
      </c>
      <c r="V13">
        <v>-334.51793313026371</v>
      </c>
    </row>
    <row r="14" spans="1:22" x14ac:dyDescent="0.2">
      <c r="A14">
        <f t="shared" si="6"/>
        <v>40</v>
      </c>
      <c r="B14">
        <v>-698.23457628924416</v>
      </c>
      <c r="C14">
        <v>113.78458344444081</v>
      </c>
      <c r="D14">
        <f t="shared" si="0"/>
        <v>-584.44999284480332</v>
      </c>
      <c r="E14">
        <f t="shared" si="1"/>
        <v>-812.019159733685</v>
      </c>
      <c r="F14">
        <v>-365.2780190583984</v>
      </c>
      <c r="G14">
        <v>77.647353226965237</v>
      </c>
      <c r="H14">
        <f t="shared" si="2"/>
        <v>-287.63066583143313</v>
      </c>
      <c r="I14">
        <f t="shared" si="3"/>
        <v>-442.92537228536366</v>
      </c>
      <c r="J14">
        <v>-204.3170463041271</v>
      </c>
      <c r="K14">
        <v>33.660979915528202</v>
      </c>
      <c r="L14">
        <f t="shared" si="4"/>
        <v>-170.6560663885989</v>
      </c>
      <c r="M14">
        <f t="shared" si="5"/>
        <v>-237.97802621965531</v>
      </c>
      <c r="N14">
        <v>-400.72579646110489</v>
      </c>
      <c r="O14">
        <v>-266.78386187553326</v>
      </c>
      <c r="P14">
        <v>-759.62126708030644</v>
      </c>
      <c r="Q14">
        <v>-211.9924771785731</v>
      </c>
      <c r="R14">
        <v>-140.86356544494618</v>
      </c>
      <c r="S14">
        <v>-522.95126358667972</v>
      </c>
      <c r="T14">
        <v>-189.13863221804235</v>
      </c>
      <c r="U14">
        <v>-110.87384247779815</v>
      </c>
      <c r="V14">
        <v>-217.86485695838869</v>
      </c>
    </row>
    <row r="15" spans="1:22" x14ac:dyDescent="0.2">
      <c r="A15">
        <f t="shared" si="6"/>
        <v>50</v>
      </c>
      <c r="B15">
        <v>-451.46708316548882</v>
      </c>
      <c r="C15">
        <v>77.863806714751689</v>
      </c>
      <c r="D15">
        <f t="shared" si="0"/>
        <v>-373.6032764507371</v>
      </c>
      <c r="E15">
        <f t="shared" si="1"/>
        <v>-529.33088988024053</v>
      </c>
      <c r="F15">
        <v>-246.67439762096231</v>
      </c>
      <c r="G15">
        <v>55.047328589712301</v>
      </c>
      <c r="H15">
        <f t="shared" si="2"/>
        <v>-191.62706903125002</v>
      </c>
      <c r="I15">
        <f t="shared" si="3"/>
        <v>-301.7217262106746</v>
      </c>
      <c r="J15">
        <v>-116.88204190690746</v>
      </c>
      <c r="K15">
        <v>22.924751879050742</v>
      </c>
      <c r="L15">
        <f t="shared" si="4"/>
        <v>-93.957290027856715</v>
      </c>
      <c r="M15">
        <f t="shared" si="5"/>
        <v>-139.80679378595821</v>
      </c>
      <c r="N15">
        <v>-253.06797695159858</v>
      </c>
      <c r="O15">
        <v>-146.15147757530144</v>
      </c>
      <c r="P15">
        <v>-522.43592429161049</v>
      </c>
      <c r="Q15">
        <v>-140.27921557426401</v>
      </c>
      <c r="R15">
        <v>-78.874044418334947</v>
      </c>
      <c r="S15">
        <v>-352.80197922388669</v>
      </c>
      <c r="T15">
        <v>-103.21812144915248</v>
      </c>
      <c r="U15">
        <v>-43.782988468805897</v>
      </c>
      <c r="V15">
        <v>-153.01952385902362</v>
      </c>
    </row>
    <row r="16" spans="1:22" x14ac:dyDescent="0.2">
      <c r="A16">
        <f t="shared" si="6"/>
        <v>60</v>
      </c>
      <c r="B16">
        <v>-220.09847053889445</v>
      </c>
      <c r="C16">
        <v>50.377444888367137</v>
      </c>
      <c r="D16">
        <f t="shared" si="0"/>
        <v>-169.72102565052731</v>
      </c>
      <c r="E16">
        <f t="shared" si="1"/>
        <v>-270.47591542726161</v>
      </c>
      <c r="F16">
        <v>-145.27637244187844</v>
      </c>
      <c r="G16">
        <v>35.797317630261603</v>
      </c>
      <c r="H16">
        <f t="shared" si="2"/>
        <v>-109.47905481161683</v>
      </c>
      <c r="I16">
        <f t="shared" si="3"/>
        <v>-181.07369007214004</v>
      </c>
      <c r="J16">
        <v>-36.513030816425314</v>
      </c>
      <c r="K16">
        <v>17.146011481677501</v>
      </c>
      <c r="L16">
        <f t="shared" si="4"/>
        <v>-19.367019334747813</v>
      </c>
      <c r="M16">
        <f t="shared" si="5"/>
        <v>-53.659042298102818</v>
      </c>
      <c r="N16">
        <v>-108.1311714649193</v>
      </c>
      <c r="O16">
        <v>-59.753186225891042</v>
      </c>
      <c r="P16">
        <v>-194.00502896308888</v>
      </c>
      <c r="Q16">
        <v>-94.025076627731124</v>
      </c>
      <c r="R16">
        <v>-32.685042142867999</v>
      </c>
      <c r="S16">
        <v>-200.55062588055875</v>
      </c>
      <c r="T16">
        <v>-33.04636864662163</v>
      </c>
      <c r="U16">
        <v>22.113174200057912</v>
      </c>
      <c r="V16">
        <v>-83.22669482231143</v>
      </c>
    </row>
    <row r="17" spans="1:22" x14ac:dyDescent="0.2">
      <c r="A17">
        <f t="shared" si="6"/>
        <v>70</v>
      </c>
      <c r="B17">
        <v>9.371779026720489</v>
      </c>
      <c r="C17">
        <v>42.636264763283378</v>
      </c>
      <c r="D17">
        <f t="shared" si="0"/>
        <v>52.008043790003867</v>
      </c>
      <c r="E17">
        <f t="shared" si="1"/>
        <v>-33.264485736562889</v>
      </c>
      <c r="F17">
        <v>-9.1387330398455511</v>
      </c>
      <c r="G17">
        <v>24.87782909396914</v>
      </c>
      <c r="H17">
        <f t="shared" si="2"/>
        <v>15.739096054123589</v>
      </c>
      <c r="I17">
        <f t="shared" si="3"/>
        <v>-34.016562133814688</v>
      </c>
      <c r="J17">
        <v>35.028753455144781</v>
      </c>
      <c r="K17">
        <v>17.335468113874683</v>
      </c>
      <c r="L17">
        <f t="shared" si="4"/>
        <v>52.364221569019463</v>
      </c>
      <c r="M17">
        <f t="shared" si="5"/>
        <v>17.693285341270098</v>
      </c>
      <c r="N17">
        <v>42.599046468734699</v>
      </c>
      <c r="O17">
        <v>89.078346014022827</v>
      </c>
      <c r="P17">
        <v>-15.882065534591636</v>
      </c>
      <c r="Q17">
        <v>12.168620347976667</v>
      </c>
      <c r="R17">
        <v>49.247462272643958</v>
      </c>
      <c r="S17">
        <v>-68.684808492660508</v>
      </c>
      <c r="T17">
        <v>38.538177251815711</v>
      </c>
      <c r="U17">
        <v>98.452983617782422</v>
      </c>
      <c r="V17">
        <v>-16.394748762675576</v>
      </c>
    </row>
    <row r="18" spans="1:22" x14ac:dyDescent="0.2">
      <c r="A18">
        <f t="shared" si="6"/>
        <v>80</v>
      </c>
      <c r="B18">
        <v>169.12550484054341</v>
      </c>
      <c r="C18">
        <v>51.217252267782904</v>
      </c>
      <c r="D18">
        <f t="shared" si="0"/>
        <v>220.34275710832631</v>
      </c>
      <c r="E18">
        <f t="shared" si="1"/>
        <v>117.90825257276052</v>
      </c>
      <c r="F18">
        <v>63.314710086227329</v>
      </c>
      <c r="G18">
        <v>22.804074675357612</v>
      </c>
      <c r="H18">
        <f t="shared" si="2"/>
        <v>86.118784761584948</v>
      </c>
      <c r="I18">
        <f t="shared" si="3"/>
        <v>40.510635410869718</v>
      </c>
      <c r="J18">
        <v>85.592366564646994</v>
      </c>
      <c r="K18">
        <v>21.516841602220573</v>
      </c>
      <c r="L18">
        <f t="shared" si="4"/>
        <v>107.10920816686757</v>
      </c>
      <c r="M18">
        <f t="shared" si="5"/>
        <v>64.075524962426414</v>
      </c>
      <c r="N18">
        <v>112.8706209659571</v>
      </c>
      <c r="O18">
        <v>193.45814061164836</v>
      </c>
      <c r="P18">
        <v>51.398995757102938</v>
      </c>
      <c r="Q18">
        <v>51.584956407546983</v>
      </c>
      <c r="R18">
        <v>95.131216764449803</v>
      </c>
      <c r="S18">
        <v>21.341697454452454</v>
      </c>
      <c r="T18">
        <v>72.96741382280976</v>
      </c>
      <c r="U18">
        <v>165.08547504742907</v>
      </c>
      <c r="V18">
        <v>4.1212244828541529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6387-582C-7A40-A921-387C41698744}">
  <dimension ref="A1:V18"/>
  <sheetViews>
    <sheetView workbookViewId="0"/>
  </sheetViews>
  <sheetFormatPr baseColWidth="10" defaultRowHeight="15" x14ac:dyDescent="0.2"/>
  <sheetData>
    <row r="1" spans="1:22" x14ac:dyDescent="0.2">
      <c r="A1" t="s">
        <v>216</v>
      </c>
      <c r="B1" t="s">
        <v>217</v>
      </c>
      <c r="C1" t="s">
        <v>218</v>
      </c>
      <c r="D1" t="s">
        <v>222</v>
      </c>
      <c r="E1" t="s">
        <v>223</v>
      </c>
      <c r="F1" t="s">
        <v>219</v>
      </c>
      <c r="G1" t="s">
        <v>219</v>
      </c>
      <c r="H1" t="s">
        <v>224</v>
      </c>
      <c r="I1" t="s">
        <v>225</v>
      </c>
      <c r="J1" t="s">
        <v>220</v>
      </c>
      <c r="K1" t="s">
        <v>221</v>
      </c>
      <c r="L1" t="s">
        <v>226</v>
      </c>
      <c r="M1" t="s">
        <v>227</v>
      </c>
      <c r="N1" t="s">
        <v>228</v>
      </c>
      <c r="O1" t="s">
        <v>229</v>
      </c>
      <c r="P1" t="s">
        <v>230</v>
      </c>
      <c r="Q1" t="s">
        <v>231</v>
      </c>
      <c r="R1" t="s">
        <v>232</v>
      </c>
      <c r="S1" t="s">
        <v>233</v>
      </c>
      <c r="T1" t="s">
        <v>234</v>
      </c>
      <c r="U1" t="s">
        <v>235</v>
      </c>
      <c r="V1" t="s">
        <v>236</v>
      </c>
    </row>
    <row r="2" spans="1:22" x14ac:dyDescent="0.2">
      <c r="A2">
        <v>-80</v>
      </c>
      <c r="B2">
        <v>0.44959639093821036</v>
      </c>
      <c r="C2">
        <v>12.775597045364066</v>
      </c>
      <c r="D2">
        <f>B2+C2</f>
        <v>13.225193436302277</v>
      </c>
      <c r="E2">
        <f>B2-C2</f>
        <v>-12.326000654425854</v>
      </c>
      <c r="F2">
        <v>0.42999309311586753</v>
      </c>
      <c r="G2">
        <v>10.250119016258344</v>
      </c>
      <c r="H2">
        <f>F2+G2</f>
        <v>10.68011210937421</v>
      </c>
      <c r="I2">
        <f>F2-G2</f>
        <v>-9.8201259231424771</v>
      </c>
      <c r="J2">
        <v>-0.28098621885507535</v>
      </c>
      <c r="K2">
        <v>4.3150182983586136</v>
      </c>
      <c r="L2">
        <f>J2+K2</f>
        <v>4.0340320795035378</v>
      </c>
      <c r="M2">
        <f>J2-K2</f>
        <v>-4.5960045172136894</v>
      </c>
      <c r="N2">
        <v>-1.9052312475336119E-2</v>
      </c>
      <c r="O2">
        <v>5.8692854342129239</v>
      </c>
      <c r="P2">
        <v>-3.3991806332842156</v>
      </c>
      <c r="Q2">
        <v>2.1838518073356643</v>
      </c>
      <c r="R2">
        <v>8.2790982402196782</v>
      </c>
      <c r="S2">
        <v>-2.1325476008701072</v>
      </c>
      <c r="T2">
        <v>-0.55625089894597535</v>
      </c>
      <c r="U2">
        <v>3.2884971260081612</v>
      </c>
      <c r="V2">
        <v>-2.0844222272333082</v>
      </c>
    </row>
    <row r="3" spans="1:22" x14ac:dyDescent="0.2">
      <c r="A3">
        <v>-70</v>
      </c>
      <c r="B3">
        <v>1.0663552072741718</v>
      </c>
      <c r="C3">
        <v>10.2649853314885</v>
      </c>
      <c r="D3">
        <f t="shared" ref="D3:D18" si="0">B3+C3</f>
        <v>11.331340538762671</v>
      </c>
      <c r="E3">
        <f t="shared" ref="E3:E18" si="1">B3-C3</f>
        <v>-9.1986301242143291</v>
      </c>
      <c r="F3">
        <v>-0.42999309311586753</v>
      </c>
      <c r="G3">
        <v>9.5914828670209253</v>
      </c>
      <c r="H3">
        <f t="shared" ref="H3:H18" si="2">F3+G3</f>
        <v>9.1614897739050569</v>
      </c>
      <c r="I3">
        <f t="shared" ref="I3:I18" si="3">F3-G3</f>
        <v>-10.021475960136794</v>
      </c>
      <c r="J3">
        <v>-0.64310721731970055</v>
      </c>
      <c r="K3">
        <v>5.3006541938142346</v>
      </c>
      <c r="L3">
        <f t="shared" ref="L3:L18" si="4">J3+K3</f>
        <v>4.6575469764945341</v>
      </c>
      <c r="M3">
        <f t="shared" ref="M3:M18" si="5">J3-K3</f>
        <v>-5.9437614111339352</v>
      </c>
      <c r="N3">
        <v>1.7013826134819796</v>
      </c>
      <c r="O3">
        <v>5.9089961071628805</v>
      </c>
      <c r="P3">
        <v>-2.0611954151224996</v>
      </c>
      <c r="Q3">
        <v>-1.6349321200340881</v>
      </c>
      <c r="R3">
        <v>5.0227605810173763</v>
      </c>
      <c r="S3">
        <v>-2.6118734205762406</v>
      </c>
      <c r="T3">
        <v>-0.12966368638534531</v>
      </c>
      <c r="U3">
        <v>2.6263029753421256</v>
      </c>
      <c r="V3">
        <v>-2.4440687683527531</v>
      </c>
    </row>
    <row r="4" spans="1:22" x14ac:dyDescent="0.2">
      <c r="A4">
        <v>-60</v>
      </c>
      <c r="B4">
        <v>-3.5167215037038555</v>
      </c>
      <c r="C4">
        <v>7.073799149788222</v>
      </c>
      <c r="D4">
        <f t="shared" si="0"/>
        <v>3.5570776460843665</v>
      </c>
      <c r="E4">
        <f t="shared" si="1"/>
        <v>-10.590520653492078</v>
      </c>
      <c r="F4">
        <v>-0.85160338339894626</v>
      </c>
      <c r="G4">
        <v>11.108368408356426</v>
      </c>
      <c r="H4">
        <f t="shared" si="2"/>
        <v>10.256765024957481</v>
      </c>
      <c r="I4">
        <f t="shared" si="3"/>
        <v>-11.959971791755372</v>
      </c>
      <c r="J4">
        <v>0.28098621885507535</v>
      </c>
      <c r="K4">
        <v>4.2680869964966153</v>
      </c>
      <c r="L4">
        <f t="shared" si="4"/>
        <v>4.5490732153516902</v>
      </c>
      <c r="M4">
        <f t="shared" si="5"/>
        <v>-3.9871007776415399</v>
      </c>
      <c r="N4">
        <v>-1.5349731007744627</v>
      </c>
      <c r="O4">
        <v>4.4729825402952335</v>
      </c>
      <c r="P4">
        <v>-4.8148975594058641</v>
      </c>
      <c r="Q4">
        <v>-1.7117938990437458</v>
      </c>
      <c r="R4">
        <v>3.57790380189171</v>
      </c>
      <c r="S4">
        <v>-2.7917054860309918</v>
      </c>
      <c r="T4">
        <v>0.12966368638534531</v>
      </c>
      <c r="U4">
        <v>3.6205114966041294</v>
      </c>
      <c r="V4">
        <v>-2.2136319521192305</v>
      </c>
    </row>
    <row r="5" spans="1:22" x14ac:dyDescent="0.2">
      <c r="A5">
        <v>-50</v>
      </c>
      <c r="B5">
        <v>-0.44959639093821036</v>
      </c>
      <c r="C5">
        <v>10.958400629142803</v>
      </c>
      <c r="D5">
        <f t="shared" si="0"/>
        <v>10.508804238204593</v>
      </c>
      <c r="E5">
        <f t="shared" si="1"/>
        <v>-11.407997020081012</v>
      </c>
      <c r="F5">
        <v>1.1095527346191316</v>
      </c>
      <c r="G5">
        <v>9.9571580230841832</v>
      </c>
      <c r="H5">
        <f t="shared" si="2"/>
        <v>11.066710757703316</v>
      </c>
      <c r="I5">
        <f t="shared" si="3"/>
        <v>-8.8476052884650507</v>
      </c>
      <c r="J5">
        <v>1.3402312509944792</v>
      </c>
      <c r="K5">
        <v>4.398815892937451</v>
      </c>
      <c r="L5">
        <f t="shared" si="4"/>
        <v>5.7390471439319306</v>
      </c>
      <c r="M5">
        <f t="shared" si="5"/>
        <v>-3.0585846419429719</v>
      </c>
      <c r="N5">
        <v>1.9052312475336564E-2</v>
      </c>
      <c r="O5">
        <v>5.7983008462633565</v>
      </c>
      <c r="P5">
        <v>-3.4841549433729737</v>
      </c>
      <c r="Q5">
        <v>1.6349321200340881</v>
      </c>
      <c r="R5">
        <v>6.535923902847502</v>
      </c>
      <c r="S5">
        <v>-2.9869101001427394</v>
      </c>
      <c r="T5">
        <v>2.1372966085248666</v>
      </c>
      <c r="U5">
        <v>3.0696818421375052</v>
      </c>
      <c r="V5">
        <v>-1.5709338532462334</v>
      </c>
    </row>
    <row r="6" spans="1:22" x14ac:dyDescent="0.2">
      <c r="A6">
        <v>-40</v>
      </c>
      <c r="B6">
        <v>-2.7755460084031727</v>
      </c>
      <c r="C6">
        <v>9.1991754155846657</v>
      </c>
      <c r="D6">
        <f t="shared" si="0"/>
        <v>6.423629407181493</v>
      </c>
      <c r="E6">
        <f t="shared" si="1"/>
        <v>-11.974721423987837</v>
      </c>
      <c r="F6">
        <v>0.23386335585866558</v>
      </c>
      <c r="G6">
        <v>13.519132274189314</v>
      </c>
      <c r="H6">
        <f t="shared" si="2"/>
        <v>13.75299563004798</v>
      </c>
      <c r="I6">
        <f t="shared" si="3"/>
        <v>-13.285268918330647</v>
      </c>
      <c r="J6">
        <v>0.97004901244939701</v>
      </c>
      <c r="K6">
        <v>5.8666936761676949</v>
      </c>
      <c r="L6">
        <f t="shared" si="4"/>
        <v>6.8367426886170914</v>
      </c>
      <c r="M6">
        <f t="shared" si="5"/>
        <v>-4.8966446637182983</v>
      </c>
      <c r="N6">
        <v>-0.39458671202695239</v>
      </c>
      <c r="O6">
        <v>5.9619770828309155</v>
      </c>
      <c r="P6">
        <v>-4.7450472167805779</v>
      </c>
      <c r="Q6">
        <v>1.3078890986289755</v>
      </c>
      <c r="R6">
        <v>9.6378097876112552</v>
      </c>
      <c r="S6">
        <v>-2.4892327438263973</v>
      </c>
      <c r="T6">
        <v>5.8987910641492558E-2</v>
      </c>
      <c r="U6">
        <v>5.3526766665208783</v>
      </c>
      <c r="V6">
        <v>-2.4309673608796372</v>
      </c>
    </row>
    <row r="7" spans="1:22" x14ac:dyDescent="0.2">
      <c r="A7">
        <v>-30</v>
      </c>
      <c r="B7">
        <v>-21.717926193329223</v>
      </c>
      <c r="C7">
        <v>18.773018770484491</v>
      </c>
      <c r="D7">
        <f t="shared" si="0"/>
        <v>-2.9449074228447323</v>
      </c>
      <c r="E7">
        <f t="shared" si="1"/>
        <v>-40.490944963813718</v>
      </c>
      <c r="F7">
        <v>-5.4390133738597042</v>
      </c>
      <c r="G7">
        <v>25.018080198989892</v>
      </c>
      <c r="H7">
        <f t="shared" si="2"/>
        <v>19.579066825130187</v>
      </c>
      <c r="I7">
        <f t="shared" si="3"/>
        <v>-30.457093572849598</v>
      </c>
      <c r="J7">
        <v>-5.3151371149284286</v>
      </c>
      <c r="K7">
        <v>8.560404448599261</v>
      </c>
      <c r="L7">
        <f t="shared" si="4"/>
        <v>3.2452673336708324</v>
      </c>
      <c r="M7">
        <f t="shared" si="5"/>
        <v>-13.87554156352769</v>
      </c>
      <c r="N7">
        <v>-11.71263879482941</v>
      </c>
      <c r="O7">
        <v>-3.7166635731083528</v>
      </c>
      <c r="P7">
        <v>-22.131914952431369</v>
      </c>
      <c r="Q7">
        <v>-3.7188094868247146</v>
      </c>
      <c r="R7">
        <v>7.6946557786395786</v>
      </c>
      <c r="S7">
        <v>-7.308759788004819</v>
      </c>
      <c r="T7">
        <v>-6.0963877264549851</v>
      </c>
      <c r="U7">
        <v>0.27791314832078973</v>
      </c>
      <c r="V7">
        <v>-8.2063370263991455</v>
      </c>
    </row>
    <row r="8" spans="1:22" x14ac:dyDescent="0.2">
      <c r="A8">
        <v>-20</v>
      </c>
      <c r="B8">
        <v>-91.795251290944563</v>
      </c>
      <c r="C8">
        <v>77.943265822682562</v>
      </c>
      <c r="D8">
        <f t="shared" si="0"/>
        <v>-13.851985468262001</v>
      </c>
      <c r="E8">
        <f t="shared" si="1"/>
        <v>-169.73851711362713</v>
      </c>
      <c r="F8">
        <v>-41.992594105073408</v>
      </c>
      <c r="G8">
        <v>78.681445089333167</v>
      </c>
      <c r="H8">
        <f t="shared" si="2"/>
        <v>36.688850984259759</v>
      </c>
      <c r="I8">
        <f t="shared" si="3"/>
        <v>-120.67403919440657</v>
      </c>
      <c r="J8">
        <v>-24.192682994289601</v>
      </c>
      <c r="K8">
        <v>19.727987680193561</v>
      </c>
      <c r="L8">
        <f t="shared" si="4"/>
        <v>-4.4646953140960406</v>
      </c>
      <c r="M8">
        <f t="shared" si="5"/>
        <v>-43.920670674483162</v>
      </c>
      <c r="N8">
        <v>-48.048244080461643</v>
      </c>
      <c r="O8">
        <v>-20.950535733036336</v>
      </c>
      <c r="P8">
        <v>-147.3745869932356</v>
      </c>
      <c r="Q8">
        <v>-26.876777015790299</v>
      </c>
      <c r="R8">
        <v>-8.1210778023010519</v>
      </c>
      <c r="S8">
        <v>-41.563757584605426</v>
      </c>
      <c r="T8">
        <v>-19.161694226312513</v>
      </c>
      <c r="U8">
        <v>-10.060013449939394</v>
      </c>
      <c r="V8">
        <v>-29.383653903103482</v>
      </c>
    </row>
    <row r="9" spans="1:22" x14ac:dyDescent="0.2">
      <c r="A9">
        <v>-10</v>
      </c>
      <c r="B9">
        <v>-189.2007479273332</v>
      </c>
      <c r="C9">
        <v>152.35151575005392</v>
      </c>
      <c r="D9">
        <f t="shared" si="0"/>
        <v>-36.849232177279276</v>
      </c>
      <c r="E9">
        <f t="shared" si="1"/>
        <v>-341.55226367738715</v>
      </c>
      <c r="F9">
        <v>-89.808326118934829</v>
      </c>
      <c r="G9">
        <v>117.86647650587517</v>
      </c>
      <c r="H9">
        <f t="shared" si="2"/>
        <v>28.058150386940341</v>
      </c>
      <c r="I9">
        <f t="shared" si="3"/>
        <v>-207.67480262481001</v>
      </c>
      <c r="J9">
        <v>-54.332287869250223</v>
      </c>
      <c r="K9">
        <v>43.945976112909882</v>
      </c>
      <c r="L9">
        <f t="shared" si="4"/>
        <v>-10.386311756340341</v>
      </c>
      <c r="M9">
        <f t="shared" si="5"/>
        <v>-98.278263982160098</v>
      </c>
      <c r="N9">
        <v>-125.75613346791452</v>
      </c>
      <c r="O9">
        <v>-50.100716284018688</v>
      </c>
      <c r="P9">
        <v>-212.92194599504919</v>
      </c>
      <c r="Q9">
        <v>-59.459665368816673</v>
      </c>
      <c r="R9">
        <v>-21.446167200921806</v>
      </c>
      <c r="S9">
        <v>-151.98960542276495</v>
      </c>
      <c r="T9">
        <v>-48.568195977626587</v>
      </c>
      <c r="U9">
        <v>-21.664966659000378</v>
      </c>
      <c r="V9">
        <v>-79.642098904166602</v>
      </c>
    </row>
    <row r="10" spans="1:22" x14ac:dyDescent="0.2">
      <c r="A10">
        <v>0</v>
      </c>
      <c r="B10">
        <v>-238.64158468347026</v>
      </c>
      <c r="C10">
        <v>182.38166413504848</v>
      </c>
      <c r="D10">
        <f t="shared" si="0"/>
        <v>-56.259920548421775</v>
      </c>
      <c r="E10">
        <f t="shared" si="1"/>
        <v>-421.02324881851871</v>
      </c>
      <c r="F10">
        <v>-124.9207983474675</v>
      </c>
      <c r="G10">
        <v>134.23032709643829</v>
      </c>
      <c r="H10">
        <f t="shared" si="2"/>
        <v>9.3095287489707914</v>
      </c>
      <c r="I10">
        <f t="shared" si="3"/>
        <v>-259.15112544390581</v>
      </c>
      <c r="J10">
        <v>-73.394913644069348</v>
      </c>
      <c r="K10">
        <v>53.457349263149112</v>
      </c>
      <c r="L10">
        <f t="shared" si="4"/>
        <v>-19.937564380920236</v>
      </c>
      <c r="M10">
        <f t="shared" si="5"/>
        <v>-126.85226290721846</v>
      </c>
      <c r="N10">
        <v>-172.26004170620214</v>
      </c>
      <c r="O10">
        <v>-80.828370309909772</v>
      </c>
      <c r="P10">
        <v>-304.72037228045843</v>
      </c>
      <c r="Q10">
        <v>-82.470285047818535</v>
      </c>
      <c r="R10">
        <v>-31.928663390149371</v>
      </c>
      <c r="S10">
        <v>-204.300645751003</v>
      </c>
      <c r="T10">
        <v>-74.595838531506715</v>
      </c>
      <c r="U10">
        <v>-36.614421787145162</v>
      </c>
      <c r="V10">
        <v>-107.62762598007556</v>
      </c>
    </row>
    <row r="11" spans="1:22" x14ac:dyDescent="0.2">
      <c r="A11">
        <v>10</v>
      </c>
      <c r="B11">
        <v>-251.84253355785509</v>
      </c>
      <c r="C11">
        <v>185.65101658683582</v>
      </c>
      <c r="D11">
        <f t="shared" si="0"/>
        <v>-66.191516971019269</v>
      </c>
      <c r="E11">
        <f t="shared" si="1"/>
        <v>-437.49355014469091</v>
      </c>
      <c r="F11">
        <v>-134.6027544119332</v>
      </c>
      <c r="G11">
        <v>134.83727608007567</v>
      </c>
      <c r="H11">
        <f t="shared" si="2"/>
        <v>0.23452166814246311</v>
      </c>
      <c r="I11">
        <f t="shared" si="3"/>
        <v>-269.44003049200887</v>
      </c>
      <c r="J11">
        <v>-79.548118897307845</v>
      </c>
      <c r="K11">
        <v>57.772738256924924</v>
      </c>
      <c r="L11">
        <f t="shared" si="4"/>
        <v>-21.77538064038292</v>
      </c>
      <c r="M11">
        <f t="shared" si="5"/>
        <v>-137.32085715423278</v>
      </c>
      <c r="N11">
        <v>-197.22675266503276</v>
      </c>
      <c r="O11">
        <v>-87.511318162251669</v>
      </c>
      <c r="P11">
        <v>-328.75149116598931</v>
      </c>
      <c r="Q11">
        <v>-91.80495100557097</v>
      </c>
      <c r="R11">
        <v>-38.967705529577032</v>
      </c>
      <c r="S11">
        <v>-208.77532280426101</v>
      </c>
      <c r="T11">
        <v>-81.341061077106446</v>
      </c>
      <c r="U11">
        <v>-46.81083407446981</v>
      </c>
      <c r="V11">
        <v>-115.76899126159783</v>
      </c>
    </row>
    <row r="12" spans="1:22" x14ac:dyDescent="0.2">
      <c r="A12">
        <v>20</v>
      </c>
      <c r="B12">
        <v>-227.49318727452498</v>
      </c>
      <c r="C12">
        <v>169.59983917636865</v>
      </c>
      <c r="D12">
        <f t="shared" si="0"/>
        <v>-57.893348098156338</v>
      </c>
      <c r="E12">
        <f t="shared" si="1"/>
        <v>-397.0930264508936</v>
      </c>
      <c r="F12">
        <v>-127.0267527893899</v>
      </c>
      <c r="G12">
        <v>123.43286655696832</v>
      </c>
      <c r="H12">
        <f t="shared" si="2"/>
        <v>-3.5938862324215819</v>
      </c>
      <c r="I12">
        <f t="shared" si="3"/>
        <v>-250.45961934635824</v>
      </c>
      <c r="J12">
        <v>-71.184545865584127</v>
      </c>
      <c r="K12">
        <v>53.88241876160216</v>
      </c>
      <c r="L12">
        <f t="shared" si="4"/>
        <v>-17.302127103981967</v>
      </c>
      <c r="M12">
        <f t="shared" si="5"/>
        <v>-125.06696462718628</v>
      </c>
      <c r="N12">
        <v>-163.9078397129168</v>
      </c>
      <c r="O12">
        <v>-92.651743062912871</v>
      </c>
      <c r="P12">
        <v>-278.95675073575461</v>
      </c>
      <c r="Q12">
        <v>-84.537504399178204</v>
      </c>
      <c r="R12">
        <v>-38.455088583453843</v>
      </c>
      <c r="S12">
        <v>-189.64173445008083</v>
      </c>
      <c r="T12">
        <v>-69.298832712060218</v>
      </c>
      <c r="U12">
        <v>-44.943675332435056</v>
      </c>
      <c r="V12">
        <v>-95.267691661830099</v>
      </c>
    </row>
    <row r="13" spans="1:22" x14ac:dyDescent="0.2">
      <c r="A13">
        <v>30</v>
      </c>
      <c r="B13">
        <v>-183.2634090454747</v>
      </c>
      <c r="C13">
        <v>145.23582203963272</v>
      </c>
      <c r="D13">
        <f t="shared" si="0"/>
        <v>-38.02758700584198</v>
      </c>
      <c r="E13">
        <f t="shared" si="1"/>
        <v>-328.49923108510745</v>
      </c>
      <c r="F13">
        <v>-107.61805219075774</v>
      </c>
      <c r="G13">
        <v>102.22645885560051</v>
      </c>
      <c r="H13">
        <f t="shared" si="2"/>
        <v>-5.3915933351572249</v>
      </c>
      <c r="I13">
        <f t="shared" si="3"/>
        <v>-209.84451104635826</v>
      </c>
      <c r="J13">
        <v>-56.781978242523564</v>
      </c>
      <c r="K13">
        <v>46.198291368542328</v>
      </c>
      <c r="L13">
        <f t="shared" si="4"/>
        <v>-10.583686873981236</v>
      </c>
      <c r="M13">
        <f t="shared" si="5"/>
        <v>-102.98026961106589</v>
      </c>
      <c r="N13">
        <v>-127.77097090280915</v>
      </c>
      <c r="O13">
        <v>-71.252368566676125</v>
      </c>
      <c r="P13">
        <v>-235.43669000390912</v>
      </c>
      <c r="Q13">
        <v>-69.518001518270253</v>
      </c>
      <c r="R13">
        <v>-30.761279946915355</v>
      </c>
      <c r="S13">
        <v>-153.3287215425454</v>
      </c>
      <c r="T13">
        <v>-59.56282833503785</v>
      </c>
      <c r="U13">
        <v>-40.67469242532114</v>
      </c>
      <c r="V13">
        <v>-73.378874234900493</v>
      </c>
    </row>
    <row r="14" spans="1:22" x14ac:dyDescent="0.2">
      <c r="A14">
        <v>40</v>
      </c>
      <c r="B14">
        <v>-136.11460136431594</v>
      </c>
      <c r="C14">
        <v>113.78458344444081</v>
      </c>
      <c r="D14">
        <f t="shared" si="0"/>
        <v>-22.330017919875132</v>
      </c>
      <c r="E14">
        <f t="shared" si="1"/>
        <v>-249.89918480875676</v>
      </c>
      <c r="F14">
        <v>-82.562008235598569</v>
      </c>
      <c r="G14">
        <v>77.647353226965237</v>
      </c>
      <c r="H14">
        <f t="shared" si="2"/>
        <v>-4.914655008633332</v>
      </c>
      <c r="I14">
        <f t="shared" si="3"/>
        <v>-160.20936146256381</v>
      </c>
      <c r="J14">
        <v>-39.334967834217743</v>
      </c>
      <c r="K14">
        <v>33.660979915528202</v>
      </c>
      <c r="L14">
        <f t="shared" si="4"/>
        <v>-5.6739879186895408</v>
      </c>
      <c r="M14">
        <f t="shared" si="5"/>
        <v>-72.995947749745937</v>
      </c>
      <c r="N14">
        <v>-92.36198358252895</v>
      </c>
      <c r="O14">
        <v>-47.247619762181756</v>
      </c>
      <c r="P14">
        <v>-173.42022099781059</v>
      </c>
      <c r="Q14">
        <v>-56.343486279601251</v>
      </c>
      <c r="R14">
        <v>-23.838848646577855</v>
      </c>
      <c r="S14">
        <v>-114.06728105429995</v>
      </c>
      <c r="T14">
        <v>-41.449998588605759</v>
      </c>
      <c r="U14">
        <v>-24.719234151404947</v>
      </c>
      <c r="V14">
        <v>-56.34305871748137</v>
      </c>
    </row>
    <row r="15" spans="1:22" x14ac:dyDescent="0.2">
      <c r="A15">
        <v>50</v>
      </c>
      <c r="B15">
        <v>-87.069276932628398</v>
      </c>
      <c r="C15">
        <v>77.863806714751689</v>
      </c>
      <c r="D15">
        <f t="shared" si="0"/>
        <v>-9.2054702178767087</v>
      </c>
      <c r="E15">
        <f t="shared" si="1"/>
        <v>-164.9330836473801</v>
      </c>
      <c r="F15">
        <v>-56.314771650118615</v>
      </c>
      <c r="G15">
        <v>55.047328589712301</v>
      </c>
      <c r="H15">
        <f t="shared" si="2"/>
        <v>-1.2674430604063147</v>
      </c>
      <c r="I15">
        <f t="shared" si="3"/>
        <v>-111.36210023983091</v>
      </c>
      <c r="J15">
        <v>-22.020768035560586</v>
      </c>
      <c r="K15">
        <v>22.924751879050742</v>
      </c>
      <c r="L15">
        <f t="shared" si="4"/>
        <v>0.90398384349015615</v>
      </c>
      <c r="M15">
        <f t="shared" si="5"/>
        <v>-44.945519914611324</v>
      </c>
      <c r="N15">
        <v>-58.597876333419862</v>
      </c>
      <c r="O15">
        <v>-25.856723069208186</v>
      </c>
      <c r="P15">
        <v>-122.69099772317222</v>
      </c>
      <c r="Q15">
        <v>-39.986260158401606</v>
      </c>
      <c r="R15">
        <v>-12.893202292485011</v>
      </c>
      <c r="S15">
        <v>-78.289936071938016</v>
      </c>
      <c r="T15">
        <v>-23.704959158828114</v>
      </c>
      <c r="U15">
        <v>-7.9099231383951221</v>
      </c>
      <c r="V15">
        <v>-31.408968826516968</v>
      </c>
    </row>
    <row r="16" spans="1:22" x14ac:dyDescent="0.2">
      <c r="A16">
        <v>60</v>
      </c>
      <c r="B16">
        <v>-39.475551830347293</v>
      </c>
      <c r="C16">
        <v>50.377444888367137</v>
      </c>
      <c r="D16">
        <f t="shared" si="0"/>
        <v>10.901893058019844</v>
      </c>
      <c r="E16">
        <f t="shared" si="1"/>
        <v>-89.852996718714422</v>
      </c>
      <c r="F16">
        <v>-34.079541160250834</v>
      </c>
      <c r="G16">
        <v>35.797317630261603</v>
      </c>
      <c r="H16">
        <f t="shared" si="2"/>
        <v>1.7177764700107687</v>
      </c>
      <c r="I16">
        <f t="shared" si="3"/>
        <v>-69.876858790512443</v>
      </c>
      <c r="J16">
        <v>-6.1181413797689492</v>
      </c>
      <c r="K16">
        <v>17.146011481677501</v>
      </c>
      <c r="L16">
        <f t="shared" si="4"/>
        <v>11.027870101908551</v>
      </c>
      <c r="M16">
        <f t="shared" si="5"/>
        <v>-23.264152861446451</v>
      </c>
      <c r="N16">
        <v>-20.981242492219479</v>
      </c>
      <c r="O16">
        <v>-11.049663749557261</v>
      </c>
      <c r="P16">
        <v>-42.473072243160331</v>
      </c>
      <c r="Q16">
        <v>-23.883166724281303</v>
      </c>
      <c r="R16">
        <v>-5.5715607364972506</v>
      </c>
      <c r="S16">
        <v>-50.059803998749615</v>
      </c>
      <c r="T16">
        <v>-6.1826589630202271</v>
      </c>
      <c r="U16">
        <v>9.4407312959091705</v>
      </c>
      <c r="V16">
        <v>-16.558627343872629</v>
      </c>
    </row>
    <row r="17" spans="1:22" x14ac:dyDescent="0.2">
      <c r="A17">
        <v>70</v>
      </c>
      <c r="B17">
        <v>5.6865027419568266</v>
      </c>
      <c r="C17">
        <v>42.636264763283378</v>
      </c>
      <c r="D17">
        <f t="shared" si="0"/>
        <v>48.322767505240208</v>
      </c>
      <c r="E17">
        <f t="shared" si="1"/>
        <v>-36.949762021326549</v>
      </c>
      <c r="F17">
        <v>-3.4154382217324022</v>
      </c>
      <c r="G17">
        <v>24.87782909396914</v>
      </c>
      <c r="H17">
        <f t="shared" si="2"/>
        <v>21.462390872236739</v>
      </c>
      <c r="I17">
        <f t="shared" si="3"/>
        <v>-28.293267315701542</v>
      </c>
      <c r="J17">
        <v>7.0928679635485405</v>
      </c>
      <c r="K17">
        <v>17.335468113874683</v>
      </c>
      <c r="L17">
        <f t="shared" si="4"/>
        <v>24.428336077423225</v>
      </c>
      <c r="M17">
        <f t="shared" si="5"/>
        <v>-10.242600150326142</v>
      </c>
      <c r="N17">
        <v>8.597661045781674</v>
      </c>
      <c r="O17">
        <v>21.186318956763195</v>
      </c>
      <c r="P17">
        <v>-3.3674549826158002</v>
      </c>
      <c r="Q17">
        <v>0.99385280542439247</v>
      </c>
      <c r="R17">
        <v>9.6209672827635853</v>
      </c>
      <c r="S17">
        <v>-13.567176713089593</v>
      </c>
      <c r="T17">
        <v>3.4768580825295694</v>
      </c>
      <c r="U17">
        <v>23.6069902547498</v>
      </c>
      <c r="V17">
        <v>-5.1404136021788354</v>
      </c>
    </row>
    <row r="18" spans="1:22" x14ac:dyDescent="0.2">
      <c r="A18">
        <v>80</v>
      </c>
      <c r="B18">
        <v>38.484603431459306</v>
      </c>
      <c r="C18">
        <v>51.217252267782904</v>
      </c>
      <c r="D18">
        <f t="shared" si="0"/>
        <v>89.701855699242202</v>
      </c>
      <c r="E18">
        <f t="shared" si="1"/>
        <v>-12.732648836323598</v>
      </c>
      <c r="F18">
        <v>13.029878871151112</v>
      </c>
      <c r="G18">
        <v>22.804074675357612</v>
      </c>
      <c r="H18">
        <f t="shared" si="2"/>
        <v>35.833953546508724</v>
      </c>
      <c r="I18">
        <f t="shared" si="3"/>
        <v>-9.7741958042064994</v>
      </c>
      <c r="J18">
        <v>17.040824718795168</v>
      </c>
      <c r="K18">
        <v>21.516841602220573</v>
      </c>
      <c r="L18">
        <f t="shared" si="4"/>
        <v>38.557666321015745</v>
      </c>
      <c r="M18">
        <f t="shared" si="5"/>
        <v>-4.4760168834254053</v>
      </c>
      <c r="N18">
        <v>22.339858865711854</v>
      </c>
      <c r="O18">
        <v>46.61713787500419</v>
      </c>
      <c r="P18">
        <v>9.8720765412842262</v>
      </c>
      <c r="Q18">
        <v>11.375224007331989</v>
      </c>
      <c r="R18">
        <v>24.669846657023868</v>
      </c>
      <c r="S18">
        <v>4.4217157061793078</v>
      </c>
      <c r="T18">
        <v>10.362311587758223</v>
      </c>
      <c r="U18">
        <v>35.447127629686285</v>
      </c>
      <c r="V18">
        <v>0.8346535888183384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MetaData</vt:lpstr>
      <vt:lpstr>RawCurrent</vt:lpstr>
      <vt:lpstr>NormIV</vt:lpstr>
      <vt:lpstr>BLcorrectedCurrent</vt:lpstr>
      <vt:lpstr>CurrentDensity</vt:lpstr>
      <vt:lpstr>CurrentDensity_Fitted_params</vt:lpstr>
      <vt:lpstr>Central_Tendency_IV</vt:lpstr>
      <vt:lpstr>Central_Tendency_IV_Fitted</vt:lpstr>
      <vt:lpstr>Conductance_Eeq</vt:lpstr>
      <vt:lpstr>Conductance_Erev</vt:lpstr>
      <vt:lpstr>ApparentGatingCharge</vt:lpstr>
      <vt:lpstr>Reveral_Potential</vt:lpstr>
      <vt:lpstr>Tau_m_Rise_Time_ms</vt:lpstr>
      <vt:lpstr>Tau_h_decay_Time_ms</vt:lpstr>
      <vt:lpstr>Tau_m_to_h_ratio</vt:lpstr>
      <vt:lpstr>Macroscopic_Conductance</vt:lpstr>
      <vt:lpstr>IV_report</vt:lpstr>
      <vt:lpstr>IV_Curves</vt:lpstr>
      <vt:lpstr>IV_Current_Density_curves</vt:lpstr>
      <vt:lpstr>RawCurrent!dirlvnv</vt:lpstr>
      <vt:lpstr>Reveral_Potential!dirlvnv</vt:lpstr>
    </vt:vector>
  </TitlesOfParts>
  <Company>University of Nevada, Reno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E Delcarlo</dc:creator>
  <cp:lastModifiedBy>Robert Eugene del Carlo</cp:lastModifiedBy>
  <dcterms:created xsi:type="dcterms:W3CDTF">2019-11-20T06:51:20Z</dcterms:created>
  <dcterms:modified xsi:type="dcterms:W3CDTF">2020-04-17T09:18:52Z</dcterms:modified>
</cp:coreProperties>
</file>