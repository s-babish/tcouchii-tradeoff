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9"/>
  <workbookPr/>
  <mc:AlternateContent xmlns:mc="http://schemas.openxmlformats.org/markup-compatibility/2006">
    <mc:Choice Requires="x15">
      <x15ac:absPath xmlns:x15ac="http://schemas.microsoft.com/office/spreadsheetml/2010/11/ac" url="/Users/roberteugenedelcarlo/Desktop/Capacitance/"/>
    </mc:Choice>
  </mc:AlternateContent>
  <xr:revisionPtr revIDLastSave="0" documentId="13_ncr:1_{E4AA9CA2-EBC0-3F4F-8172-4E6BA0CA545E}" xr6:coauthVersionLast="36" xr6:coauthVersionMax="36" xr10:uidLastSave="{00000000-0000-0000-0000-000000000000}"/>
  <bookViews>
    <workbookView xWindow="0" yWindow="460" windowWidth="25600" windowHeight="14180" activeTab="1" xr2:uid="{00000000-000D-0000-FFFF-FFFF00000000}"/>
  </bookViews>
  <sheets>
    <sheet name="MetaData" sheetId="1" r:id="rId1"/>
    <sheet name="Capacitance" sheetId="2" r:id="rId2"/>
  </sheets>
  <definedNames>
    <definedName name="direpn" localSheetId="1">Capacitance!$DK$3:$DM$79</definedName>
    <definedName name="dirlvnv" localSheetId="1">Capacitance!$CJ$10:$CQ$36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L11" i="2" l="1"/>
  <c r="DL12" i="2"/>
  <c r="DL13" i="2"/>
  <c r="AN11" i="2" l="1"/>
  <c r="AN12" i="2"/>
  <c r="AN13" i="2"/>
  <c r="CI11" i="2"/>
  <c r="CI12" i="2"/>
  <c r="CI13" i="2"/>
  <c r="CN11" i="2" l="1"/>
  <c r="CO11" i="2"/>
  <c r="CP11" i="2"/>
  <c r="CN12" i="2"/>
  <c r="CO12" i="2"/>
  <c r="CP12" i="2"/>
  <c r="CN13" i="2"/>
  <c r="CO13" i="2"/>
  <c r="CP13" i="2"/>
  <c r="BV11" i="2"/>
  <c r="BV12" i="2"/>
  <c r="BV13" i="2"/>
  <c r="BU11" i="2" l="1"/>
  <c r="BU12" i="2"/>
  <c r="BU13" i="2"/>
  <c r="BT11" i="2"/>
  <c r="BT12" i="2"/>
  <c r="BT13" i="2"/>
  <c r="DJ11" i="2"/>
  <c r="DJ12" i="2"/>
  <c r="DJ13" i="2"/>
  <c r="DD11" i="2"/>
  <c r="DD12" i="2"/>
  <c r="DD13" i="2"/>
  <c r="DC11" i="2"/>
  <c r="DC12" i="2"/>
  <c r="DC13" i="2"/>
  <c r="CT11" i="2"/>
  <c r="CT12" i="2"/>
  <c r="CT13" i="2"/>
  <c r="CQ11" i="2"/>
  <c r="CR11" i="2"/>
  <c r="CS11" i="2"/>
  <c r="CU11" i="2"/>
  <c r="CV11" i="2"/>
  <c r="CW11" i="2"/>
  <c r="CX11" i="2"/>
  <c r="CY11" i="2"/>
  <c r="CZ11" i="2"/>
  <c r="DA11" i="2"/>
  <c r="DB11" i="2"/>
  <c r="DE11" i="2"/>
  <c r="DF11" i="2"/>
  <c r="DG11" i="2"/>
  <c r="DH11" i="2"/>
  <c r="DI11" i="2"/>
  <c r="DK11" i="2"/>
  <c r="CQ12" i="2"/>
  <c r="CR12" i="2"/>
  <c r="CS12" i="2"/>
  <c r="CU12" i="2"/>
  <c r="CV12" i="2"/>
  <c r="CW12" i="2"/>
  <c r="CX12" i="2"/>
  <c r="CY12" i="2"/>
  <c r="CZ12" i="2"/>
  <c r="DA12" i="2"/>
  <c r="DB12" i="2"/>
  <c r="DE12" i="2"/>
  <c r="DF12" i="2"/>
  <c r="DG12" i="2"/>
  <c r="DH12" i="2"/>
  <c r="DI12" i="2"/>
  <c r="DK12" i="2"/>
  <c r="CQ13" i="2"/>
  <c r="CR13" i="2"/>
  <c r="CS13" i="2"/>
  <c r="CU13" i="2"/>
  <c r="CV13" i="2"/>
  <c r="CW13" i="2"/>
  <c r="CX13" i="2"/>
  <c r="CY13" i="2"/>
  <c r="CZ13" i="2"/>
  <c r="DA13" i="2"/>
  <c r="DB13" i="2"/>
  <c r="DE13" i="2"/>
  <c r="DF13" i="2"/>
  <c r="DG13" i="2"/>
  <c r="DH13" i="2"/>
  <c r="DI13" i="2"/>
  <c r="DK13" i="2"/>
  <c r="CC11" i="2"/>
  <c r="CC12" i="2"/>
  <c r="CC13" i="2"/>
  <c r="CE11" i="2"/>
  <c r="CE12" i="2"/>
  <c r="CE13" i="2"/>
  <c r="CL11" i="2"/>
  <c r="CM11" i="2"/>
  <c r="CL12" i="2"/>
  <c r="CM12" i="2"/>
  <c r="CL13" i="2"/>
  <c r="CM13" i="2"/>
  <c r="CK11" i="2"/>
  <c r="CK12" i="2"/>
  <c r="CK13" i="2"/>
  <c r="CJ11" i="2"/>
  <c r="CJ12" i="2"/>
  <c r="CJ13" i="2"/>
  <c r="CH11" i="2"/>
  <c r="CH12" i="2"/>
  <c r="CH13" i="2"/>
  <c r="CG11" i="2"/>
  <c r="CG12" i="2"/>
  <c r="CG13" i="2"/>
  <c r="CF11" i="2"/>
  <c r="CF12" i="2"/>
  <c r="CF13" i="2"/>
  <c r="CD11" i="2"/>
  <c r="CD12" i="2"/>
  <c r="CD13" i="2"/>
  <c r="CB11" i="2"/>
  <c r="CB12" i="2"/>
  <c r="CB13" i="2"/>
  <c r="CA11" i="2"/>
  <c r="CA12" i="2"/>
  <c r="CA13" i="2"/>
  <c r="BZ11" i="2"/>
  <c r="BZ12" i="2"/>
  <c r="BZ13" i="2"/>
  <c r="BY11" i="2"/>
  <c r="BY12" i="2"/>
  <c r="BY13" i="2"/>
  <c r="BX11" i="2"/>
  <c r="BX12" i="2"/>
  <c r="BX13" i="2"/>
  <c r="BW11" i="2"/>
  <c r="BW12" i="2"/>
  <c r="BW13" i="2"/>
  <c r="W13" i="2" l="1"/>
  <c r="W11" i="2"/>
  <c r="W12" i="2"/>
  <c r="B12" i="2" l="1"/>
  <c r="B13" i="2"/>
  <c r="BS13" i="2"/>
  <c r="BR13" i="2"/>
  <c r="BQ13" i="2"/>
  <c r="BP13" i="2"/>
  <c r="BO13" i="2"/>
  <c r="BN13" i="2"/>
  <c r="BM13" i="2"/>
  <c r="BL13" i="2"/>
  <c r="BK13" i="2"/>
  <c r="BJ13" i="2"/>
  <c r="BI13" i="2"/>
  <c r="BH13" i="2"/>
  <c r="BG13" i="2"/>
  <c r="BF13" i="2"/>
  <c r="BE13" i="2"/>
  <c r="BD13" i="2"/>
  <c r="BC13" i="2"/>
  <c r="BB13" i="2"/>
  <c r="AZ13" i="2"/>
  <c r="AY13" i="2"/>
  <c r="AX13" i="2"/>
  <c r="AW13" i="2"/>
  <c r="AV13" i="2"/>
  <c r="AU13" i="2"/>
  <c r="AT13" i="2"/>
  <c r="AS13" i="2"/>
  <c r="AR13" i="2"/>
  <c r="AQ13" i="2"/>
  <c r="AP13" i="2"/>
  <c r="AO13" i="2"/>
  <c r="AM13" i="2"/>
  <c r="AL13" i="2"/>
  <c r="AK13" i="2"/>
  <c r="AJ13" i="2"/>
  <c r="AI13" i="2"/>
  <c r="AH13" i="2"/>
  <c r="AG13" i="2"/>
  <c r="AF13" i="2"/>
  <c r="AE13" i="2"/>
  <c r="AD13" i="2"/>
  <c r="AC13" i="2"/>
  <c r="AB13" i="2"/>
  <c r="AA13" i="2"/>
  <c r="Z13" i="2"/>
  <c r="Y13" i="2"/>
  <c r="X13" i="2"/>
  <c r="V13" i="2"/>
  <c r="U13" i="2"/>
  <c r="T13" i="2"/>
  <c r="S13" i="2"/>
  <c r="R13" i="2"/>
  <c r="Q13" i="2"/>
  <c r="P13" i="2"/>
  <c r="O13" i="2"/>
  <c r="N13" i="2"/>
  <c r="M13" i="2"/>
  <c r="L13" i="2"/>
  <c r="K13" i="2"/>
  <c r="J13" i="2"/>
  <c r="I13" i="2"/>
  <c r="H13" i="2"/>
  <c r="G13" i="2"/>
  <c r="F13" i="2"/>
  <c r="E13" i="2"/>
  <c r="D13" i="2"/>
  <c r="C13" i="2"/>
  <c r="C12" i="2"/>
  <c r="D12" i="2"/>
  <c r="E12" i="2"/>
  <c r="F12" i="2"/>
  <c r="G12" i="2"/>
  <c r="H12" i="2"/>
  <c r="I12" i="2"/>
  <c r="J12" i="2"/>
  <c r="K12" i="2"/>
  <c r="L12" i="2"/>
  <c r="M12" i="2"/>
  <c r="N12" i="2"/>
  <c r="O12" i="2"/>
  <c r="P12" i="2"/>
  <c r="Q12" i="2"/>
  <c r="R12" i="2"/>
  <c r="S12" i="2"/>
  <c r="T12" i="2"/>
  <c r="U12" i="2"/>
  <c r="V12" i="2"/>
  <c r="X12" i="2"/>
  <c r="Y12" i="2"/>
  <c r="Z12" i="2"/>
  <c r="AA12" i="2"/>
  <c r="AB12" i="2"/>
  <c r="AC12" i="2"/>
  <c r="AD12" i="2"/>
  <c r="AE12" i="2"/>
  <c r="AF12" i="2"/>
  <c r="AG12" i="2"/>
  <c r="AH12" i="2"/>
  <c r="AI12" i="2"/>
  <c r="AJ12" i="2"/>
  <c r="AK12" i="2"/>
  <c r="AL12" i="2"/>
  <c r="AM12" i="2"/>
  <c r="AO12" i="2"/>
  <c r="AP12" i="2"/>
  <c r="AQ12" i="2"/>
  <c r="AR12" i="2"/>
  <c r="AS12" i="2"/>
  <c r="AT12" i="2"/>
  <c r="AU12" i="2"/>
  <c r="AV12" i="2"/>
  <c r="AW12" i="2"/>
  <c r="AX12" i="2"/>
  <c r="AY12" i="2"/>
  <c r="AZ12" i="2"/>
  <c r="BA12" i="2"/>
  <c r="BB12" i="2"/>
  <c r="BC12" i="2"/>
  <c r="BD12" i="2"/>
  <c r="BE12" i="2"/>
  <c r="BF12" i="2"/>
  <c r="BG12" i="2"/>
  <c r="BH12" i="2"/>
  <c r="BI12" i="2"/>
  <c r="BJ12" i="2"/>
  <c r="BK12" i="2"/>
  <c r="BL12" i="2"/>
  <c r="BM12" i="2"/>
  <c r="BN12" i="2"/>
  <c r="BO12" i="2"/>
  <c r="BP12" i="2"/>
  <c r="BQ12" i="2"/>
  <c r="BR12" i="2"/>
  <c r="BS12" i="2"/>
  <c r="BN11" i="2"/>
  <c r="BI11" i="2"/>
  <c r="BH11" i="2"/>
  <c r="BG11" i="2"/>
  <c r="AY11" i="2"/>
  <c r="AV11" i="2"/>
  <c r="AU11" i="2"/>
  <c r="AT11" i="2"/>
  <c r="AS11" i="2"/>
  <c r="AR11" i="2"/>
  <c r="AL11" i="2" l="1"/>
  <c r="AK11" i="2"/>
  <c r="AJ11" i="2"/>
  <c r="Y11" i="2"/>
  <c r="U11" i="2"/>
  <c r="S11" i="2"/>
  <c r="P11" i="2"/>
  <c r="O11" i="2"/>
  <c r="J11" i="2"/>
  <c r="I11" i="2"/>
  <c r="G11" i="2"/>
  <c r="BA10" i="2" l="1"/>
  <c r="BA13" i="2" s="1"/>
  <c r="C11" i="2"/>
  <c r="D11" i="2"/>
  <c r="E11" i="2"/>
  <c r="F11" i="2"/>
  <c r="H11" i="2"/>
  <c r="K11" i="2"/>
  <c r="L11" i="2"/>
  <c r="M11" i="2"/>
  <c r="N11" i="2"/>
  <c r="Q11" i="2"/>
  <c r="R11" i="2"/>
  <c r="T11" i="2"/>
  <c r="V11" i="2"/>
  <c r="X11" i="2"/>
  <c r="Z11" i="2"/>
  <c r="AA11" i="2"/>
  <c r="AB11" i="2"/>
  <c r="AC11" i="2"/>
  <c r="AD11" i="2"/>
  <c r="AE11" i="2"/>
  <c r="AF11" i="2"/>
  <c r="AG11" i="2"/>
  <c r="AH11" i="2"/>
  <c r="AI11" i="2"/>
  <c r="AM11" i="2"/>
  <c r="AO11" i="2"/>
  <c r="AP11" i="2"/>
  <c r="AQ11" i="2"/>
  <c r="AW11" i="2"/>
  <c r="AX11" i="2"/>
  <c r="AZ11" i="2"/>
  <c r="BB11" i="2"/>
  <c r="BC11" i="2"/>
  <c r="BD11" i="2"/>
  <c r="BE11" i="2"/>
  <c r="BF11" i="2"/>
  <c r="BJ11" i="2"/>
  <c r="BK11" i="2"/>
  <c r="BL11" i="2"/>
  <c r="BM11" i="2"/>
  <c r="BO11" i="2"/>
  <c r="BP11" i="2"/>
  <c r="BQ11" i="2"/>
  <c r="BR11" i="2"/>
  <c r="BS11" i="2"/>
  <c r="B11" i="2"/>
  <c r="BA11"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direpn" type="6" refreshedVersion="5" background="1" saveData="1">
    <textPr codePage="437" sourceFile="C:\Users\rdelcarlo\Desktop\Electrophysiology\Raw Data by protocol\1 IV\NaV1.4EPN\direpn.txt" delimited="0" tab="0" delimiter="_">
      <textFields count="3">
        <textField/>
        <textField position="39"/>
        <textField position="44"/>
      </textFields>
    </textPr>
  </connection>
  <connection id="2" xr16:uid="{00000000-0015-0000-FFFF-FFFF01000000}" name="dirlvnv" type="6" refreshedVersion="5" background="1" saveData="1">
    <textPr codePage="437" sourceFile="C:\Users\rdelcarlo\Desktop\Electrophysiology\Raw Data by protocol\0 Capac\NaV1.4LVNV\dirlvnv.txt" delimited="0" tab="0" delimiter="_">
      <textFields count="5">
        <textField/>
        <textField position="10"/>
        <textField position="21"/>
        <textField position="32"/>
        <textField position="38"/>
      </textFields>
    </textPr>
  </connection>
</connections>
</file>

<file path=xl/sharedStrings.xml><?xml version="1.0" encoding="utf-8"?>
<sst xmlns="http://schemas.openxmlformats.org/spreadsheetml/2006/main" count="497" uniqueCount="257">
  <si>
    <t>CellID</t>
  </si>
  <si>
    <t>Genotype</t>
  </si>
  <si>
    <t>Average_of_N_traces</t>
  </si>
  <si>
    <t>ΔV (Volts)</t>
  </si>
  <si>
    <t>Filename</t>
  </si>
  <si>
    <t>Collector</t>
  </si>
  <si>
    <t>Author who collected data</t>
  </si>
  <si>
    <t>Filename from which these traces were extracted</t>
  </si>
  <si>
    <t>SCN4A encoding NaV1.4 pore sequence; AA sequence reported here. NaV1.4+ (scored, WT, is TTX-sensitive) for translated SCN4A sequences reading 1276-MDIMYA-1281 in DIII and 1556-ICLFEITTSAGWDG-1569 in DIV. NaV1.4EPN (TTX-resistant, scored EPN) were mutagenized to reflect D1277E and A1281P in DIII and D1568N in DIV. NaV1.4LVNV (TTX-resistant, scored LVNV) were mutagenized to reflect I1556L, I1561V, D1568N, and G1569V.</t>
  </si>
  <si>
    <t>A unique identifier for each cell from which recordings were obtained in the course of this research program. Each tab in this sheet shall bear this identifier to signify from which cell the enclosed current family were recorded. Simply, the CellID is composed of the Genotype (as written above) and the roughly chronological order in which the cell was recorded. There is an additional sheet in this document showing all the recordings which were obtained from each cell, ordered under its CellID.</t>
  </si>
  <si>
    <t>This is the difference between the initial and final voltages from the associated capacitive transient integrated as above. This value may be positive or negative.</t>
  </si>
  <si>
    <t>For a given change in membrane potential, the concomitant and proportional capacitive current in picoAmps (pA) is integrated from the onset of the new membrane potential until roughly 100% of the capacitive current has decayed, always from a point where sodium currents are absent. Integrating current over time (A*s) produces a maximum charge accumulation in Coulombs. This value may be positive or negative.</t>
  </si>
  <si>
    <t>This is the number of traces from which an averaged capacitive transient was produced for integration.</t>
  </si>
  <si>
    <t>WT10_REdC_capac_1.26.2018 WT cell 2 capac.abf</t>
  </si>
  <si>
    <t>WT11_REdC_capac_17723015.abf</t>
  </si>
  <si>
    <t>WT12_REdC_capac_17721033.abf</t>
  </si>
  <si>
    <t>WT13_REdC_capac_17723000.abf</t>
  </si>
  <si>
    <t>WT16_REdC_capac_18705032.abf</t>
  </si>
  <si>
    <t>WT17_REdC_capac_17721058.abf</t>
  </si>
  <si>
    <t>WT1_REdC_capac_1870402.abf</t>
  </si>
  <si>
    <t>WT20_REdC_capac_18115009.abf</t>
  </si>
  <si>
    <t>WT22_REdC_capac_18o18021.abf</t>
  </si>
  <si>
    <t>WT24_REdC_capac_18705001.abf</t>
  </si>
  <si>
    <t>WT26_REdC_capac_17809013.abf</t>
  </si>
  <si>
    <t>WT27_REdC_capac_1.23.2018 capac cell 1 WT.abf</t>
  </si>
  <si>
    <t>WT28_REdC_capac_1.23.2018 capac cell 1 WT.abf</t>
  </si>
  <si>
    <t>WT29_REdC_capac_18o19009.abf</t>
  </si>
  <si>
    <t>WT2_REdC_capac_1.26.2018 WT cell 5 capac'.abf</t>
  </si>
  <si>
    <t>WT30_REdC_capac_1.26.2018 WT cell 1 capac.abf</t>
  </si>
  <si>
    <t>WT31_REdC_capac_18o07000.abf</t>
  </si>
  <si>
    <t>WT32_REdC_capac_18704055.abf</t>
  </si>
  <si>
    <t>WT33_REdC_capac_17728017.abf</t>
  </si>
  <si>
    <t>WT34_REdC_capac_17729003.abf</t>
  </si>
  <si>
    <t>WT36_REdC_capac_17809021.abf</t>
  </si>
  <si>
    <t>WT3_REdC_capac_17728034.abf</t>
  </si>
  <si>
    <t>WT40_REdC_capac_17810002.abf</t>
  </si>
  <si>
    <t>WT43_REdC_capac_1.26.2018 WT cell 4 capac.abf</t>
  </si>
  <si>
    <t>WT44_REdC_capac_1.14.2018 Capac cell 2 NaV1.4 wt.abf</t>
  </si>
  <si>
    <t>WT45_REdC_capac_18o24000.abf</t>
  </si>
  <si>
    <t>WT4_REdC_capac_18705013.abf</t>
  </si>
  <si>
    <t>WT51_REdC_capac_18704059.abf</t>
  </si>
  <si>
    <t>WT52_REdC_capac_18704062.abf</t>
  </si>
  <si>
    <t>WT54_REdC_capac_1.19.2018 Capac cell 1 WT.abf</t>
  </si>
  <si>
    <t>WT55_REdC_capac_17809000.abf</t>
  </si>
  <si>
    <t>WT56_REdC_capac_18704005.abf</t>
  </si>
  <si>
    <t>WT57_REdC_capac_17721012.abf</t>
  </si>
  <si>
    <t>WT58_REdC_capac_18o18009.abf</t>
  </si>
  <si>
    <t>WT59_REdC_capac_17728059.abf</t>
  </si>
  <si>
    <t>WT5_REdC_capac_17728024.abf</t>
  </si>
  <si>
    <t>WT60_REdC_capac_17804007- Capac WT 1.abf</t>
  </si>
  <si>
    <t>WT64_REdC_capac_17721055.abf</t>
  </si>
  <si>
    <t>WT65_REdC_capac_17721019.abf</t>
  </si>
  <si>
    <t>WT66_REdC_capac_18704008.abf</t>
  </si>
  <si>
    <t>WT67_REdC_capac_2.1.2018 WT cell 1 capac.abf</t>
  </si>
  <si>
    <t>WT69_REdC_capac_18o18035.abf</t>
  </si>
  <si>
    <t>WT70_REdC_capac_17730001.abf</t>
  </si>
  <si>
    <t>WT71_REdC_capac_17722001.abf</t>
  </si>
  <si>
    <t>WT72_REdC_capac_1.14.2018 Capac cell 1 NaV1.4 wt.abf</t>
  </si>
  <si>
    <t>WT73_REdC_capac_19n06022.abf</t>
  </si>
  <si>
    <t>WT7_REdC_capac_1.26.2018 WT cell 3 capac.abf</t>
  </si>
  <si>
    <t>WT8_REdC_capac_1.23.2018 capac cell 2 WT.abf</t>
  </si>
  <si>
    <t>REdC</t>
  </si>
  <si>
    <t>WT10</t>
  </si>
  <si>
    <t>WT11</t>
  </si>
  <si>
    <t>WT12</t>
  </si>
  <si>
    <t>WT13</t>
  </si>
  <si>
    <t>WT16</t>
  </si>
  <si>
    <t>WT17</t>
  </si>
  <si>
    <t>WT1</t>
  </si>
  <si>
    <t>WT20</t>
  </si>
  <si>
    <t>WT22</t>
  </si>
  <si>
    <t>WT24</t>
  </si>
  <si>
    <t>WT26</t>
  </si>
  <si>
    <t>WT27</t>
  </si>
  <si>
    <t>WT28</t>
  </si>
  <si>
    <t>WT29</t>
  </si>
  <si>
    <t>WT2</t>
  </si>
  <si>
    <t>WT30</t>
  </si>
  <si>
    <t>WT31</t>
  </si>
  <si>
    <t>WT32</t>
  </si>
  <si>
    <t>WT33</t>
  </si>
  <si>
    <t>WT34</t>
  </si>
  <si>
    <t>WT36</t>
  </si>
  <si>
    <t>WT3</t>
  </si>
  <si>
    <t>WT40</t>
  </si>
  <si>
    <t>WT43</t>
  </si>
  <si>
    <t>WT44</t>
  </si>
  <si>
    <t>WT45</t>
  </si>
  <si>
    <t>WT4</t>
  </si>
  <si>
    <t>WT51</t>
  </si>
  <si>
    <t>WT52</t>
  </si>
  <si>
    <t>WT54</t>
  </si>
  <si>
    <t>WT55</t>
  </si>
  <si>
    <t>WT56</t>
  </si>
  <si>
    <t>WT57</t>
  </si>
  <si>
    <t>WT58</t>
  </si>
  <si>
    <t>WT59</t>
  </si>
  <si>
    <t>WT5</t>
  </si>
  <si>
    <t>WT60</t>
  </si>
  <si>
    <t>WT64</t>
  </si>
  <si>
    <t>WT65</t>
  </si>
  <si>
    <t>WT66</t>
  </si>
  <si>
    <t>WT67</t>
  </si>
  <si>
    <t>WT69</t>
  </si>
  <si>
    <t>WT70</t>
  </si>
  <si>
    <t>WT71</t>
  </si>
  <si>
    <t>WT72</t>
  </si>
  <si>
    <t>WT73</t>
  </si>
  <si>
    <t>WT7</t>
  </si>
  <si>
    <t>WT8</t>
  </si>
  <si>
    <t>Tau_Recovery_SE(ms)</t>
  </si>
  <si>
    <t>Tau_Recovery(ms)</t>
  </si>
  <si>
    <t>This is the standard error of the exponential fit of the capacitive transient.</t>
  </si>
  <si>
    <t>I_0 (pA)</t>
  </si>
  <si>
    <t>This is the instantaneous value of the current transient relative to the current at the prepulse potential. The product of Tau and I_0 estimates total membrane charge (Q) without underestimating capacitance by way of overestimating resistive current flow. (Dieter Platzer and Klaus Zorn-Pauly, Letter to the editor: Accurate cell capacitance determination from a single voltage step: a reminder to avoid unnecessary pitfalls)</t>
  </si>
  <si>
    <t>Capacitance_Tau*I_0 (picoFarads)</t>
  </si>
  <si>
    <t>Capacitance_Int (picoFarads)</t>
  </si>
  <si>
    <t>Q_(tau_R_I_0) (Coulomb)</t>
  </si>
  <si>
    <t>WT</t>
  </si>
  <si>
    <t>WT6</t>
  </si>
  <si>
    <t>WT9</t>
  </si>
  <si>
    <t>WT14</t>
  </si>
  <si>
    <t>WT15</t>
  </si>
  <si>
    <t>WT19</t>
  </si>
  <si>
    <t>WT21</t>
  </si>
  <si>
    <t>WT25</t>
  </si>
  <si>
    <t>WT37</t>
  </si>
  <si>
    <t>WT38</t>
  </si>
  <si>
    <t>WT39</t>
  </si>
  <si>
    <t>WT46</t>
  </si>
  <si>
    <t>WT47</t>
  </si>
  <si>
    <t>WT48</t>
  </si>
  <si>
    <t>WT49</t>
  </si>
  <si>
    <t>WT50</t>
  </si>
  <si>
    <t>WT53</t>
  </si>
  <si>
    <t>WT61</t>
  </si>
  <si>
    <t>WT62</t>
  </si>
  <si>
    <t>WT63</t>
  </si>
  <si>
    <t>WT68</t>
  </si>
  <si>
    <t>WT6_REdC_IV_wt iv</t>
  </si>
  <si>
    <t>WT9_REdC_IV_17504013</t>
  </si>
  <si>
    <t>WT14_REdC_IV_19n15012</t>
  </si>
  <si>
    <t>WT19_REdC_IV_19n23000</t>
  </si>
  <si>
    <t>WT21_REdC_IV_19o30001</t>
  </si>
  <si>
    <t>WT25_REdC_NSNA_18704049</t>
  </si>
  <si>
    <t>WT36_REdC_fSSI_17809024</t>
  </si>
  <si>
    <t>WT38_REdC_IV_19o21000</t>
  </si>
  <si>
    <t>WT46_REdC_IV_18o18003</t>
  </si>
  <si>
    <t>WT47_REdC_fSSI_19911001</t>
  </si>
  <si>
    <t>WT48_REdC_IV_19n06031</t>
  </si>
  <si>
    <t>WT49_REdC_IV_19830000</t>
  </si>
  <si>
    <t>WT50_REdC_IV_19n06011</t>
  </si>
  <si>
    <t>WT53_REdC_IV_17504002</t>
  </si>
  <si>
    <t>WT61_REdC_IV_19o28000</t>
  </si>
  <si>
    <t>WT62_REdC_IV_17721000</t>
  </si>
  <si>
    <t>WT63_REdC_IV_19n07000</t>
  </si>
  <si>
    <t>WT68_REdC_IV_17504016</t>
  </si>
  <si>
    <t>Q (Coulomb)</t>
  </si>
  <si>
    <t>WT15_REdC_IV_19825000</t>
  </si>
  <si>
    <t>WT39_REdC_IV_17429000</t>
  </si>
  <si>
    <t>This is the product of the time constant of the decay phase of the transient and the instantaneous current of the transient relative to the current during the prepulse potential. In most, if not all cases, the instantaneous current and the difference between the prepulse current and the steady state current after the pulse onset is zero and therefore we can assume voltage erros (DeltaVm = DeltaE(1-DeltaI/I_0)) collapses to DeltaE, making the predicted voltage change an acceptable estimate of DeltaVm. This was calculated by the formula ABS((((I_0)*(0.000000000001)*(Tau_Recovery(ms))*(0.001))/((ΔV (Volts))*(0.001)))*(1000000000000))</t>
  </si>
  <si>
    <t>This is the proportion of charge accumulated per degree change in potential and thereby a rough proxy for cell membrane surface area. This value will always be positive. Capacitance of the cell collected either from capac.pro or from a part within the (filename) of a protocol where a consistent change in potential not resultuing in or following the opening of sodium channels is present. This was caculated by the formula ABS(((Q (Coulomb)*(0.001)*(0.000000000001))/(ΔV (Volts)*(0.001)))*(1000000000000))</t>
  </si>
  <si>
    <t>WT23_REdC_1.19.2018 IV cell 2 WT leak</t>
  </si>
  <si>
    <t>WT23</t>
  </si>
  <si>
    <t>EPN11_REdC_capac_17725019.abf</t>
  </si>
  <si>
    <t>EPN14_REdC_capac_17725070.abf</t>
  </si>
  <si>
    <t>EPN15_REdC_capac_17725054.abf</t>
  </si>
  <si>
    <t>EPN1_REdC_capac_17725090.abf</t>
  </si>
  <si>
    <t>EPN2_REdC_capac_17725000.abf</t>
  </si>
  <si>
    <t>EPN3_REdC_capac_18115039.abf</t>
  </si>
  <si>
    <t>EPN5_REdC_capac_17725039.abf</t>
  </si>
  <si>
    <t>EPN9_REdC_capac_17725065.abf</t>
  </si>
  <si>
    <t>EPN12_REdC_capac_1.19.2018_capac_cell_1_EPN'.abf</t>
  </si>
  <si>
    <t>EPN12_REdC_capac_1.19.2018_Capac_cell_1_EPN.abf</t>
  </si>
  <si>
    <t>EPN4_REdC_capac_capac_cell_2_NaV1.4_EPN.abf</t>
  </si>
  <si>
    <t>EPN6_REdC_capac_1.14.2018_Capac_cell_1_NaV1.4</t>
  </si>
  <si>
    <t>EPN1</t>
  </si>
  <si>
    <t>EPN2</t>
  </si>
  <si>
    <t>EPN3</t>
  </si>
  <si>
    <t>EPN4</t>
  </si>
  <si>
    <t>EPN5</t>
  </si>
  <si>
    <t>EPN6</t>
  </si>
  <si>
    <t>EPN9</t>
  </si>
  <si>
    <t>EPN11</t>
  </si>
  <si>
    <t>EPN12</t>
  </si>
  <si>
    <t>EPN14</t>
  </si>
  <si>
    <t>EPN15</t>
  </si>
  <si>
    <t>EPN</t>
  </si>
  <si>
    <t>LVNV10_REdC_capac_17726048.abf</t>
  </si>
  <si>
    <t>LVNV10_REdC_capac_17726049.abf</t>
  </si>
  <si>
    <t>LVNV11_REdC_capac_17724066.abf</t>
  </si>
  <si>
    <t>LVNV14_REdC_capac_17726071.abf</t>
  </si>
  <si>
    <t>LVNV15_REdC_capac_17724014.abf</t>
  </si>
  <si>
    <t>LVNV16_REdC_capac_17726034.abf</t>
  </si>
  <si>
    <t>LVNV17_REdC_capac_19912005.abf</t>
  </si>
  <si>
    <t>LVNV18_REdC_capac_19911043.abf</t>
  </si>
  <si>
    <t>LVNV1_REdC_capac_17724084.abf</t>
  </si>
  <si>
    <t>LVNV20_REdC_capac_17726009.abf</t>
  </si>
  <si>
    <t>LVNV2_REdC_capac_17724045.abf</t>
  </si>
  <si>
    <t>LVNV3_REdC_capac_17726021.abf</t>
  </si>
  <si>
    <t>LVNV5_REdC_capac_17724071.abf</t>
  </si>
  <si>
    <t>LVNV6_REdC_capac_19915016.abf</t>
  </si>
  <si>
    <t>LVNV7_REdC_capac_19d06012.abf</t>
  </si>
  <si>
    <t>LVNV8_REdC_capac_17724000.abf</t>
  </si>
  <si>
    <t>LVNV9_REdC_capac_17724031.abf</t>
  </si>
  <si>
    <t>LVNV1</t>
  </si>
  <si>
    <t>LVNV2</t>
  </si>
  <si>
    <t>LVNV3</t>
  </si>
  <si>
    <t>LVNV5</t>
  </si>
  <si>
    <t>LVNV6</t>
  </si>
  <si>
    <t>LVNV7</t>
  </si>
  <si>
    <t>LVNV8</t>
  </si>
  <si>
    <t>LVNV9</t>
  </si>
  <si>
    <t>LVNV10</t>
  </si>
  <si>
    <t>LVNV11</t>
  </si>
  <si>
    <t>LVNV14</t>
  </si>
  <si>
    <t>LVNV15</t>
  </si>
  <si>
    <t>LVNV16</t>
  </si>
  <si>
    <t>LVNV17</t>
  </si>
  <si>
    <t>LVNV18</t>
  </si>
  <si>
    <t>LVNV20</t>
  </si>
  <si>
    <t>LVNV</t>
  </si>
  <si>
    <t>EPN10</t>
  </si>
  <si>
    <t>EPN13</t>
  </si>
  <si>
    <t>EPN16</t>
  </si>
  <si>
    <t>EPN7</t>
  </si>
  <si>
    <t>EPN17</t>
  </si>
  <si>
    <t>EPN17_REdC_RFI_-100_Vtest-10_2016_09_21_0004.abf</t>
  </si>
  <si>
    <t>EPN10_REdC_IV_2016_09_30_0026.abf</t>
  </si>
  <si>
    <t>EPN16_REdC_IV_2016_09_30_0000.abf</t>
  </si>
  <si>
    <t>EPN7_REdC_IV_17718000.abf</t>
  </si>
  <si>
    <t>LVNV4_REdC_IV_17429000.abf</t>
  </si>
  <si>
    <t>LVNV4</t>
  </si>
  <si>
    <t>LVNV12_REdC_IV_19912002.abf</t>
  </si>
  <si>
    <t>LVNV12</t>
  </si>
  <si>
    <t>LVNV13</t>
  </si>
  <si>
    <t>LVNV13_REdC_IV_19916002.abf</t>
  </si>
  <si>
    <t>LVNV19_REdC_IV_17714003.abf</t>
  </si>
  <si>
    <t>LVNV19</t>
  </si>
  <si>
    <t>WT74</t>
  </si>
  <si>
    <t>WT75</t>
  </si>
  <si>
    <t>WT74_REdC_capac_0000.abf</t>
  </si>
  <si>
    <t>WT75_REdC_capac_0000</t>
  </si>
  <si>
    <t>This is the time required from the peak of the capacitive transient current to decay by 63% of its peak value - an alternative measure of capacitance. This value was taken from the second capacitive transient whereas the integral was taken from the first in the capac.pro. These were calculated using the clampfit Exponential (standard) equation,  f(t) = Series Sum from i=1 to n =1 * A_i e^(-t/tau_i) + C.</t>
  </si>
  <si>
    <t>WT76</t>
  </si>
  <si>
    <t>WT76_REdC_capac_0000.abf</t>
  </si>
  <si>
    <t>EPN18</t>
  </si>
  <si>
    <t>EPN19</t>
  </si>
  <si>
    <t>EPN20</t>
  </si>
  <si>
    <t>EPN18_REdC_capac_0000.abf</t>
  </si>
  <si>
    <t>EPN19_REdC_capac_0000.abf</t>
  </si>
  <si>
    <t>EPN20_REdC_capac_0000.abf</t>
  </si>
  <si>
    <t>EPN13_REdC_IVcIPP_2016_09_30_0007.abf</t>
  </si>
  <si>
    <t>WT41_REdC_RFI_-60_18o24005.abf</t>
  </si>
  <si>
    <t>WT41</t>
  </si>
  <si>
    <t>LVNV21</t>
  </si>
  <si>
    <t>LVNV21_REdC_IV_17615007.abf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</si>
</sst>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xf numFmtId="14" fontId="0" fillId="0" borderId="0" xfId="0" applyNumberFormat="1"/>
    <xf numFmtId="20" fontId="0" fillId="0" borderId="0" xfId="0" applyNumberFormat="1"/>
    <xf numFmtId="3" fontId="0" fillId="0" borderId="0" xfId="0" applyNumberFormat="1"/>
    <xf numFmtId="18" fontId="0" fillId="0" borderId="0" xfId="0" applyNumberFormat="1"/>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irepn" connectionId="1" xr16:uid="{00000000-0016-0000-0100-000001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irlvnv" connectionId="2" xr16:uid="{00000000-0016-0000-0100-000000000000}"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workbookViewId="0"/>
  </sheetViews>
  <sheetFormatPr baseColWidth="10" defaultColWidth="8.83203125" defaultRowHeight="15" x14ac:dyDescent="0.2"/>
  <cols>
    <col min="1" max="1" width="21.6640625" bestFit="1" customWidth="1"/>
    <col min="2" max="2" width="255.83203125" bestFit="1" customWidth="1"/>
    <col min="3" max="3" width="12.33203125" bestFit="1" customWidth="1"/>
    <col min="4" max="4" width="10.5" customWidth="1"/>
    <col min="5" max="5" width="18.83203125" bestFit="1" customWidth="1"/>
    <col min="6" max="6" width="21.6640625" bestFit="1" customWidth="1"/>
    <col min="7" max="7" width="16" customWidth="1"/>
  </cols>
  <sheetData>
    <row r="1" spans="1:2" x14ac:dyDescent="0.2">
      <c r="A1" s="1" t="s">
        <v>4</v>
      </c>
      <c r="B1" t="s">
        <v>7</v>
      </c>
    </row>
    <row r="2" spans="1:2" x14ac:dyDescent="0.2">
      <c r="A2" s="1" t="s">
        <v>5</v>
      </c>
      <c r="B2" t="s">
        <v>6</v>
      </c>
    </row>
    <row r="3" spans="1:2" x14ac:dyDescent="0.2">
      <c r="A3" t="s">
        <v>0</v>
      </c>
      <c r="B3" t="s">
        <v>9</v>
      </c>
    </row>
    <row r="4" spans="1:2" x14ac:dyDescent="0.2">
      <c r="A4" t="s">
        <v>1</v>
      </c>
      <c r="B4" t="s">
        <v>8</v>
      </c>
    </row>
    <row r="5" spans="1:2" x14ac:dyDescent="0.2">
      <c r="A5" s="1" t="s">
        <v>157</v>
      </c>
      <c r="B5" t="s">
        <v>11</v>
      </c>
    </row>
    <row r="6" spans="1:2" x14ac:dyDescent="0.2">
      <c r="A6" s="1" t="s">
        <v>3</v>
      </c>
      <c r="B6" t="s">
        <v>10</v>
      </c>
    </row>
    <row r="7" spans="1:2" x14ac:dyDescent="0.2">
      <c r="A7" s="1" t="s">
        <v>2</v>
      </c>
      <c r="B7" t="s">
        <v>12</v>
      </c>
    </row>
    <row r="8" spans="1:2" x14ac:dyDescent="0.2">
      <c r="A8" s="1" t="s">
        <v>111</v>
      </c>
      <c r="B8" t="s">
        <v>243</v>
      </c>
    </row>
    <row r="9" spans="1:2" x14ac:dyDescent="0.2">
      <c r="A9" s="1" t="s">
        <v>110</v>
      </c>
      <c r="B9" t="s">
        <v>112</v>
      </c>
    </row>
    <row r="10" spans="1:2" x14ac:dyDescent="0.2">
      <c r="A10" s="1" t="s">
        <v>113</v>
      </c>
      <c r="B10" s="2" t="s">
        <v>114</v>
      </c>
    </row>
    <row r="11" spans="1:2" x14ac:dyDescent="0.2">
      <c r="A11" s="1" t="s">
        <v>116</v>
      </c>
      <c r="B11" t="s">
        <v>161</v>
      </c>
    </row>
    <row r="12" spans="1:2" x14ac:dyDescent="0.2">
      <c r="A12" s="1" t="s">
        <v>115</v>
      </c>
      <c r="B12" s="1" t="s">
        <v>160</v>
      </c>
    </row>
    <row r="13" spans="1:2" x14ac:dyDescent="0.2">
      <c r="B13"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Q34"/>
  <sheetViews>
    <sheetView tabSelected="1" workbookViewId="0">
      <pane xSplit="1" topLeftCell="B1" activePane="topRight" state="frozen"/>
      <selection pane="topRight"/>
    </sheetView>
  </sheetViews>
  <sheetFormatPr baseColWidth="10" defaultColWidth="8.83203125" defaultRowHeight="15" x14ac:dyDescent="0.2"/>
  <cols>
    <col min="1" max="1" width="29.33203125" bestFit="1" customWidth="1"/>
    <col min="2" max="2" width="12" bestFit="1" customWidth="1"/>
    <col min="3" max="3" width="12.33203125" bestFit="1" customWidth="1"/>
    <col min="4" max="4" width="10.33203125" customWidth="1"/>
    <col min="5" max="5" width="9.5" customWidth="1"/>
    <col min="7" max="7" width="12" bestFit="1" customWidth="1"/>
    <col min="9" max="9" width="10" bestFit="1" customWidth="1"/>
    <col min="37" max="37" width="12.6640625" bestFit="1" customWidth="1"/>
    <col min="38" max="40" width="12.6640625" customWidth="1"/>
    <col min="74" max="85" width="8.6640625" customWidth="1"/>
    <col min="86" max="108" width="11" customWidth="1"/>
    <col min="115" max="115" width="12.33203125" customWidth="1"/>
    <col min="116" max="116" width="11.5" customWidth="1"/>
    <col min="117" max="117" width="22" bestFit="1" customWidth="1"/>
  </cols>
  <sheetData>
    <row r="1" spans="1:121" x14ac:dyDescent="0.2">
      <c r="A1" s="1" t="s">
        <v>4</v>
      </c>
      <c r="B1" t="s">
        <v>19</v>
      </c>
      <c r="C1" t="s">
        <v>27</v>
      </c>
      <c r="D1" t="s">
        <v>34</v>
      </c>
      <c r="E1" t="s">
        <v>39</v>
      </c>
      <c r="F1" t="s">
        <v>48</v>
      </c>
      <c r="G1" t="s">
        <v>139</v>
      </c>
      <c r="H1" t="s">
        <v>59</v>
      </c>
      <c r="I1" t="s">
        <v>60</v>
      </c>
      <c r="J1" t="s">
        <v>140</v>
      </c>
      <c r="K1" t="s">
        <v>13</v>
      </c>
      <c r="L1" t="s">
        <v>14</v>
      </c>
      <c r="M1" t="s">
        <v>15</v>
      </c>
      <c r="N1" t="s">
        <v>16</v>
      </c>
      <c r="O1" t="s">
        <v>141</v>
      </c>
      <c r="P1" t="s">
        <v>158</v>
      </c>
      <c r="Q1" t="s">
        <v>17</v>
      </c>
      <c r="R1" t="s">
        <v>18</v>
      </c>
      <c r="S1" t="s">
        <v>142</v>
      </c>
      <c r="T1" t="s">
        <v>20</v>
      </c>
      <c r="U1" t="s">
        <v>143</v>
      </c>
      <c r="V1" t="s">
        <v>21</v>
      </c>
      <c r="W1" t="s">
        <v>162</v>
      </c>
      <c r="X1" t="s">
        <v>22</v>
      </c>
      <c r="Y1" t="s">
        <v>144</v>
      </c>
      <c r="Z1" t="s">
        <v>23</v>
      </c>
      <c r="AA1" t="s">
        <v>24</v>
      </c>
      <c r="AB1" t="s">
        <v>25</v>
      </c>
      <c r="AC1" t="s">
        <v>26</v>
      </c>
      <c r="AD1" t="s">
        <v>28</v>
      </c>
      <c r="AE1" t="s">
        <v>29</v>
      </c>
      <c r="AF1" t="s">
        <v>30</v>
      </c>
      <c r="AG1" t="s">
        <v>31</v>
      </c>
      <c r="AH1" t="s">
        <v>32</v>
      </c>
      <c r="AI1" t="s">
        <v>33</v>
      </c>
      <c r="AJ1" t="s">
        <v>145</v>
      </c>
      <c r="AK1" t="s">
        <v>146</v>
      </c>
      <c r="AL1" t="s">
        <v>159</v>
      </c>
      <c r="AM1" t="s">
        <v>35</v>
      </c>
      <c r="AN1" t="s">
        <v>253</v>
      </c>
      <c r="AO1" t="s">
        <v>36</v>
      </c>
      <c r="AP1" t="s">
        <v>37</v>
      </c>
      <c r="AQ1" t="s">
        <v>38</v>
      </c>
      <c r="AR1" t="s">
        <v>147</v>
      </c>
      <c r="AS1" t="s">
        <v>148</v>
      </c>
      <c r="AT1" t="s">
        <v>149</v>
      </c>
      <c r="AU1" t="s">
        <v>150</v>
      </c>
      <c r="AV1" t="s">
        <v>151</v>
      </c>
      <c r="AW1" t="s">
        <v>40</v>
      </c>
      <c r="AX1" t="s">
        <v>41</v>
      </c>
      <c r="AY1" t="s">
        <v>152</v>
      </c>
      <c r="AZ1" t="s">
        <v>42</v>
      </c>
      <c r="BA1" t="s">
        <v>43</v>
      </c>
      <c r="BB1" t="s">
        <v>44</v>
      </c>
      <c r="BC1" t="s">
        <v>45</v>
      </c>
      <c r="BD1" t="s">
        <v>46</v>
      </c>
      <c r="BE1" t="s">
        <v>47</v>
      </c>
      <c r="BF1" t="s">
        <v>49</v>
      </c>
      <c r="BG1" t="s">
        <v>153</v>
      </c>
      <c r="BH1" t="s">
        <v>154</v>
      </c>
      <c r="BI1" t="s">
        <v>155</v>
      </c>
      <c r="BJ1" t="s">
        <v>50</v>
      </c>
      <c r="BK1" t="s">
        <v>51</v>
      </c>
      <c r="BL1" t="s">
        <v>52</v>
      </c>
      <c r="BM1" t="s">
        <v>53</v>
      </c>
      <c r="BN1" t="s">
        <v>156</v>
      </c>
      <c r="BO1" t="s">
        <v>54</v>
      </c>
      <c r="BP1" t="s">
        <v>55</v>
      </c>
      <c r="BQ1" t="s">
        <v>56</v>
      </c>
      <c r="BR1" t="s">
        <v>57</v>
      </c>
      <c r="BS1" t="s">
        <v>58</v>
      </c>
      <c r="BT1" t="s">
        <v>241</v>
      </c>
      <c r="BU1" t="s">
        <v>242</v>
      </c>
      <c r="BV1" t="s">
        <v>245</v>
      </c>
      <c r="BW1" t="s">
        <v>167</v>
      </c>
      <c r="BX1" t="s">
        <v>168</v>
      </c>
      <c r="BY1" t="s">
        <v>169</v>
      </c>
      <c r="BZ1" t="s">
        <v>174</v>
      </c>
      <c r="CA1" t="s">
        <v>170</v>
      </c>
      <c r="CB1" t="s">
        <v>175</v>
      </c>
      <c r="CC1" t="s">
        <v>230</v>
      </c>
      <c r="CD1" t="s">
        <v>171</v>
      </c>
      <c r="CE1" t="s">
        <v>228</v>
      </c>
      <c r="CF1" t="s">
        <v>164</v>
      </c>
      <c r="CG1" t="s">
        <v>172</v>
      </c>
      <c r="CH1" t="s">
        <v>173</v>
      </c>
      <c r="CI1" t="s">
        <v>252</v>
      </c>
      <c r="CJ1" t="s">
        <v>165</v>
      </c>
      <c r="CK1" t="s">
        <v>166</v>
      </c>
      <c r="CL1" t="s">
        <v>229</v>
      </c>
      <c r="CM1" t="s">
        <v>227</v>
      </c>
      <c r="CN1" t="s">
        <v>249</v>
      </c>
      <c r="CO1" t="s">
        <v>250</v>
      </c>
      <c r="CP1" t="s">
        <v>251</v>
      </c>
      <c r="CQ1" t="s">
        <v>196</v>
      </c>
      <c r="CR1" t="s">
        <v>198</v>
      </c>
      <c r="CS1" t="s">
        <v>199</v>
      </c>
      <c r="CT1" t="s">
        <v>231</v>
      </c>
      <c r="CU1" t="s">
        <v>200</v>
      </c>
      <c r="CV1" t="s">
        <v>201</v>
      </c>
      <c r="CW1" t="s">
        <v>202</v>
      </c>
      <c r="CX1" t="s">
        <v>203</v>
      </c>
      <c r="CY1" t="s">
        <v>204</v>
      </c>
      <c r="CZ1" t="s">
        <v>188</v>
      </c>
      <c r="DA1" t="s">
        <v>189</v>
      </c>
      <c r="DB1" t="s">
        <v>190</v>
      </c>
      <c r="DC1" t="s">
        <v>233</v>
      </c>
      <c r="DD1" t="s">
        <v>236</v>
      </c>
      <c r="DE1" t="s">
        <v>191</v>
      </c>
      <c r="DF1" t="s">
        <v>192</v>
      </c>
      <c r="DG1" t="s">
        <v>193</v>
      </c>
      <c r="DH1" t="s">
        <v>194</v>
      </c>
      <c r="DI1" t="s">
        <v>195</v>
      </c>
      <c r="DJ1" t="s">
        <v>237</v>
      </c>
      <c r="DK1" t="s">
        <v>197</v>
      </c>
      <c r="DL1" t="s">
        <v>256</v>
      </c>
    </row>
    <row r="2" spans="1:121" x14ac:dyDescent="0.2">
      <c r="A2" s="1" t="s">
        <v>5</v>
      </c>
      <c r="B2" t="s">
        <v>61</v>
      </c>
      <c r="C2" t="s">
        <v>61</v>
      </c>
      <c r="D2" t="s">
        <v>61</v>
      </c>
      <c r="E2" t="s">
        <v>61</v>
      </c>
      <c r="F2" t="s">
        <v>61</v>
      </c>
      <c r="G2" t="s">
        <v>61</v>
      </c>
      <c r="H2" t="s">
        <v>61</v>
      </c>
      <c r="I2" t="s">
        <v>61</v>
      </c>
      <c r="J2" t="s">
        <v>61</v>
      </c>
      <c r="K2" t="s">
        <v>61</v>
      </c>
      <c r="L2" t="s">
        <v>61</v>
      </c>
      <c r="M2" t="s">
        <v>61</v>
      </c>
      <c r="N2" t="s">
        <v>61</v>
      </c>
      <c r="O2" t="s">
        <v>61</v>
      </c>
      <c r="P2" t="s">
        <v>61</v>
      </c>
      <c r="Q2" t="s">
        <v>61</v>
      </c>
      <c r="R2" t="s">
        <v>61</v>
      </c>
      <c r="S2" t="s">
        <v>61</v>
      </c>
      <c r="T2" t="s">
        <v>61</v>
      </c>
      <c r="U2" t="s">
        <v>61</v>
      </c>
      <c r="V2" t="s">
        <v>61</v>
      </c>
      <c r="W2" t="s">
        <v>61</v>
      </c>
      <c r="X2" t="s">
        <v>61</v>
      </c>
      <c r="Y2" t="s">
        <v>61</v>
      </c>
      <c r="Z2" t="s">
        <v>61</v>
      </c>
      <c r="AA2" t="s">
        <v>61</v>
      </c>
      <c r="AB2" t="s">
        <v>61</v>
      </c>
      <c r="AC2" t="s">
        <v>61</v>
      </c>
      <c r="AD2" t="s">
        <v>61</v>
      </c>
      <c r="AE2" t="s">
        <v>61</v>
      </c>
      <c r="AF2" t="s">
        <v>61</v>
      </c>
      <c r="AG2" t="s">
        <v>61</v>
      </c>
      <c r="AH2" t="s">
        <v>61</v>
      </c>
      <c r="AI2" t="s">
        <v>61</v>
      </c>
      <c r="AJ2" t="s">
        <v>61</v>
      </c>
      <c r="AK2" t="s">
        <v>61</v>
      </c>
      <c r="AL2" t="s">
        <v>61</v>
      </c>
      <c r="AM2" t="s">
        <v>61</v>
      </c>
      <c r="AN2" t="s">
        <v>61</v>
      </c>
      <c r="AO2" t="s">
        <v>61</v>
      </c>
      <c r="AP2" t="s">
        <v>61</v>
      </c>
      <c r="AQ2" t="s">
        <v>61</v>
      </c>
      <c r="AR2" t="s">
        <v>61</v>
      </c>
      <c r="AS2" t="s">
        <v>61</v>
      </c>
      <c r="AT2" t="s">
        <v>61</v>
      </c>
      <c r="AU2" t="s">
        <v>61</v>
      </c>
      <c r="AV2" t="s">
        <v>61</v>
      </c>
      <c r="AW2" t="s">
        <v>61</v>
      </c>
      <c r="AX2" t="s">
        <v>61</v>
      </c>
      <c r="AY2" t="s">
        <v>61</v>
      </c>
      <c r="AZ2" t="s">
        <v>61</v>
      </c>
      <c r="BA2" t="s">
        <v>61</v>
      </c>
      <c r="BB2" t="s">
        <v>61</v>
      </c>
      <c r="BC2" t="s">
        <v>61</v>
      </c>
      <c r="BD2" t="s">
        <v>61</v>
      </c>
      <c r="BE2" t="s">
        <v>61</v>
      </c>
      <c r="BF2" t="s">
        <v>61</v>
      </c>
      <c r="BG2" t="s">
        <v>61</v>
      </c>
      <c r="BH2" t="s">
        <v>61</v>
      </c>
      <c r="BI2" t="s">
        <v>61</v>
      </c>
      <c r="BJ2" t="s">
        <v>61</v>
      </c>
      <c r="BK2" t="s">
        <v>61</v>
      </c>
      <c r="BL2" t="s">
        <v>61</v>
      </c>
      <c r="BM2" t="s">
        <v>61</v>
      </c>
      <c r="BN2" t="s">
        <v>61</v>
      </c>
      <c r="BO2" t="s">
        <v>61</v>
      </c>
      <c r="BP2" t="s">
        <v>61</v>
      </c>
      <c r="BQ2" t="s">
        <v>61</v>
      </c>
      <c r="BR2" t="s">
        <v>61</v>
      </c>
      <c r="BS2" t="s">
        <v>61</v>
      </c>
      <c r="BT2" t="s">
        <v>61</v>
      </c>
      <c r="BU2" t="s">
        <v>61</v>
      </c>
      <c r="BV2" t="s">
        <v>61</v>
      </c>
      <c r="BW2" t="s">
        <v>61</v>
      </c>
      <c r="BX2" t="s">
        <v>61</v>
      </c>
      <c r="BY2" t="s">
        <v>61</v>
      </c>
      <c r="BZ2" t="s">
        <v>61</v>
      </c>
      <c r="CA2" t="s">
        <v>61</v>
      </c>
      <c r="CB2" t="s">
        <v>61</v>
      </c>
      <c r="CC2" t="s">
        <v>61</v>
      </c>
      <c r="CD2" t="s">
        <v>61</v>
      </c>
      <c r="CE2" t="s">
        <v>61</v>
      </c>
      <c r="CF2" t="s">
        <v>61</v>
      </c>
      <c r="CG2" t="s">
        <v>61</v>
      </c>
      <c r="CH2" t="s">
        <v>61</v>
      </c>
      <c r="CI2" t="s">
        <v>61</v>
      </c>
      <c r="CJ2" t="s">
        <v>61</v>
      </c>
      <c r="CK2" t="s">
        <v>61</v>
      </c>
      <c r="CL2" t="s">
        <v>61</v>
      </c>
      <c r="CM2" t="s">
        <v>61</v>
      </c>
      <c r="CN2" t="s">
        <v>61</v>
      </c>
      <c r="CO2" t="s">
        <v>61</v>
      </c>
      <c r="CP2" t="s">
        <v>61</v>
      </c>
      <c r="CQ2" t="s">
        <v>61</v>
      </c>
      <c r="CR2" t="s">
        <v>61</v>
      </c>
      <c r="CS2" t="s">
        <v>61</v>
      </c>
      <c r="CT2" t="s">
        <v>61</v>
      </c>
      <c r="CU2" t="s">
        <v>61</v>
      </c>
      <c r="CV2" t="s">
        <v>61</v>
      </c>
      <c r="CW2" t="s">
        <v>61</v>
      </c>
      <c r="CX2" t="s">
        <v>61</v>
      </c>
      <c r="CY2" t="s">
        <v>61</v>
      </c>
      <c r="CZ2" t="s">
        <v>61</v>
      </c>
      <c r="DA2" t="s">
        <v>61</v>
      </c>
      <c r="DB2" t="s">
        <v>61</v>
      </c>
      <c r="DC2" t="s">
        <v>61</v>
      </c>
      <c r="DD2" t="s">
        <v>61</v>
      </c>
      <c r="DE2" t="s">
        <v>61</v>
      </c>
      <c r="DF2" t="s">
        <v>61</v>
      </c>
      <c r="DG2" t="s">
        <v>61</v>
      </c>
      <c r="DH2" t="s">
        <v>61</v>
      </c>
      <c r="DI2" t="s">
        <v>61</v>
      </c>
      <c r="DJ2" t="s">
        <v>61</v>
      </c>
      <c r="DK2" t="s">
        <v>61</v>
      </c>
      <c r="DL2" t="s">
        <v>61</v>
      </c>
    </row>
    <row r="3" spans="1:121" x14ac:dyDescent="0.2">
      <c r="A3" t="s">
        <v>0</v>
      </c>
      <c r="B3" t="s">
        <v>68</v>
      </c>
      <c r="C3" t="s">
        <v>76</v>
      </c>
      <c r="D3" t="s">
        <v>83</v>
      </c>
      <c r="E3" t="s">
        <v>88</v>
      </c>
      <c r="F3" t="s">
        <v>97</v>
      </c>
      <c r="G3" t="s">
        <v>119</v>
      </c>
      <c r="H3" t="s">
        <v>108</v>
      </c>
      <c r="I3" t="s">
        <v>109</v>
      </c>
      <c r="J3" t="s">
        <v>120</v>
      </c>
      <c r="K3" t="s">
        <v>62</v>
      </c>
      <c r="L3" t="s">
        <v>63</v>
      </c>
      <c r="M3" t="s">
        <v>64</v>
      </c>
      <c r="N3" t="s">
        <v>65</v>
      </c>
      <c r="O3" t="s">
        <v>121</v>
      </c>
      <c r="P3" t="s">
        <v>122</v>
      </c>
      <c r="Q3" t="s">
        <v>66</v>
      </c>
      <c r="R3" t="s">
        <v>67</v>
      </c>
      <c r="S3" t="s">
        <v>123</v>
      </c>
      <c r="T3" t="s">
        <v>69</v>
      </c>
      <c r="U3" t="s">
        <v>124</v>
      </c>
      <c r="V3" t="s">
        <v>70</v>
      </c>
      <c r="W3" t="s">
        <v>163</v>
      </c>
      <c r="X3" t="s">
        <v>71</v>
      </c>
      <c r="Y3" t="s">
        <v>125</v>
      </c>
      <c r="Z3" t="s">
        <v>72</v>
      </c>
      <c r="AA3" t="s">
        <v>73</v>
      </c>
      <c r="AB3" t="s">
        <v>74</v>
      </c>
      <c r="AC3" t="s">
        <v>75</v>
      </c>
      <c r="AD3" t="s">
        <v>77</v>
      </c>
      <c r="AE3" t="s">
        <v>78</v>
      </c>
      <c r="AF3" t="s">
        <v>79</v>
      </c>
      <c r="AG3" t="s">
        <v>80</v>
      </c>
      <c r="AH3" t="s">
        <v>81</v>
      </c>
      <c r="AI3" t="s">
        <v>82</v>
      </c>
      <c r="AJ3" t="s">
        <v>126</v>
      </c>
      <c r="AK3" t="s">
        <v>127</v>
      </c>
      <c r="AL3" t="s">
        <v>128</v>
      </c>
      <c r="AM3" t="s">
        <v>84</v>
      </c>
      <c r="AN3" t="s">
        <v>254</v>
      </c>
      <c r="AO3" t="s">
        <v>85</v>
      </c>
      <c r="AP3" t="s">
        <v>86</v>
      </c>
      <c r="AQ3" t="s">
        <v>87</v>
      </c>
      <c r="AR3" t="s">
        <v>129</v>
      </c>
      <c r="AS3" t="s">
        <v>130</v>
      </c>
      <c r="AT3" t="s">
        <v>131</v>
      </c>
      <c r="AU3" t="s">
        <v>132</v>
      </c>
      <c r="AV3" t="s">
        <v>133</v>
      </c>
      <c r="AW3" t="s">
        <v>89</v>
      </c>
      <c r="AX3" t="s">
        <v>90</v>
      </c>
      <c r="AY3" t="s">
        <v>134</v>
      </c>
      <c r="AZ3" t="s">
        <v>91</v>
      </c>
      <c r="BA3" t="s">
        <v>92</v>
      </c>
      <c r="BB3" t="s">
        <v>93</v>
      </c>
      <c r="BC3" t="s">
        <v>94</v>
      </c>
      <c r="BD3" t="s">
        <v>95</v>
      </c>
      <c r="BE3" t="s">
        <v>96</v>
      </c>
      <c r="BF3" t="s">
        <v>98</v>
      </c>
      <c r="BG3" t="s">
        <v>135</v>
      </c>
      <c r="BH3" t="s">
        <v>136</v>
      </c>
      <c r="BI3" t="s">
        <v>137</v>
      </c>
      <c r="BJ3" t="s">
        <v>99</v>
      </c>
      <c r="BK3" t="s">
        <v>100</v>
      </c>
      <c r="BL3" t="s">
        <v>101</v>
      </c>
      <c r="BM3" t="s">
        <v>102</v>
      </c>
      <c r="BN3" t="s">
        <v>138</v>
      </c>
      <c r="BO3" t="s">
        <v>103</v>
      </c>
      <c r="BP3" t="s">
        <v>104</v>
      </c>
      <c r="BQ3" t="s">
        <v>105</v>
      </c>
      <c r="BR3" t="s">
        <v>106</v>
      </c>
      <c r="BS3" t="s">
        <v>107</v>
      </c>
      <c r="BT3" t="s">
        <v>239</v>
      </c>
      <c r="BU3" t="s">
        <v>240</v>
      </c>
      <c r="BV3" t="s">
        <v>244</v>
      </c>
      <c r="BW3" t="s">
        <v>176</v>
      </c>
      <c r="BX3" t="s">
        <v>177</v>
      </c>
      <c r="BY3" t="s">
        <v>178</v>
      </c>
      <c r="BZ3" t="s">
        <v>179</v>
      </c>
      <c r="CA3" t="s">
        <v>180</v>
      </c>
      <c r="CB3" t="s">
        <v>181</v>
      </c>
      <c r="CC3" t="s">
        <v>225</v>
      </c>
      <c r="CD3" t="s">
        <v>182</v>
      </c>
      <c r="CE3" t="s">
        <v>222</v>
      </c>
      <c r="CF3" t="s">
        <v>183</v>
      </c>
      <c r="CG3" t="s">
        <v>184</v>
      </c>
      <c r="CH3" t="s">
        <v>184</v>
      </c>
      <c r="CI3" t="s">
        <v>223</v>
      </c>
      <c r="CJ3" t="s">
        <v>185</v>
      </c>
      <c r="CK3" t="s">
        <v>186</v>
      </c>
      <c r="CL3" s="3" t="s">
        <v>224</v>
      </c>
      <c r="CM3" s="3" t="s">
        <v>226</v>
      </c>
      <c r="CN3" s="3" t="s">
        <v>246</v>
      </c>
      <c r="CO3" s="3" t="s">
        <v>247</v>
      </c>
      <c r="CP3" s="3" t="s">
        <v>248</v>
      </c>
      <c r="CQ3" t="s">
        <v>205</v>
      </c>
      <c r="CR3" t="s">
        <v>206</v>
      </c>
      <c r="CS3" t="s">
        <v>207</v>
      </c>
      <c r="CT3" t="s">
        <v>232</v>
      </c>
      <c r="CU3" t="s">
        <v>208</v>
      </c>
      <c r="CV3" t="s">
        <v>209</v>
      </c>
      <c r="CW3" t="s">
        <v>210</v>
      </c>
      <c r="CX3" t="s">
        <v>211</v>
      </c>
      <c r="CY3" t="s">
        <v>212</v>
      </c>
      <c r="CZ3" t="s">
        <v>213</v>
      </c>
      <c r="DA3" t="s">
        <v>213</v>
      </c>
      <c r="DB3" t="s">
        <v>214</v>
      </c>
      <c r="DC3" t="s">
        <v>234</v>
      </c>
      <c r="DD3" t="s">
        <v>235</v>
      </c>
      <c r="DE3" t="s">
        <v>215</v>
      </c>
      <c r="DF3" t="s">
        <v>216</v>
      </c>
      <c r="DG3" t="s">
        <v>217</v>
      </c>
      <c r="DH3" t="s">
        <v>218</v>
      </c>
      <c r="DI3" t="s">
        <v>219</v>
      </c>
      <c r="DJ3" t="s">
        <v>238</v>
      </c>
      <c r="DK3" t="s">
        <v>220</v>
      </c>
      <c r="DL3" t="s">
        <v>255</v>
      </c>
    </row>
    <row r="4" spans="1:121" x14ac:dyDescent="0.2">
      <c r="A4" t="s">
        <v>1</v>
      </c>
      <c r="B4" t="s">
        <v>118</v>
      </c>
      <c r="C4" t="s">
        <v>118</v>
      </c>
      <c r="D4" t="s">
        <v>118</v>
      </c>
      <c r="E4" t="s">
        <v>118</v>
      </c>
      <c r="F4" t="s">
        <v>118</v>
      </c>
      <c r="G4" t="s">
        <v>118</v>
      </c>
      <c r="H4" t="s">
        <v>118</v>
      </c>
      <c r="I4" t="s">
        <v>118</v>
      </c>
      <c r="J4" t="s">
        <v>118</v>
      </c>
      <c r="K4" t="s">
        <v>118</v>
      </c>
      <c r="L4" t="s">
        <v>118</v>
      </c>
      <c r="M4" t="s">
        <v>118</v>
      </c>
      <c r="N4" t="s">
        <v>118</v>
      </c>
      <c r="O4" t="s">
        <v>118</v>
      </c>
      <c r="P4" t="s">
        <v>118</v>
      </c>
      <c r="Q4" t="s">
        <v>118</v>
      </c>
      <c r="R4" t="s">
        <v>118</v>
      </c>
      <c r="S4" t="s">
        <v>118</v>
      </c>
      <c r="T4" t="s">
        <v>118</v>
      </c>
      <c r="U4" t="s">
        <v>118</v>
      </c>
      <c r="V4" t="s">
        <v>118</v>
      </c>
      <c r="W4" t="s">
        <v>118</v>
      </c>
      <c r="X4" t="s">
        <v>118</v>
      </c>
      <c r="Y4" t="s">
        <v>118</v>
      </c>
      <c r="Z4" t="s">
        <v>118</v>
      </c>
      <c r="AA4" t="s">
        <v>118</v>
      </c>
      <c r="AB4" t="s">
        <v>118</v>
      </c>
      <c r="AC4" t="s">
        <v>118</v>
      </c>
      <c r="AD4" t="s">
        <v>118</v>
      </c>
      <c r="AE4" t="s">
        <v>118</v>
      </c>
      <c r="AF4" t="s">
        <v>118</v>
      </c>
      <c r="AG4" t="s">
        <v>118</v>
      </c>
      <c r="AH4" t="s">
        <v>118</v>
      </c>
      <c r="AI4" t="s">
        <v>118</v>
      </c>
      <c r="AJ4" t="s">
        <v>118</v>
      </c>
      <c r="AK4" t="s">
        <v>118</v>
      </c>
      <c r="AL4" t="s">
        <v>118</v>
      </c>
      <c r="AM4" t="s">
        <v>118</v>
      </c>
      <c r="AN4" t="s">
        <v>118</v>
      </c>
      <c r="AO4" t="s">
        <v>118</v>
      </c>
      <c r="AP4" t="s">
        <v>118</v>
      </c>
      <c r="AQ4" t="s">
        <v>118</v>
      </c>
      <c r="AR4" t="s">
        <v>118</v>
      </c>
      <c r="AS4" t="s">
        <v>118</v>
      </c>
      <c r="AT4" t="s">
        <v>118</v>
      </c>
      <c r="AU4" t="s">
        <v>118</v>
      </c>
      <c r="AV4" t="s">
        <v>118</v>
      </c>
      <c r="AW4" t="s">
        <v>118</v>
      </c>
      <c r="AX4" t="s">
        <v>118</v>
      </c>
      <c r="AY4" t="s">
        <v>118</v>
      </c>
      <c r="AZ4" t="s">
        <v>118</v>
      </c>
      <c r="BA4" t="s">
        <v>118</v>
      </c>
      <c r="BB4" t="s">
        <v>118</v>
      </c>
      <c r="BC4" t="s">
        <v>118</v>
      </c>
      <c r="BD4" t="s">
        <v>118</v>
      </c>
      <c r="BE4" t="s">
        <v>118</v>
      </c>
      <c r="BF4" t="s">
        <v>118</v>
      </c>
      <c r="BG4" t="s">
        <v>118</v>
      </c>
      <c r="BH4" t="s">
        <v>118</v>
      </c>
      <c r="BI4" t="s">
        <v>118</v>
      </c>
      <c r="BJ4" t="s">
        <v>118</v>
      </c>
      <c r="BK4" t="s">
        <v>118</v>
      </c>
      <c r="BL4" t="s">
        <v>118</v>
      </c>
      <c r="BM4" t="s">
        <v>118</v>
      </c>
      <c r="BN4" t="s">
        <v>118</v>
      </c>
      <c r="BO4" t="s">
        <v>118</v>
      </c>
      <c r="BP4" t="s">
        <v>118</v>
      </c>
      <c r="BQ4" t="s">
        <v>118</v>
      </c>
      <c r="BR4" t="s">
        <v>118</v>
      </c>
      <c r="BS4" t="s">
        <v>118</v>
      </c>
      <c r="BT4" t="s">
        <v>118</v>
      </c>
      <c r="BU4" t="s">
        <v>118</v>
      </c>
      <c r="BV4" t="s">
        <v>118</v>
      </c>
      <c r="BW4" t="s">
        <v>187</v>
      </c>
      <c r="BX4" t="s">
        <v>187</v>
      </c>
      <c r="BY4" t="s">
        <v>187</v>
      </c>
      <c r="BZ4" t="s">
        <v>187</v>
      </c>
      <c r="CA4" t="s">
        <v>187</v>
      </c>
      <c r="CB4" t="s">
        <v>187</v>
      </c>
      <c r="CC4" t="s">
        <v>187</v>
      </c>
      <c r="CD4" t="s">
        <v>187</v>
      </c>
      <c r="CE4" t="s">
        <v>187</v>
      </c>
      <c r="CF4" t="s">
        <v>187</v>
      </c>
      <c r="CG4" t="s">
        <v>187</v>
      </c>
      <c r="CH4" t="s">
        <v>187</v>
      </c>
      <c r="CI4" t="s">
        <v>187</v>
      </c>
      <c r="CJ4" t="s">
        <v>187</v>
      </c>
      <c r="CK4" t="s">
        <v>187</v>
      </c>
      <c r="CL4" t="s">
        <v>187</v>
      </c>
      <c r="CM4" t="s">
        <v>187</v>
      </c>
      <c r="CN4" t="s">
        <v>187</v>
      </c>
      <c r="CO4" t="s">
        <v>187</v>
      </c>
      <c r="CP4" t="s">
        <v>187</v>
      </c>
      <c r="CQ4" t="s">
        <v>221</v>
      </c>
      <c r="CR4" t="s">
        <v>221</v>
      </c>
      <c r="CS4" t="s">
        <v>221</v>
      </c>
      <c r="CT4" t="s">
        <v>221</v>
      </c>
      <c r="CU4" t="s">
        <v>221</v>
      </c>
      <c r="CV4" t="s">
        <v>221</v>
      </c>
      <c r="CW4" t="s">
        <v>221</v>
      </c>
      <c r="CX4" t="s">
        <v>221</v>
      </c>
      <c r="CY4" t="s">
        <v>221</v>
      </c>
      <c r="CZ4" t="s">
        <v>221</v>
      </c>
      <c r="DA4" t="s">
        <v>221</v>
      </c>
      <c r="DB4" t="s">
        <v>221</v>
      </c>
      <c r="DC4" t="s">
        <v>221</v>
      </c>
      <c r="DD4" t="s">
        <v>221</v>
      </c>
      <c r="DE4" t="s">
        <v>221</v>
      </c>
      <c r="DF4" t="s">
        <v>221</v>
      </c>
      <c r="DG4" t="s">
        <v>221</v>
      </c>
      <c r="DH4" t="s">
        <v>221</v>
      </c>
      <c r="DI4" t="s">
        <v>221</v>
      </c>
      <c r="DJ4" t="s">
        <v>221</v>
      </c>
      <c r="DK4" t="s">
        <v>221</v>
      </c>
      <c r="DL4" t="s">
        <v>221</v>
      </c>
    </row>
    <row r="5" spans="1:121" x14ac:dyDescent="0.2">
      <c r="A5" s="1" t="s">
        <v>157</v>
      </c>
      <c r="B5">
        <v>-121.139</v>
      </c>
      <c r="C5">
        <v>-60.384500000000003</v>
      </c>
      <c r="D5">
        <v>-172.36699999999999</v>
      </c>
      <c r="E5">
        <v>-156.58600000000001</v>
      </c>
      <c r="F5">
        <v>-82.015600000000006</v>
      </c>
      <c r="G5">
        <v>532.01300000000003</v>
      </c>
      <c r="H5">
        <v>-87.934799999999996</v>
      </c>
      <c r="I5">
        <v>-96.8048</v>
      </c>
      <c r="J5">
        <v>168.779</v>
      </c>
      <c r="K5">
        <v>-116.742</v>
      </c>
      <c r="L5">
        <v>-159.393</v>
      </c>
      <c r="M5">
        <v>-81.400700000000001</v>
      </c>
      <c r="N5">
        <v>-112.399</v>
      </c>
      <c r="O5">
        <v>590.58799999999997</v>
      </c>
      <c r="P5">
        <v>442.64</v>
      </c>
      <c r="Q5">
        <v>-138.81800000000001</v>
      </c>
      <c r="R5">
        <v>-96.837000000000003</v>
      </c>
      <c r="S5">
        <v>445.286</v>
      </c>
      <c r="T5">
        <v>-98.322151184082003</v>
      </c>
      <c r="U5">
        <v>358.29500000000002</v>
      </c>
      <c r="V5">
        <v>-102.071</v>
      </c>
      <c r="W5">
        <v>199.09399999999999</v>
      </c>
      <c r="X5">
        <v>-113.709</v>
      </c>
      <c r="Y5">
        <v>-910.61199999999997</v>
      </c>
      <c r="Z5">
        <v>-75.0822</v>
      </c>
      <c r="AA5">
        <v>-39.0563</v>
      </c>
      <c r="AB5">
        <v>-37.521000000000001</v>
      </c>
      <c r="AC5">
        <v>-220.797</v>
      </c>
      <c r="AD5">
        <v>-73.243399999999994</v>
      </c>
      <c r="AE5">
        <v>112.328</v>
      </c>
      <c r="AF5">
        <v>-91.9602</v>
      </c>
      <c r="AG5">
        <v>-53.214700000000001</v>
      </c>
      <c r="AH5">
        <v>-71.322999999999993</v>
      </c>
      <c r="AI5">
        <v>-113.914</v>
      </c>
      <c r="AJ5">
        <v>-339.83699999999999</v>
      </c>
      <c r="AK5">
        <v>321.67200000000003</v>
      </c>
      <c r="AL5">
        <v>317.80500000000001</v>
      </c>
      <c r="AM5">
        <v>-139.86799999999999</v>
      </c>
      <c r="AN5">
        <v>-453.35399999999998</v>
      </c>
      <c r="AO5">
        <v>-84.941900000000004</v>
      </c>
      <c r="AP5">
        <v>-45.1173</v>
      </c>
      <c r="AQ5">
        <v>-108.587</v>
      </c>
      <c r="AR5">
        <v>401.16699999999997</v>
      </c>
      <c r="AS5">
        <v>-754.51199999999994</v>
      </c>
      <c r="AT5">
        <v>365.39600000000002</v>
      </c>
      <c r="AU5">
        <v>431.27</v>
      </c>
      <c r="AV5">
        <v>222.3</v>
      </c>
      <c r="AW5">
        <v>-82.056799999999996</v>
      </c>
      <c r="AX5">
        <v>-125.256</v>
      </c>
      <c r="AY5">
        <v>166.70500000000001</v>
      </c>
      <c r="AZ5">
        <v>-76.985200000000006</v>
      </c>
      <c r="BA5">
        <v>-114.02500000000001</v>
      </c>
      <c r="BB5">
        <v>-83.568299999999994</v>
      </c>
      <c r="BC5">
        <v>-48.811100000000003</v>
      </c>
      <c r="BD5">
        <v>-96.533000000000001</v>
      </c>
      <c r="BE5">
        <v>-132.398</v>
      </c>
      <c r="BF5">
        <v>-155.71600000000001</v>
      </c>
      <c r="BG5">
        <v>252.303</v>
      </c>
      <c r="BH5">
        <v>848.00300000000004</v>
      </c>
      <c r="BI5">
        <v>397.29500000000002</v>
      </c>
      <c r="BJ5">
        <v>-52.243600000000001</v>
      </c>
      <c r="BK5">
        <v>-59.011200000000002</v>
      </c>
      <c r="BL5">
        <v>-90.936499999999995</v>
      </c>
      <c r="BM5">
        <v>-83.9559</v>
      </c>
      <c r="BN5">
        <v>177.03200000000001</v>
      </c>
      <c r="BO5">
        <v>-68.771100000000004</v>
      </c>
      <c r="BP5">
        <v>-61.967100000000002</v>
      </c>
      <c r="BQ5">
        <v>-113.64100000000001</v>
      </c>
      <c r="BR5">
        <v>-49.254600000000003</v>
      </c>
      <c r="BS5">
        <v>-66.513400000000004</v>
      </c>
      <c r="BT5">
        <v>-104.157</v>
      </c>
      <c r="BU5">
        <v>-86.385300000000001</v>
      </c>
      <c r="BV5">
        <v>-100.104</v>
      </c>
      <c r="BW5">
        <v>85.57</v>
      </c>
      <c r="BX5">
        <v>-130.86799999999999</v>
      </c>
      <c r="BY5">
        <v>-112.334</v>
      </c>
      <c r="BZ5">
        <v>-47.676499999999997</v>
      </c>
      <c r="CA5">
        <v>-84.612300000000005</v>
      </c>
      <c r="CB5">
        <v>-43.570500000000003</v>
      </c>
      <c r="CC5">
        <v>685.322</v>
      </c>
      <c r="CD5">
        <v>-87.347899999999996</v>
      </c>
      <c r="CE5">
        <v>330.16</v>
      </c>
      <c r="CF5">
        <v>-91.667299999999997</v>
      </c>
      <c r="CG5">
        <v>-56.6145</v>
      </c>
      <c r="CH5">
        <v>-41.666499999999999</v>
      </c>
      <c r="CI5">
        <v>-382.11099999999999</v>
      </c>
      <c r="CJ5">
        <v>-134.15700000000001</v>
      </c>
      <c r="CK5">
        <v>-61.776499999999999</v>
      </c>
      <c r="CL5">
        <v>630.88699999999994</v>
      </c>
      <c r="CM5">
        <v>-559.98400000000004</v>
      </c>
      <c r="CN5">
        <v>-107.51</v>
      </c>
      <c r="CO5">
        <v>-154.54400000000001</v>
      </c>
      <c r="CP5">
        <v>-83.365099999999998</v>
      </c>
      <c r="CQ5">
        <v>-256.37599999999998</v>
      </c>
      <c r="CR5">
        <v>-102.18300000000001</v>
      </c>
      <c r="CS5">
        <v>-77.893900000000002</v>
      </c>
      <c r="CT5">
        <v>308.74099999999999</v>
      </c>
      <c r="CU5">
        <v>-54.468800000000002</v>
      </c>
      <c r="CV5">
        <v>-98.590199999999996</v>
      </c>
      <c r="CW5">
        <v>-97.858500000000006</v>
      </c>
      <c r="CX5">
        <v>-112.23699999999999</v>
      </c>
      <c r="CY5">
        <v>-60.404094696044901</v>
      </c>
      <c r="CZ5">
        <v>-130.53</v>
      </c>
      <c r="DA5">
        <v>-131.327</v>
      </c>
      <c r="DB5">
        <v>-89.482100000000003</v>
      </c>
      <c r="DC5">
        <v>523.48900000000003</v>
      </c>
      <c r="DD5">
        <v>336.07900000000001</v>
      </c>
      <c r="DE5">
        <v>-141.422</v>
      </c>
      <c r="DF5">
        <v>-64.586299999999994</v>
      </c>
      <c r="DG5">
        <v>-73.618799999999993</v>
      </c>
      <c r="DH5">
        <v>-218.45500000000001</v>
      </c>
      <c r="DI5">
        <v>-74.458100000000002</v>
      </c>
      <c r="DJ5">
        <v>406.55500000000001</v>
      </c>
      <c r="DK5">
        <v>-73.359099999999998</v>
      </c>
      <c r="DL5">
        <v>176.42</v>
      </c>
    </row>
    <row r="6" spans="1:121" x14ac:dyDescent="0.2">
      <c r="A6" s="1" t="s">
        <v>3</v>
      </c>
      <c r="B6">
        <v>-10</v>
      </c>
      <c r="C6">
        <v>-10</v>
      </c>
      <c r="D6">
        <v>-10</v>
      </c>
      <c r="E6">
        <v>-10</v>
      </c>
      <c r="F6">
        <v>-10</v>
      </c>
      <c r="G6">
        <v>50</v>
      </c>
      <c r="H6">
        <v>-10</v>
      </c>
      <c r="I6">
        <v>-10</v>
      </c>
      <c r="J6">
        <v>50</v>
      </c>
      <c r="K6">
        <v>-10</v>
      </c>
      <c r="L6">
        <v>-10</v>
      </c>
      <c r="M6">
        <v>-10</v>
      </c>
      <c r="N6">
        <v>-10</v>
      </c>
      <c r="O6">
        <v>50</v>
      </c>
      <c r="P6">
        <v>50</v>
      </c>
      <c r="Q6">
        <v>-10</v>
      </c>
      <c r="R6">
        <v>-10</v>
      </c>
      <c r="S6">
        <v>50</v>
      </c>
      <c r="T6">
        <v>-10</v>
      </c>
      <c r="U6">
        <v>50</v>
      </c>
      <c r="V6">
        <v>-10</v>
      </c>
      <c r="W6">
        <v>50</v>
      </c>
      <c r="X6">
        <v>-10</v>
      </c>
      <c r="Y6">
        <v>110</v>
      </c>
      <c r="Z6">
        <v>-10</v>
      </c>
      <c r="AA6">
        <v>-10</v>
      </c>
      <c r="AB6">
        <v>-10</v>
      </c>
      <c r="AC6">
        <v>-10</v>
      </c>
      <c r="AD6">
        <v>-10</v>
      </c>
      <c r="AE6">
        <v>-10</v>
      </c>
      <c r="AF6">
        <v>-10</v>
      </c>
      <c r="AG6">
        <v>-10</v>
      </c>
      <c r="AH6">
        <v>-10</v>
      </c>
      <c r="AI6">
        <v>-10</v>
      </c>
      <c r="AJ6">
        <v>-50</v>
      </c>
      <c r="AK6">
        <v>40</v>
      </c>
      <c r="AL6">
        <v>50</v>
      </c>
      <c r="AM6">
        <v>-10</v>
      </c>
      <c r="AN6">
        <v>-60</v>
      </c>
      <c r="AO6">
        <v>-10</v>
      </c>
      <c r="AP6">
        <v>-10</v>
      </c>
      <c r="AQ6">
        <v>-10</v>
      </c>
      <c r="AR6">
        <v>40</v>
      </c>
      <c r="AS6">
        <v>-70</v>
      </c>
      <c r="AT6">
        <v>40</v>
      </c>
      <c r="AU6">
        <v>40</v>
      </c>
      <c r="AV6">
        <v>40</v>
      </c>
      <c r="AW6">
        <v>-10</v>
      </c>
      <c r="AX6">
        <v>-10</v>
      </c>
      <c r="AY6">
        <v>50</v>
      </c>
      <c r="AZ6">
        <v>-10</v>
      </c>
      <c r="BA6">
        <v>-10</v>
      </c>
      <c r="BB6">
        <v>-10</v>
      </c>
      <c r="BC6">
        <v>-10</v>
      </c>
      <c r="BD6">
        <v>-10</v>
      </c>
      <c r="BE6">
        <v>-10</v>
      </c>
      <c r="BF6">
        <v>-10</v>
      </c>
      <c r="BG6">
        <v>40</v>
      </c>
      <c r="BH6">
        <v>50</v>
      </c>
      <c r="BI6">
        <v>40</v>
      </c>
      <c r="BJ6">
        <v>-10</v>
      </c>
      <c r="BK6">
        <v>-10</v>
      </c>
      <c r="BL6">
        <v>-10</v>
      </c>
      <c r="BM6">
        <v>-10</v>
      </c>
      <c r="BN6">
        <v>50</v>
      </c>
      <c r="BO6">
        <v>-10</v>
      </c>
      <c r="BP6">
        <v>-10</v>
      </c>
      <c r="BQ6">
        <v>-10</v>
      </c>
      <c r="BR6">
        <v>-10</v>
      </c>
      <c r="BS6">
        <v>-10</v>
      </c>
      <c r="BT6">
        <v>-10</v>
      </c>
      <c r="BU6">
        <v>-10</v>
      </c>
      <c r="BV6">
        <v>-10</v>
      </c>
      <c r="BW6">
        <v>-10</v>
      </c>
      <c r="BX6">
        <v>-10</v>
      </c>
      <c r="BY6">
        <v>-10</v>
      </c>
      <c r="BZ6">
        <v>-10</v>
      </c>
      <c r="CA6">
        <v>-10</v>
      </c>
      <c r="CB6">
        <v>-10</v>
      </c>
      <c r="CC6">
        <v>50</v>
      </c>
      <c r="CD6">
        <v>-10</v>
      </c>
      <c r="CE6">
        <v>50</v>
      </c>
      <c r="CF6">
        <v>-10</v>
      </c>
      <c r="CG6">
        <v>-10</v>
      </c>
      <c r="CH6">
        <v>-10</v>
      </c>
      <c r="CI6">
        <v>-50</v>
      </c>
      <c r="CJ6">
        <v>-10</v>
      </c>
      <c r="CK6">
        <v>-10</v>
      </c>
      <c r="CL6">
        <v>50</v>
      </c>
      <c r="CM6">
        <v>-90</v>
      </c>
      <c r="CN6">
        <v>-10</v>
      </c>
      <c r="CO6">
        <v>-10</v>
      </c>
      <c r="CP6">
        <v>-10</v>
      </c>
      <c r="CQ6">
        <v>-10</v>
      </c>
      <c r="CR6">
        <v>-10</v>
      </c>
      <c r="CS6">
        <v>-10</v>
      </c>
      <c r="CT6">
        <v>50</v>
      </c>
      <c r="CU6">
        <v>-10</v>
      </c>
      <c r="CV6">
        <v>-10</v>
      </c>
      <c r="CW6">
        <v>-10</v>
      </c>
      <c r="CX6">
        <v>-10</v>
      </c>
      <c r="CY6">
        <v>-10</v>
      </c>
      <c r="CZ6">
        <v>-10</v>
      </c>
      <c r="DA6">
        <v>-10</v>
      </c>
      <c r="DB6">
        <v>-10</v>
      </c>
      <c r="DC6">
        <v>50</v>
      </c>
      <c r="DD6">
        <v>50</v>
      </c>
      <c r="DE6">
        <v>-10</v>
      </c>
      <c r="DF6">
        <v>-10</v>
      </c>
      <c r="DG6">
        <v>-10</v>
      </c>
      <c r="DH6">
        <v>-10</v>
      </c>
      <c r="DI6">
        <v>-10</v>
      </c>
      <c r="DJ6">
        <v>50</v>
      </c>
      <c r="DK6">
        <v>-10</v>
      </c>
      <c r="DL6">
        <v>50</v>
      </c>
    </row>
    <row r="7" spans="1:121" x14ac:dyDescent="0.2">
      <c r="A7" s="1" t="s">
        <v>2</v>
      </c>
      <c r="B7">
        <v>5</v>
      </c>
      <c r="C7">
        <v>5</v>
      </c>
      <c r="D7">
        <v>5</v>
      </c>
      <c r="E7">
        <v>5</v>
      </c>
      <c r="F7">
        <v>5</v>
      </c>
      <c r="G7">
        <v>17</v>
      </c>
      <c r="H7">
        <v>5</v>
      </c>
      <c r="I7">
        <v>5</v>
      </c>
      <c r="J7">
        <v>10</v>
      </c>
      <c r="K7">
        <v>5</v>
      </c>
      <c r="L7">
        <v>5</v>
      </c>
      <c r="M7">
        <v>5</v>
      </c>
      <c r="N7">
        <v>5</v>
      </c>
      <c r="O7">
        <v>17</v>
      </c>
      <c r="P7">
        <v>17</v>
      </c>
      <c r="Q7">
        <v>5</v>
      </c>
      <c r="R7">
        <v>5</v>
      </c>
      <c r="S7">
        <v>15</v>
      </c>
      <c r="T7">
        <v>5</v>
      </c>
      <c r="U7">
        <v>17</v>
      </c>
      <c r="V7">
        <v>5</v>
      </c>
      <c r="W7">
        <v>7</v>
      </c>
      <c r="X7">
        <v>5</v>
      </c>
      <c r="Y7">
        <v>1000</v>
      </c>
      <c r="Z7">
        <v>5</v>
      </c>
      <c r="AA7">
        <v>5</v>
      </c>
      <c r="AB7">
        <v>5</v>
      </c>
      <c r="AC7">
        <v>5</v>
      </c>
      <c r="AD7">
        <v>5</v>
      </c>
      <c r="AE7">
        <v>5</v>
      </c>
      <c r="AF7">
        <v>5</v>
      </c>
      <c r="AG7">
        <v>5</v>
      </c>
      <c r="AH7">
        <v>5</v>
      </c>
      <c r="AI7">
        <v>5</v>
      </c>
      <c r="AJ7">
        <v>11</v>
      </c>
      <c r="AK7">
        <v>17</v>
      </c>
      <c r="AL7">
        <v>17</v>
      </c>
      <c r="AM7">
        <v>5</v>
      </c>
      <c r="AN7">
        <v>14</v>
      </c>
      <c r="AO7">
        <v>5</v>
      </c>
      <c r="AP7">
        <v>5</v>
      </c>
      <c r="AQ7">
        <v>5</v>
      </c>
      <c r="AR7">
        <v>17</v>
      </c>
      <c r="AS7">
        <v>11</v>
      </c>
      <c r="AT7">
        <v>17</v>
      </c>
      <c r="AU7">
        <v>17</v>
      </c>
      <c r="AV7">
        <v>17</v>
      </c>
      <c r="AW7">
        <v>5</v>
      </c>
      <c r="AX7">
        <v>5</v>
      </c>
      <c r="AY7">
        <v>17</v>
      </c>
      <c r="AZ7">
        <v>5</v>
      </c>
      <c r="BA7">
        <v>5</v>
      </c>
      <c r="BB7">
        <v>5</v>
      </c>
      <c r="BC7">
        <v>5</v>
      </c>
      <c r="BD7">
        <v>5</v>
      </c>
      <c r="BE7">
        <v>5</v>
      </c>
      <c r="BF7">
        <v>5</v>
      </c>
      <c r="BG7">
        <v>17</v>
      </c>
      <c r="BH7">
        <v>17</v>
      </c>
      <c r="BI7">
        <v>17</v>
      </c>
      <c r="BJ7">
        <v>5</v>
      </c>
      <c r="BK7">
        <v>5</v>
      </c>
      <c r="BL7">
        <v>5</v>
      </c>
      <c r="BM7">
        <v>5</v>
      </c>
      <c r="BN7">
        <v>17</v>
      </c>
      <c r="BO7">
        <v>5</v>
      </c>
      <c r="BP7">
        <v>5</v>
      </c>
      <c r="BQ7">
        <v>5</v>
      </c>
      <c r="BR7">
        <v>5</v>
      </c>
      <c r="BS7">
        <v>5</v>
      </c>
      <c r="BT7">
        <v>5</v>
      </c>
      <c r="BU7">
        <v>5</v>
      </c>
      <c r="BV7">
        <v>5</v>
      </c>
      <c r="BW7">
        <v>4</v>
      </c>
      <c r="BX7">
        <v>5</v>
      </c>
      <c r="BY7">
        <v>5</v>
      </c>
      <c r="BZ7">
        <v>5</v>
      </c>
      <c r="CA7">
        <v>5</v>
      </c>
      <c r="CB7">
        <v>5</v>
      </c>
      <c r="CC7">
        <v>17</v>
      </c>
      <c r="CD7">
        <v>5</v>
      </c>
      <c r="CE7">
        <v>7</v>
      </c>
      <c r="CF7">
        <v>5</v>
      </c>
      <c r="CG7">
        <v>5</v>
      </c>
      <c r="CH7">
        <v>5</v>
      </c>
      <c r="CI7">
        <v>16</v>
      </c>
      <c r="CJ7">
        <v>5</v>
      </c>
      <c r="CK7">
        <v>5</v>
      </c>
      <c r="CL7">
        <v>17</v>
      </c>
      <c r="CM7">
        <v>20</v>
      </c>
      <c r="CN7">
        <v>5</v>
      </c>
      <c r="CO7">
        <v>5</v>
      </c>
      <c r="CP7">
        <v>5</v>
      </c>
      <c r="CQ7">
        <v>5</v>
      </c>
      <c r="CR7">
        <v>5</v>
      </c>
      <c r="CS7">
        <v>5</v>
      </c>
      <c r="CT7">
        <v>17</v>
      </c>
      <c r="CU7">
        <v>5</v>
      </c>
      <c r="CV7">
        <v>5</v>
      </c>
      <c r="CW7">
        <v>5</v>
      </c>
      <c r="CX7">
        <v>5</v>
      </c>
      <c r="CY7">
        <v>5</v>
      </c>
      <c r="CZ7">
        <v>5</v>
      </c>
      <c r="DA7">
        <v>5</v>
      </c>
      <c r="DB7">
        <v>5</v>
      </c>
      <c r="DC7">
        <v>17</v>
      </c>
      <c r="DD7">
        <v>17</v>
      </c>
      <c r="DE7">
        <v>5</v>
      </c>
      <c r="DF7">
        <v>5</v>
      </c>
      <c r="DG7">
        <v>5</v>
      </c>
      <c r="DH7">
        <v>5</v>
      </c>
      <c r="DI7">
        <v>5</v>
      </c>
      <c r="DJ7">
        <v>68</v>
      </c>
      <c r="DK7">
        <v>5</v>
      </c>
      <c r="DL7">
        <v>68</v>
      </c>
    </row>
    <row r="8" spans="1:121" x14ac:dyDescent="0.2">
      <c r="A8" s="1" t="s">
        <v>111</v>
      </c>
      <c r="B8">
        <v>5.4468299999999997E-2</v>
      </c>
      <c r="C8">
        <v>5.1207299999999997E-2</v>
      </c>
      <c r="D8">
        <v>7.6872099999999999E-2</v>
      </c>
      <c r="E8">
        <v>3.0765899999999999E-2</v>
      </c>
      <c r="F8">
        <v>2.9705599999999999E-2</v>
      </c>
      <c r="G8">
        <v>0.188863</v>
      </c>
      <c r="H8">
        <v>7.0464700000000005E-2</v>
      </c>
      <c r="I8">
        <v>8.0416399999999999E-2</v>
      </c>
      <c r="J8">
        <v>3.6813499999999999E-2</v>
      </c>
      <c r="K8">
        <v>4.3181299999999999E-2</v>
      </c>
      <c r="L8">
        <v>6.4597199999999994E-2</v>
      </c>
      <c r="M8">
        <v>8.1788899999999998E-2</v>
      </c>
      <c r="N8">
        <v>0.17976900000000001</v>
      </c>
      <c r="O8">
        <v>9.4869700000000001E-2</v>
      </c>
      <c r="P8">
        <v>0.14029</v>
      </c>
      <c r="Q8">
        <v>4.7572099999999999E-2</v>
      </c>
      <c r="R8">
        <v>4.2916700000000002E-2</v>
      </c>
      <c r="S8">
        <v>6.1678999999999998E-2</v>
      </c>
      <c r="T8">
        <v>0.10834199999999999</v>
      </c>
      <c r="U8">
        <v>9.8899600000000004E-2</v>
      </c>
      <c r="V8">
        <v>3.8479100000000002E-2</v>
      </c>
      <c r="W8">
        <v>5.6340023875236997E-2</v>
      </c>
      <c r="X8">
        <v>4.0868700000000001E-2</v>
      </c>
      <c r="Y8">
        <v>0.180642</v>
      </c>
      <c r="Z8">
        <v>4.7589199999999998E-2</v>
      </c>
      <c r="AA8">
        <v>3.0340800000000001E-2</v>
      </c>
      <c r="AB8">
        <v>3.0865099999999999E-2</v>
      </c>
      <c r="AC8">
        <v>0.11856800000000001</v>
      </c>
      <c r="AD8">
        <v>4.03284E-2</v>
      </c>
      <c r="AE8">
        <v>6.2160399999999998E-2</v>
      </c>
      <c r="AF8">
        <v>2.4571699999999998E-2</v>
      </c>
      <c r="AG8">
        <v>2.3651800000000001E-2</v>
      </c>
      <c r="AH8">
        <v>5.0718399999999997E-2</v>
      </c>
      <c r="AI8">
        <v>9.6460699999999996E-2</v>
      </c>
      <c r="AJ8">
        <v>0.120644</v>
      </c>
      <c r="AK8">
        <v>7.9313700000000001E-2</v>
      </c>
      <c r="AL8">
        <v>7.9202599999999998E-2</v>
      </c>
      <c r="AM8">
        <v>5.7471800000000003E-2</v>
      </c>
      <c r="AN8">
        <v>4.7192048281430997E-2</v>
      </c>
      <c r="AO8">
        <v>3.1387100000000001E-2</v>
      </c>
      <c r="AP8">
        <v>3.3980000000000003E-2</v>
      </c>
      <c r="AQ8">
        <v>8.0631703138350996E-2</v>
      </c>
      <c r="AR8">
        <v>0.18270500000000001</v>
      </c>
      <c r="AS8">
        <v>7.8240199999999996E-2</v>
      </c>
      <c r="AT8">
        <v>7.7717300000000003E-2</v>
      </c>
      <c r="AU8">
        <v>9.03085E-2</v>
      </c>
      <c r="AV8">
        <v>6.7996200000000007E-2</v>
      </c>
      <c r="AW8">
        <v>8.0666500000000002E-2</v>
      </c>
      <c r="AX8">
        <v>6.2187800000000001E-2</v>
      </c>
      <c r="AY8">
        <v>0.16456999999999999</v>
      </c>
      <c r="AZ8">
        <v>4.6569440513849002E-2</v>
      </c>
      <c r="BA8">
        <v>9.0828099999999995E-2</v>
      </c>
      <c r="BB8">
        <v>2.7431899999999999E-2</v>
      </c>
      <c r="BC8">
        <v>2.0065199999999998E-2</v>
      </c>
      <c r="BD8">
        <v>0.19642999999999999</v>
      </c>
      <c r="BE8">
        <v>5.9778499999999998E-2</v>
      </c>
      <c r="BF8">
        <v>9.46351E-2</v>
      </c>
      <c r="BG8">
        <v>0.15115300000000001</v>
      </c>
      <c r="BH8">
        <v>0.10606599999999999</v>
      </c>
      <c r="BI8">
        <v>4.1552600000000002E-2</v>
      </c>
      <c r="BJ8">
        <v>6.0733099999999998E-2</v>
      </c>
      <c r="BK8">
        <v>6.24773E-2</v>
      </c>
      <c r="BL8">
        <v>6.4563999999999996E-2</v>
      </c>
      <c r="BM8">
        <v>3.33846E-2</v>
      </c>
      <c r="BN8">
        <v>6.0788700000000001E-2</v>
      </c>
      <c r="BO8">
        <v>5.2298499999999998E-2</v>
      </c>
      <c r="BP8">
        <v>4.6476799999999999E-2</v>
      </c>
      <c r="BQ8">
        <v>3.3415800000000002E-2</v>
      </c>
      <c r="BR8">
        <v>0.10215399999999999</v>
      </c>
      <c r="BS8">
        <v>6.8917800000000001E-2</v>
      </c>
      <c r="BT8">
        <v>0.14331842958927199</v>
      </c>
      <c r="BU8">
        <v>8.2559481263160997E-2</v>
      </c>
      <c r="BV8">
        <v>0.22978201508522</v>
      </c>
      <c r="BW8">
        <v>4.2597400000000001E-2</v>
      </c>
      <c r="BX8">
        <v>3.1965758651495001E-2</v>
      </c>
      <c r="BY8">
        <v>5.6643277406692998E-2</v>
      </c>
      <c r="BZ8">
        <v>3.7474263459443997E-2</v>
      </c>
      <c r="CA8">
        <v>5.0159219652414003E-2</v>
      </c>
      <c r="CB8">
        <v>0.14107707142829901</v>
      </c>
      <c r="CC8">
        <v>3.5072438418865003E-2</v>
      </c>
      <c r="CD8">
        <v>4.1817970573901998E-2</v>
      </c>
      <c r="CE8">
        <v>6.0623072087764997E-2</v>
      </c>
      <c r="CF8">
        <v>6.2301319092511999E-2</v>
      </c>
      <c r="CG8">
        <v>3.3638756722211997E-2</v>
      </c>
      <c r="CH8">
        <v>2.2304609417915001E-2</v>
      </c>
      <c r="CI8">
        <v>0.122716054320335</v>
      </c>
      <c r="CJ8">
        <v>0.15649463236331901</v>
      </c>
      <c r="CK8">
        <v>5.0591334700584002E-2</v>
      </c>
      <c r="CL8">
        <v>0.13533131778240201</v>
      </c>
      <c r="CM8">
        <v>4.2710039764643E-2</v>
      </c>
      <c r="CN8">
        <v>0.14929452538490301</v>
      </c>
      <c r="CO8">
        <v>0.174824774265289</v>
      </c>
      <c r="CP8">
        <v>0.112917706370354</v>
      </c>
      <c r="CQ8">
        <v>0.18023560941219299</v>
      </c>
      <c r="CR8">
        <v>0.10944387316703801</v>
      </c>
      <c r="CS8">
        <v>5.7547345757483999E-2</v>
      </c>
      <c r="CT8">
        <v>8.1732608377934002E-2</v>
      </c>
      <c r="CU8">
        <v>5.0211932510138002E-2</v>
      </c>
      <c r="CV8">
        <v>6.8482168018817999E-2</v>
      </c>
      <c r="CW8">
        <v>0.100582584738731</v>
      </c>
      <c r="CX8">
        <v>3.9031751453876003E-2</v>
      </c>
      <c r="CY8">
        <v>4.1136972606182001E-2</v>
      </c>
      <c r="CZ8">
        <v>0.121919803321362</v>
      </c>
      <c r="DA8">
        <v>0.17457672953605699</v>
      </c>
      <c r="DB8">
        <v>6.3302554190158997E-2</v>
      </c>
      <c r="DC8">
        <v>0.112798973917961</v>
      </c>
      <c r="DD8">
        <v>6.3395284116268005E-2</v>
      </c>
      <c r="DE8">
        <v>7.8627496957779E-2</v>
      </c>
      <c r="DF8">
        <v>3.2438904047012003E-2</v>
      </c>
      <c r="DG8">
        <v>4.2507279664278003E-2</v>
      </c>
      <c r="DH8">
        <v>0.141672357916832</v>
      </c>
      <c r="DI8">
        <v>4.2118791490792999E-2</v>
      </c>
      <c r="DJ8">
        <v>2.9723910614848002E-2</v>
      </c>
      <c r="DK8">
        <v>4.3763414025307E-2</v>
      </c>
      <c r="DL8">
        <v>2.4802116677165E-2</v>
      </c>
    </row>
    <row r="9" spans="1:121" x14ac:dyDescent="0.2">
      <c r="A9" s="1" t="s">
        <v>110</v>
      </c>
      <c r="B9">
        <v>1.5354699999999999E-3</v>
      </c>
      <c r="C9">
        <v>2.0447400000000002E-3</v>
      </c>
      <c r="D9">
        <v>1.99117E-3</v>
      </c>
      <c r="E9">
        <v>1.10048E-3</v>
      </c>
      <c r="F9">
        <v>1.4464199999999999E-3</v>
      </c>
      <c r="G9">
        <v>9.6545400000000003E-4</v>
      </c>
      <c r="H9">
        <v>3.5132800000000001E-3</v>
      </c>
      <c r="I9">
        <v>2.0804299999999999E-3</v>
      </c>
      <c r="J9">
        <v>2.15753E-3</v>
      </c>
      <c r="K9">
        <v>2.5237699999999998E-3</v>
      </c>
      <c r="L9">
        <v>1.6238699999999999E-3</v>
      </c>
      <c r="M9">
        <v>1.90646E-3</v>
      </c>
      <c r="N9">
        <v>6.5606900000000001E-3</v>
      </c>
      <c r="O9">
        <v>4.7878E-3</v>
      </c>
      <c r="P9">
        <v>2.0379399999999998E-3</v>
      </c>
      <c r="Q9">
        <v>5.0923799999999996E-3</v>
      </c>
      <c r="R9">
        <v>4.6519200000000004E-3</v>
      </c>
      <c r="S9">
        <v>4.3666800000000004E-3</v>
      </c>
      <c r="T9">
        <v>2.24303E-3</v>
      </c>
      <c r="U9">
        <v>9.3817399999999995E-4</v>
      </c>
      <c r="V9">
        <v>1.09593E-3</v>
      </c>
      <c r="W9">
        <v>2.647890010849E-3</v>
      </c>
      <c r="X9">
        <v>2.9112999999999999E-3</v>
      </c>
      <c r="Y9">
        <v>2.3993500000000002E-3</v>
      </c>
      <c r="Z9">
        <v>2.8297499999999998E-3</v>
      </c>
      <c r="AA9">
        <v>1.2089799999999999E-3</v>
      </c>
      <c r="AB9">
        <v>1.1649E-3</v>
      </c>
      <c r="AC9">
        <v>3.5045300000000001E-3</v>
      </c>
      <c r="AD9">
        <v>2.1975499999999999E-3</v>
      </c>
      <c r="AE9">
        <v>2.2427300000000001E-3</v>
      </c>
      <c r="AF9">
        <v>1.2810899999999999E-3</v>
      </c>
      <c r="AG9">
        <v>6.7387999999999997E-4</v>
      </c>
      <c r="AH9">
        <v>1.5815099999999999E-3</v>
      </c>
      <c r="AI9">
        <v>1.0285800000000001E-3</v>
      </c>
      <c r="AJ9">
        <v>1.8356900000000001E-3</v>
      </c>
      <c r="AK9">
        <v>7.5785299999999996E-4</v>
      </c>
      <c r="AL9">
        <v>5.6516300000000004E-4</v>
      </c>
      <c r="AM9">
        <v>2.16293E-3</v>
      </c>
      <c r="AN9">
        <v>2.7220998890699999E-3</v>
      </c>
      <c r="AO9">
        <v>1.1382600000000001E-3</v>
      </c>
      <c r="AP9">
        <v>1.7235799999999999E-3</v>
      </c>
      <c r="AQ9">
        <v>1.5116400000000001E-3</v>
      </c>
      <c r="AR9">
        <v>3.8364600000000002E-4</v>
      </c>
      <c r="AS9">
        <v>9.4323599999999997E-4</v>
      </c>
      <c r="AT9">
        <v>1.1175600000000001E-3</v>
      </c>
      <c r="AU9">
        <v>4.0585500000000002E-3</v>
      </c>
      <c r="AV9">
        <v>2.9142600000000001E-3</v>
      </c>
      <c r="AW9">
        <v>1.40913E-3</v>
      </c>
      <c r="AX9">
        <v>1.7906599999999999E-3</v>
      </c>
      <c r="AY9">
        <v>1.40007E-3</v>
      </c>
      <c r="AZ9">
        <v>3.8669199999999998E-3</v>
      </c>
      <c r="BA9">
        <v>1.8222799999999999E-3</v>
      </c>
      <c r="BB9">
        <v>1.00916E-3</v>
      </c>
      <c r="BC9">
        <v>1.8004500000000001E-3</v>
      </c>
      <c r="BD9">
        <v>2.6099000000000001E-3</v>
      </c>
      <c r="BE9">
        <v>1.24777E-3</v>
      </c>
      <c r="BF9">
        <v>2.65087E-3</v>
      </c>
      <c r="BG9">
        <v>1.00121E-3</v>
      </c>
      <c r="BH9">
        <v>1.2645600000000001E-3</v>
      </c>
      <c r="BI9">
        <v>1.91322E-3</v>
      </c>
      <c r="BJ9">
        <v>1.5575999999999999E-3</v>
      </c>
      <c r="BK9">
        <v>1.9602E-3</v>
      </c>
      <c r="BL9">
        <v>2.9959000000000001E-3</v>
      </c>
      <c r="BM9">
        <v>2.98263E-3</v>
      </c>
      <c r="BN9">
        <v>7.7128199999999998E-4</v>
      </c>
      <c r="BO9">
        <v>1.7357399999999999E-3</v>
      </c>
      <c r="BP9">
        <v>1.7713200000000001E-3</v>
      </c>
      <c r="BQ9">
        <v>2.3233899999999998E-3</v>
      </c>
      <c r="BR9">
        <v>2.56143E-3</v>
      </c>
      <c r="BS9">
        <v>3.4394600000000001E-3</v>
      </c>
      <c r="BT9">
        <v>1.5392899513239999E-3</v>
      </c>
      <c r="BU9">
        <v>2.4480898864569999E-3</v>
      </c>
      <c r="BV9">
        <v>1.346820034087E-3</v>
      </c>
      <c r="BW9">
        <v>1.8873200000000001E-3</v>
      </c>
      <c r="BX9">
        <v>1.203209976666E-3</v>
      </c>
      <c r="BY9">
        <v>1.9790299702439999E-3</v>
      </c>
      <c r="BZ9">
        <v>2.0542000420389998E-3</v>
      </c>
      <c r="CA9">
        <v>4.1397400200370001E-3</v>
      </c>
      <c r="CB9">
        <v>1.6836000140760001E-3</v>
      </c>
      <c r="CC9">
        <v>7.2384602390199995E-4</v>
      </c>
      <c r="CD9">
        <v>2.0087999291720001E-3</v>
      </c>
      <c r="CE9">
        <v>5.2309501916169999E-3</v>
      </c>
      <c r="CF9">
        <v>3.7209999281910002E-3</v>
      </c>
      <c r="CG9">
        <v>1.4324199873950001E-3</v>
      </c>
      <c r="CH9">
        <v>9.1872102348099997E-4</v>
      </c>
      <c r="CI9">
        <v>1.2960999738429999E-3</v>
      </c>
      <c r="CJ9">
        <v>3.8878798950459999E-3</v>
      </c>
      <c r="CK9">
        <v>2.8562000952660001E-3</v>
      </c>
      <c r="CL9">
        <v>1.1662000324580001E-3</v>
      </c>
      <c r="CM9">
        <v>9.4037101371200003E-4</v>
      </c>
      <c r="CN9">
        <v>1.2421800056470001E-3</v>
      </c>
      <c r="CO9">
        <v>2.8987899422650001E-3</v>
      </c>
      <c r="CP9">
        <v>1.989369979128E-3</v>
      </c>
      <c r="CQ9">
        <v>1.0401699692009999E-3</v>
      </c>
      <c r="CR9">
        <v>1.8344599520789999E-3</v>
      </c>
      <c r="CS9">
        <v>6.7620497429699998E-4</v>
      </c>
      <c r="CT9">
        <v>5.2936200518200003E-4</v>
      </c>
      <c r="CU9">
        <v>2.774979919195E-3</v>
      </c>
      <c r="CV9">
        <v>1.856700051576E-3</v>
      </c>
      <c r="CW9">
        <v>8.7391200941099999E-4</v>
      </c>
      <c r="CX9">
        <v>1.0405899956819999E-3</v>
      </c>
      <c r="CY9">
        <v>1.443239976652E-3</v>
      </c>
      <c r="CZ9">
        <v>1.6635699430480001E-3</v>
      </c>
      <c r="DA9">
        <v>4.0687401778999998E-3</v>
      </c>
      <c r="DB9">
        <v>6.2630901811600004E-4</v>
      </c>
      <c r="DC9">
        <v>3.7423899630100002E-4</v>
      </c>
      <c r="DD9">
        <v>1.66300998535E-3</v>
      </c>
      <c r="DE9">
        <v>7.3845300357800001E-4</v>
      </c>
      <c r="DF9">
        <v>2.25069001317E-4</v>
      </c>
      <c r="DG9">
        <v>1.847209990956E-3</v>
      </c>
      <c r="DH9">
        <v>2.6448999997230002E-3</v>
      </c>
      <c r="DI9">
        <v>1.2518799630929999E-3</v>
      </c>
      <c r="DJ9">
        <v>1.0183800477530001E-3</v>
      </c>
      <c r="DK9">
        <v>1.6362799797210001E-3</v>
      </c>
      <c r="DL9">
        <v>7.17587012332E-4</v>
      </c>
    </row>
    <row r="10" spans="1:121" x14ac:dyDescent="0.2">
      <c r="A10" s="1" t="s">
        <v>113</v>
      </c>
      <c r="B10">
        <v>1173.49</v>
      </c>
      <c r="C10">
        <v>620.42200000000003</v>
      </c>
      <c r="D10">
        <v>1667.29</v>
      </c>
      <c r="E10">
        <v>2093.02</v>
      </c>
      <c r="F10">
        <v>1394.2</v>
      </c>
      <c r="G10">
        <v>1782.52</v>
      </c>
      <c r="H10">
        <v>865.93</v>
      </c>
      <c r="I10">
        <v>655.09</v>
      </c>
      <c r="J10">
        <v>2638.56</v>
      </c>
      <c r="K10">
        <v>1682.76</v>
      </c>
      <c r="L10">
        <v>1519.16479492187</v>
      </c>
      <c r="M10">
        <v>729.12603759765602</v>
      </c>
      <c r="N10">
        <v>479.61399999999998</v>
      </c>
      <c r="O10">
        <v>3677.89</v>
      </c>
      <c r="P10">
        <v>2118.46</v>
      </c>
      <c r="Q10">
        <v>1971.11</v>
      </c>
      <c r="R10">
        <v>1343.51</v>
      </c>
      <c r="S10">
        <v>4007.45</v>
      </c>
      <c r="T10">
        <v>587.84199999999998</v>
      </c>
      <c r="U10">
        <v>2124.02</v>
      </c>
      <c r="V10">
        <v>1524.34</v>
      </c>
      <c r="W10">
        <v>1723.68</v>
      </c>
      <c r="X10">
        <v>1392.63</v>
      </c>
      <c r="Y10">
        <v>2147.91</v>
      </c>
      <c r="Z10">
        <v>703.4</v>
      </c>
      <c r="AA10">
        <v>634.49699999999996</v>
      </c>
      <c r="AB10">
        <v>634.49699999999996</v>
      </c>
      <c r="AC10">
        <v>1070.17</v>
      </c>
      <c r="AD10">
        <v>1086.33</v>
      </c>
      <c r="AE10">
        <v>1098.3399999999999</v>
      </c>
      <c r="AF10">
        <v>1770.15</v>
      </c>
      <c r="AG10">
        <v>1013.5</v>
      </c>
      <c r="AH10">
        <v>926.70899999999995</v>
      </c>
      <c r="AI10">
        <v>700.34699999999998</v>
      </c>
      <c r="AJ10">
        <v>917.65099999999995</v>
      </c>
      <c r="AK10">
        <v>1967.16</v>
      </c>
      <c r="AL10">
        <v>2571.0500000000002</v>
      </c>
      <c r="AM10">
        <v>1311</v>
      </c>
      <c r="AN10">
        <v>-2986.3420999999998</v>
      </c>
      <c r="AO10">
        <v>1414.76</v>
      </c>
      <c r="AP10">
        <v>736.73099999999999</v>
      </c>
      <c r="AQ10">
        <v>755.01700000000005</v>
      </c>
      <c r="AR10">
        <v>1766.99</v>
      </c>
      <c r="AS10">
        <v>5208.6000000000004</v>
      </c>
      <c r="AT10">
        <v>2785.52</v>
      </c>
      <c r="AU10">
        <v>3118.72</v>
      </c>
      <c r="AV10">
        <v>1841.79</v>
      </c>
      <c r="AW10">
        <v>659.15499999999997</v>
      </c>
      <c r="AX10">
        <v>1410.85</v>
      </c>
      <c r="AY10">
        <v>654.15300000000002</v>
      </c>
      <c r="AZ10">
        <v>1005.57</v>
      </c>
      <c r="BA10">
        <f>-940.887</f>
        <v>-940.88699999999994</v>
      </c>
      <c r="BB10">
        <v>1524.56</v>
      </c>
      <c r="BC10">
        <v>1038.42</v>
      </c>
      <c r="BD10">
        <v>445.02</v>
      </c>
      <c r="BE10">
        <v>1310.4000000000001</v>
      </c>
      <c r="BF10">
        <v>1281.57</v>
      </c>
      <c r="BG10">
        <v>1173.93</v>
      </c>
      <c r="BH10">
        <v>-6856.76</v>
      </c>
      <c r="BI10">
        <v>-4398.87</v>
      </c>
      <c r="BJ10">
        <v>561.52300000000002</v>
      </c>
      <c r="BK10">
        <v>722.41200000000003</v>
      </c>
      <c r="BL10">
        <v>848.32799999999997</v>
      </c>
      <c r="BM10">
        <v>1454.6</v>
      </c>
      <c r="BN10">
        <v>1976.53</v>
      </c>
      <c r="BO10">
        <v>866.79700000000003</v>
      </c>
      <c r="BP10">
        <v>857.77599999999995</v>
      </c>
      <c r="BQ10">
        <v>1878.54</v>
      </c>
      <c r="BR10">
        <v>308.923</v>
      </c>
      <c r="BS10">
        <v>541.46699999999998</v>
      </c>
      <c r="BT10">
        <v>505.92</v>
      </c>
      <c r="BU10">
        <v>634.99599999999998</v>
      </c>
      <c r="BV10">
        <v>339.60700000000003</v>
      </c>
      <c r="BW10">
        <v>1011.37</v>
      </c>
      <c r="BX10">
        <v>1849.37</v>
      </c>
      <c r="BY10">
        <v>1124.4100000000001</v>
      </c>
      <c r="BZ10">
        <v>532.58000000000004</v>
      </c>
      <c r="CA10">
        <v>999.85699999999997</v>
      </c>
      <c r="CB10">
        <v>199.87200000000001</v>
      </c>
      <c r="CC10">
        <v>9715.42</v>
      </c>
      <c r="CD10">
        <v>1260.4100000000001</v>
      </c>
      <c r="CE10">
        <v>3263.32</v>
      </c>
      <c r="CF10">
        <v>893.92499999999995</v>
      </c>
      <c r="CG10">
        <v>917.40599999999995</v>
      </c>
      <c r="CH10">
        <v>765.31399999999996</v>
      </c>
      <c r="CI10">
        <v>-2017.05</v>
      </c>
      <c r="CJ10">
        <v>694.66700000000003</v>
      </c>
      <c r="CK10">
        <v>782.04899999999998</v>
      </c>
      <c r="CL10">
        <v>2487.5100000000002</v>
      </c>
      <c r="CM10">
        <v>-75253.5</v>
      </c>
      <c r="CN10">
        <v>500.21800000000002</v>
      </c>
      <c r="CO10">
        <v>665.50599999999997</v>
      </c>
      <c r="CP10">
        <v>528.50099999999998</v>
      </c>
      <c r="CQ10">
        <v>1106.67</v>
      </c>
      <c r="CR10">
        <v>586.81299999999999</v>
      </c>
      <c r="CS10">
        <v>641.505</v>
      </c>
      <c r="CT10">
        <v>2407.0700000000002</v>
      </c>
      <c r="CU10">
        <v>721.66399999999999</v>
      </c>
      <c r="CV10">
        <v>667.83299999999997</v>
      </c>
      <c r="CW10">
        <v>599.54999999999995</v>
      </c>
      <c r="CX10">
        <v>1678.89</v>
      </c>
      <c r="CY10">
        <v>918.37900000000002</v>
      </c>
      <c r="CZ10">
        <v>814.16899999999998</v>
      </c>
      <c r="DA10">
        <v>654.96500000000003</v>
      </c>
      <c r="DB10">
        <v>940.92700000000002</v>
      </c>
      <c r="DC10">
        <v>2286.3119999999999</v>
      </c>
      <c r="DD10">
        <v>2557.6460000000002</v>
      </c>
      <c r="DE10">
        <v>968.99</v>
      </c>
      <c r="DF10">
        <v>927.95799999999997</v>
      </c>
      <c r="DG10">
        <v>1074.01</v>
      </c>
      <c r="DH10">
        <v>1034.44</v>
      </c>
      <c r="DI10">
        <v>632.40300000000002</v>
      </c>
      <c r="DJ10">
        <v>7316.53</v>
      </c>
      <c r="DK10">
        <v>1010.9</v>
      </c>
      <c r="DL10">
        <v>3183.08</v>
      </c>
      <c r="DQ10" s="7"/>
    </row>
    <row r="11" spans="1:121" x14ac:dyDescent="0.2">
      <c r="A11" s="1" t="s">
        <v>117</v>
      </c>
      <c r="B11">
        <f>ABS((B10*(0.000000000001))*(B8*(0.001)))</f>
        <v>6.3918005367000011E-14</v>
      </c>
      <c r="C11">
        <f t="shared" ref="C11:BS11" si="0">ABS((C10*(0.000000000001))*(C8*(0.001)))</f>
        <v>3.1770135480600002E-14</v>
      </c>
      <c r="D11">
        <f t="shared" si="0"/>
        <v>1.2816808360899998E-13</v>
      </c>
      <c r="E11">
        <f t="shared" si="0"/>
        <v>6.4393644017999992E-14</v>
      </c>
      <c r="F11">
        <f t="shared" si="0"/>
        <v>4.1415547519999996E-14</v>
      </c>
      <c r="G11">
        <f>ABS((G10*(0.000000000001))*(G8*(0.001)))</f>
        <v>3.3665207476000001E-13</v>
      </c>
      <c r="H11">
        <f t="shared" si="0"/>
        <v>6.1017497671000003E-14</v>
      </c>
      <c r="I11">
        <f>ABS((I10*(0.000000000001))*(I8*(0.001)))</f>
        <v>5.2679979476000002E-14</v>
      </c>
      <c r="J11">
        <f>ABS((J10*(0.000000000001))*(J8*(0.001)))</f>
        <v>9.7134628560000011E-14</v>
      </c>
      <c r="K11">
        <f t="shared" si="0"/>
        <v>7.2663764387999993E-14</v>
      </c>
      <c r="L11">
        <f t="shared" si="0"/>
        <v>9.8133792090527007E-14</v>
      </c>
      <c r="M11">
        <f t="shared" si="0"/>
        <v>5.963441657647093E-14</v>
      </c>
      <c r="N11">
        <f t="shared" si="0"/>
        <v>8.6219729166000003E-14</v>
      </c>
      <c r="O11">
        <f t="shared" si="0"/>
        <v>3.4892032093299999E-13</v>
      </c>
      <c r="P11">
        <f t="shared" ref="P11" si="1">ABS((P10*(0.000000000001))*(P8*(0.001)))</f>
        <v>2.9719875340000001E-13</v>
      </c>
      <c r="Q11">
        <f t="shared" si="0"/>
        <v>9.3769842030999991E-14</v>
      </c>
      <c r="R11">
        <f t="shared" si="0"/>
        <v>5.7659015617000007E-14</v>
      </c>
      <c r="S11">
        <f t="shared" si="0"/>
        <v>2.4717550854999997E-13</v>
      </c>
      <c r="T11">
        <f t="shared" si="0"/>
        <v>6.3687977963999988E-14</v>
      </c>
      <c r="U11">
        <f t="shared" ref="U11" si="2">ABS((U10*(0.000000000001))*(U8*(0.001)))</f>
        <v>2.10064728392E-13</v>
      </c>
      <c r="V11">
        <f t="shared" si="0"/>
        <v>5.8655231293999996E-14</v>
      </c>
      <c r="W11">
        <f t="shared" ref="W11" si="3">ABS((W10*(0.000000000001))*(W8*(0.001)))</f>
        <v>9.7112172353268513E-14</v>
      </c>
      <c r="X11">
        <f t="shared" si="0"/>
        <v>5.6914977681000017E-14</v>
      </c>
      <c r="Y11">
        <f t="shared" ref="Y11" si="4">ABS((Y10*(0.000000000001))*(Y8*(0.001)))</f>
        <v>3.8800275821999999E-13</v>
      </c>
      <c r="Z11">
        <f t="shared" si="0"/>
        <v>3.3474243280000001E-14</v>
      </c>
      <c r="AA11">
        <f t="shared" si="0"/>
        <v>1.92511465776E-14</v>
      </c>
      <c r="AB11">
        <f t="shared" si="0"/>
        <v>1.9583813354699995E-14</v>
      </c>
      <c r="AC11">
        <f t="shared" si="0"/>
        <v>1.2688791656000001E-13</v>
      </c>
      <c r="AD11">
        <f t="shared" si="0"/>
        <v>4.3809950771999995E-14</v>
      </c>
      <c r="AE11">
        <f t="shared" si="0"/>
        <v>6.8273253736000002E-14</v>
      </c>
      <c r="AF11">
        <f t="shared" si="0"/>
        <v>4.3495594755000006E-14</v>
      </c>
      <c r="AG11">
        <f t="shared" si="0"/>
        <v>2.3971099300000002E-14</v>
      </c>
      <c r="AH11">
        <f t="shared" si="0"/>
        <v>4.7001197745599995E-14</v>
      </c>
      <c r="AI11">
        <f t="shared" si="0"/>
        <v>6.75559618629E-14</v>
      </c>
      <c r="AJ11">
        <f t="shared" ref="AJ11:AK11" si="5">ABS((AJ10*(0.000000000001))*(AJ8*(0.001)))</f>
        <v>1.10709087244E-13</v>
      </c>
      <c r="AK11">
        <f t="shared" si="5"/>
        <v>1.5602273809200001E-13</v>
      </c>
      <c r="AL11">
        <f t="shared" ref="AL11" si="6">ABS((AL10*(0.000000000001))*(AL8*(0.001)))</f>
        <v>2.0363384473000002E-13</v>
      </c>
      <c r="AM11">
        <f t="shared" si="0"/>
        <v>7.5345529800000005E-14</v>
      </c>
      <c r="AN11">
        <f t="shared" ref="AN11" si="7">ABS((AN10*(0.000000000001))*(AN8*(0.001)))</f>
        <v>1.4093160056807002E-13</v>
      </c>
      <c r="AO11">
        <f t="shared" si="0"/>
        <v>4.4405213596000002E-14</v>
      </c>
      <c r="AP11">
        <f t="shared" si="0"/>
        <v>2.5034119380000002E-14</v>
      </c>
      <c r="AQ11">
        <f t="shared" si="0"/>
        <v>6.0878306608408358E-14</v>
      </c>
      <c r="AR11">
        <f t="shared" ref="AR11:AS11" si="8">ABS((AR10*(0.000000000001))*(AR8*(0.001)))</f>
        <v>3.2283790795000002E-13</v>
      </c>
      <c r="AS11">
        <f t="shared" si="8"/>
        <v>4.0752190572000003E-13</v>
      </c>
      <c r="AT11">
        <f t="shared" ref="AT11:AU11" si="9">ABS((AT10*(0.000000000001))*(AT8*(0.001)))</f>
        <v>2.1648309349600004E-13</v>
      </c>
      <c r="AU11">
        <f t="shared" si="9"/>
        <v>2.8164692511999996E-13</v>
      </c>
      <c r="AV11">
        <f t="shared" ref="AV11" si="10">ABS((AV10*(0.000000000001))*(AV8*(0.001)))</f>
        <v>1.2523472119800001E-13</v>
      </c>
      <c r="AW11">
        <f t="shared" si="0"/>
        <v>5.3171726807499998E-14</v>
      </c>
      <c r="AX11">
        <f t="shared" si="0"/>
        <v>8.7737657630000007E-14</v>
      </c>
      <c r="AY11">
        <f t="shared" ref="AY11" si="11">ABS((AY10*(0.000000000001))*(AY8*(0.001)))</f>
        <v>1.0765395921E-13</v>
      </c>
      <c r="AZ11">
        <f t="shared" si="0"/>
        <v>4.682883229751115E-14</v>
      </c>
      <c r="BA11">
        <f t="shared" si="0"/>
        <v>8.5458978524699993E-14</v>
      </c>
      <c r="BB11">
        <f t="shared" si="0"/>
        <v>4.1821577464E-14</v>
      </c>
      <c r="BC11">
        <f t="shared" si="0"/>
        <v>2.0836104983999998E-14</v>
      </c>
      <c r="BD11">
        <f t="shared" si="0"/>
        <v>8.7415278599999993E-14</v>
      </c>
      <c r="BE11">
        <f t="shared" si="0"/>
        <v>7.83337464E-14</v>
      </c>
      <c r="BF11">
        <f t="shared" si="0"/>
        <v>1.21281505107E-13</v>
      </c>
      <c r="BG11">
        <f t="shared" ref="BG11:BH11" si="12">ABS((BG10*(0.000000000001))*(BG8*(0.001)))</f>
        <v>1.7744304129000004E-13</v>
      </c>
      <c r="BH11">
        <f t="shared" si="12"/>
        <v>7.2726910615999996E-13</v>
      </c>
      <c r="BI11">
        <f t="shared" ref="BI11" si="13">ABS((BI10*(0.000000000001))*(BI8*(0.001)))</f>
        <v>1.8278448556200003E-13</v>
      </c>
      <c r="BJ11">
        <f t="shared" si="0"/>
        <v>3.4103032511299998E-14</v>
      </c>
      <c r="BK11">
        <f t="shared" si="0"/>
        <v>4.5134351247599998E-14</v>
      </c>
      <c r="BL11">
        <f t="shared" si="0"/>
        <v>5.4771448991999998E-14</v>
      </c>
      <c r="BM11">
        <f>ABS((BM10*(0.000000000001))*(BM8*(0.001)))</f>
        <v>4.8561239159999995E-14</v>
      </c>
      <c r="BN11">
        <f>ABS((BN10*(0.000000000001))*(BN8*(0.001)))</f>
        <v>1.2015068921100002E-13</v>
      </c>
      <c r="BO11">
        <f t="shared" si="0"/>
        <v>4.5332182904499999E-14</v>
      </c>
      <c r="BP11">
        <f t="shared" si="0"/>
        <v>3.9866683596800004E-14</v>
      </c>
      <c r="BQ11">
        <f t="shared" si="0"/>
        <v>6.2772916932000006E-14</v>
      </c>
      <c r="BR11">
        <f t="shared" si="0"/>
        <v>3.1557720141999999E-14</v>
      </c>
      <c r="BS11">
        <f t="shared" si="0"/>
        <v>3.7316714412599999E-14</v>
      </c>
      <c r="BT11">
        <f t="shared" ref="BT11" si="14">ABS((BT10*(0.000000000001))*(BT8*(0.001)))</f>
        <v>7.2507659897804499E-14</v>
      </c>
      <c r="BU11">
        <f t="shared" ref="BU11:BV11" si="15">ABS((BU10*(0.000000000001))*(BU8*(0.001)))</f>
        <v>5.242494036418218E-14</v>
      </c>
      <c r="BV11">
        <f t="shared" si="15"/>
        <v>7.8035580797046317E-14</v>
      </c>
      <c r="BW11">
        <f t="shared" ref="BW11:BX11" si="16">ABS((BW10*(0.000000000001))*(BW8*(0.001)))</f>
        <v>4.3081732437999999E-14</v>
      </c>
      <c r="BX11">
        <f t="shared" si="16"/>
        <v>5.9116515077315305E-14</v>
      </c>
      <c r="BY11">
        <f t="shared" ref="BY11:BZ11" si="17">ABS((BY10*(0.000000000001))*(BY8*(0.001)))</f>
        <v>6.3690267548859681E-14</v>
      </c>
      <c r="BZ11">
        <f t="shared" si="17"/>
        <v>1.9958043233230687E-14</v>
      </c>
      <c r="CA11">
        <f t="shared" ref="CA11:CB11" si="18">ABS((CA10*(0.000000000001))*(CA8*(0.001)))</f>
        <v>5.0152046884003712E-14</v>
      </c>
      <c r="CB11">
        <f t="shared" si="18"/>
        <v>2.8197356420516983E-14</v>
      </c>
      <c r="CC11">
        <f t="shared" ref="CC11" si="19">ABS((CC10*(0.000000000001))*(CC8*(0.001)))</f>
        <v>3.4074346966340945E-13</v>
      </c>
      <c r="CD11">
        <f t="shared" ref="CD11:CF11" si="20">ABS((CD10*(0.000000000001))*(CD8*(0.001)))</f>
        <v>5.2707788291051819E-14</v>
      </c>
      <c r="CE11">
        <f t="shared" ref="CE11" si="21">ABS((CE10*(0.000000000001))*(CE8*(0.001)))</f>
        <v>1.9783248360544528E-13</v>
      </c>
      <c r="CF11">
        <f t="shared" si="20"/>
        <v>5.5692706669773781E-14</v>
      </c>
      <c r="CG11">
        <f t="shared" ref="CG11:CH11" si="22">ABS((CG10*(0.000000000001))*(CG8*(0.001)))</f>
        <v>3.0860397249497619E-14</v>
      </c>
      <c r="CH11">
        <f t="shared" si="22"/>
        <v>1.7070029852062202E-14</v>
      </c>
      <c r="CI11">
        <f t="shared" ref="CI11" si="23">ABS((CI10*(0.000000000001))*(CI8*(0.001)))</f>
        <v>2.4752441736683165E-13</v>
      </c>
      <c r="CJ11">
        <f t="shared" ref="CJ11:CK11" si="24">ABS((CJ10*(0.000000000001))*(CJ8*(0.001)))</f>
        <v>1.0871165677992973E-13</v>
      </c>
      <c r="CK11">
        <f t="shared" si="24"/>
        <v>3.9564902711257021E-14</v>
      </c>
      <c r="CL11">
        <f t="shared" ref="CL11:CM11" si="25">ABS((CL10*(0.000000000001))*(CL8*(0.001)))</f>
        <v>3.366380062969029E-13</v>
      </c>
      <c r="CM11">
        <f t="shared" si="25"/>
        <v>3.2140799774285618E-12</v>
      </c>
      <c r="CN11">
        <f t="shared" ref="CN11:CP11" si="26">ABS((CN10*(0.000000000001))*(CN8*(0.001)))</f>
        <v>7.4679808898985421E-14</v>
      </c>
      <c r="CO11">
        <f t="shared" si="26"/>
        <v>1.1634693622219541E-13</v>
      </c>
      <c r="CP11">
        <f t="shared" si="26"/>
        <v>5.9677120734438457E-14</v>
      </c>
      <c r="CQ11">
        <f t="shared" ref="CQ11:DK11" si="27">ABS((CQ10*(0.000000000001))*(CQ8*(0.001)))</f>
        <v>1.9946134186819163E-13</v>
      </c>
      <c r="CR11">
        <f t="shared" si="27"/>
        <v>6.4223087544769074E-14</v>
      </c>
      <c r="CS11">
        <f t="shared" si="27"/>
        <v>3.6916910040154771E-14</v>
      </c>
      <c r="CT11">
        <f t="shared" ref="CT11" si="28">ABS((CT10*(0.000000000001))*(CT8*(0.001)))</f>
        <v>1.9673610964827361E-13</v>
      </c>
      <c r="CU11">
        <f t="shared" si="27"/>
        <v>3.6236144062996228E-14</v>
      </c>
      <c r="CV11">
        <f t="shared" si="27"/>
        <v>4.5734651714511282E-14</v>
      </c>
      <c r="CW11">
        <f t="shared" si="27"/>
        <v>6.0304288680106159E-14</v>
      </c>
      <c r="CX11">
        <f t="shared" si="27"/>
        <v>6.5530017198397889E-14</v>
      </c>
      <c r="CY11">
        <f t="shared" si="27"/>
        <v>3.7779331765092821E-14</v>
      </c>
      <c r="CZ11">
        <f t="shared" si="27"/>
        <v>9.9263324350349971E-14</v>
      </c>
      <c r="DA11">
        <f t="shared" si="27"/>
        <v>1.1434164766058357E-13</v>
      </c>
      <c r="DB11">
        <f t="shared" si="27"/>
        <v>5.9563082406483744E-14</v>
      </c>
      <c r="DC11">
        <f t="shared" ref="DC11:DD11" si="29">ABS((DC10*(0.000000000001))*(DC8*(0.001)))</f>
        <v>2.5789364765632122E-13</v>
      </c>
      <c r="DD11">
        <f t="shared" si="29"/>
        <v>1.621426948388364E-13</v>
      </c>
      <c r="DE11">
        <f t="shared" si="27"/>
        <v>7.6189258277118262E-14</v>
      </c>
      <c r="DF11">
        <f t="shared" si="27"/>
        <v>3.0101940521657167E-14</v>
      </c>
      <c r="DG11">
        <f t="shared" si="27"/>
        <v>4.5653243432231212E-14</v>
      </c>
      <c r="DH11">
        <f t="shared" si="27"/>
        <v>1.4655155392348769E-13</v>
      </c>
      <c r="DI11">
        <f t="shared" si="27"/>
        <v>2.6636050095151969E-14</v>
      </c>
      <c r="DJ11">
        <f t="shared" ref="DJ11" si="30">ABS((DJ10*(0.000000000001))*(DJ8*(0.001)))</f>
        <v>2.1747588373085384E-13</v>
      </c>
      <c r="DK11">
        <f t="shared" si="27"/>
        <v>4.4240435238182843E-14</v>
      </c>
      <c r="DL11">
        <f t="shared" ref="DL11" si="31">ABS((DL10*(0.000000000001))*(DL8*(0.001)))</f>
        <v>7.894712155275037E-14</v>
      </c>
    </row>
    <row r="12" spans="1:121" x14ac:dyDescent="0.2">
      <c r="A12" s="1" t="s">
        <v>116</v>
      </c>
      <c r="B12">
        <f>ABS(((B5*(0.001)*(0.000000000001))/(B6*(0.001)))*(1000000000000))</f>
        <v>12.113899999999999</v>
      </c>
      <c r="C12">
        <f t="shared" ref="C12:BP12" si="32">ABS(((C5*(0.001)*(0.000000000001))/(C6*(0.001)))*(1000000000000))</f>
        <v>6.0384500000000001</v>
      </c>
      <c r="D12">
        <f t="shared" si="32"/>
        <v>17.236699999999999</v>
      </c>
      <c r="E12">
        <f t="shared" si="32"/>
        <v>15.6586</v>
      </c>
      <c r="F12">
        <f t="shared" si="32"/>
        <v>8.2015600000000006</v>
      </c>
      <c r="G12">
        <f t="shared" si="32"/>
        <v>10.640260000000001</v>
      </c>
      <c r="H12">
        <f t="shared" si="32"/>
        <v>8.7934799999999989</v>
      </c>
      <c r="I12">
        <f t="shared" si="32"/>
        <v>9.6804799999999993</v>
      </c>
      <c r="J12">
        <f t="shared" si="32"/>
        <v>3.3755800000000002</v>
      </c>
      <c r="K12">
        <f t="shared" si="32"/>
        <v>11.674200000000001</v>
      </c>
      <c r="L12">
        <f t="shared" si="32"/>
        <v>15.939300000000001</v>
      </c>
      <c r="M12">
        <f t="shared" si="32"/>
        <v>8.1400699999999997</v>
      </c>
      <c r="N12">
        <f t="shared" si="32"/>
        <v>11.2399</v>
      </c>
      <c r="O12">
        <f t="shared" si="32"/>
        <v>11.81176</v>
      </c>
      <c r="P12">
        <f t="shared" si="32"/>
        <v>8.8528000000000002</v>
      </c>
      <c r="Q12">
        <f t="shared" si="32"/>
        <v>13.881800000000002</v>
      </c>
      <c r="R12">
        <f t="shared" si="32"/>
        <v>9.6837</v>
      </c>
      <c r="S12">
        <f t="shared" si="32"/>
        <v>8.9057199999999987</v>
      </c>
      <c r="T12">
        <f t="shared" si="32"/>
        <v>9.8322151184082003</v>
      </c>
      <c r="U12">
        <f t="shared" si="32"/>
        <v>7.1659000000000006</v>
      </c>
      <c r="V12">
        <f t="shared" si="32"/>
        <v>10.207099999999999</v>
      </c>
      <c r="W12">
        <f t="shared" ref="W12" si="33">ABS(((W5*(0.001)*(0.000000000001))/(W6*(0.001)))*(1000000000000))</f>
        <v>3.9818799999999999</v>
      </c>
      <c r="X12">
        <f t="shared" si="32"/>
        <v>11.370899999999999</v>
      </c>
      <c r="Y12">
        <f t="shared" si="32"/>
        <v>8.2782909090909094</v>
      </c>
      <c r="Z12">
        <f t="shared" si="32"/>
        <v>7.5082199999999997</v>
      </c>
      <c r="AA12">
        <f t="shared" si="32"/>
        <v>3.9056300000000004</v>
      </c>
      <c r="AB12">
        <f t="shared" si="32"/>
        <v>3.7520999999999995</v>
      </c>
      <c r="AC12">
        <f t="shared" si="32"/>
        <v>22.079699999999999</v>
      </c>
      <c r="AD12">
        <f t="shared" si="32"/>
        <v>7.3243400000000003</v>
      </c>
      <c r="AE12">
        <f t="shared" si="32"/>
        <v>11.232800000000001</v>
      </c>
      <c r="AF12">
        <f t="shared" si="32"/>
        <v>9.1960200000000007</v>
      </c>
      <c r="AG12">
        <f t="shared" si="32"/>
        <v>5.3214700000000006</v>
      </c>
      <c r="AH12">
        <f t="shared" si="32"/>
        <v>7.132299999999999</v>
      </c>
      <c r="AI12">
        <f t="shared" si="32"/>
        <v>11.391399999999999</v>
      </c>
      <c r="AJ12">
        <f t="shared" si="32"/>
        <v>6.7967399999999998</v>
      </c>
      <c r="AK12">
        <f t="shared" si="32"/>
        <v>8.0418000000000003</v>
      </c>
      <c r="AL12">
        <f t="shared" si="32"/>
        <v>6.3560999999999996</v>
      </c>
      <c r="AM12">
        <f t="shared" si="32"/>
        <v>13.986799999999999</v>
      </c>
      <c r="AN12">
        <f t="shared" ref="AN12" si="34">ABS(((AN5*(0.001)*(0.000000000001))/(AN6*(0.001)))*(1000000000000))</f>
        <v>7.5558999999999994</v>
      </c>
      <c r="AO12">
        <f t="shared" si="32"/>
        <v>8.4941899999999997</v>
      </c>
      <c r="AP12">
        <f t="shared" si="32"/>
        <v>4.51173</v>
      </c>
      <c r="AQ12">
        <f t="shared" si="32"/>
        <v>10.858700000000001</v>
      </c>
      <c r="AR12">
        <f t="shared" si="32"/>
        <v>10.029174999999999</v>
      </c>
      <c r="AS12">
        <f t="shared" si="32"/>
        <v>10.778742857142856</v>
      </c>
      <c r="AT12">
        <f t="shared" si="32"/>
        <v>9.1349</v>
      </c>
      <c r="AU12">
        <f t="shared" si="32"/>
        <v>10.781749999999999</v>
      </c>
      <c r="AV12">
        <f t="shared" si="32"/>
        <v>5.5575000000000001</v>
      </c>
      <c r="AW12">
        <f t="shared" si="32"/>
        <v>8.205680000000001</v>
      </c>
      <c r="AX12">
        <f t="shared" si="32"/>
        <v>12.525600000000001</v>
      </c>
      <c r="AY12">
        <f t="shared" si="32"/>
        <v>3.3341000000000003</v>
      </c>
      <c r="AZ12">
        <f t="shared" si="32"/>
        <v>7.6985200000000003</v>
      </c>
      <c r="BA12">
        <f t="shared" si="32"/>
        <v>11.402500000000002</v>
      </c>
      <c r="BB12">
        <f t="shared" si="32"/>
        <v>8.3568300000000004</v>
      </c>
      <c r="BC12">
        <f t="shared" si="32"/>
        <v>4.8811099999999996</v>
      </c>
      <c r="BD12">
        <f t="shared" si="32"/>
        <v>9.6532999999999998</v>
      </c>
      <c r="BE12">
        <f t="shared" si="32"/>
        <v>13.239799999999997</v>
      </c>
      <c r="BF12">
        <f t="shared" si="32"/>
        <v>15.571600000000004</v>
      </c>
      <c r="BG12">
        <f t="shared" si="32"/>
        <v>6.3075750000000008</v>
      </c>
      <c r="BH12">
        <f t="shared" si="32"/>
        <v>16.960060000000002</v>
      </c>
      <c r="BI12">
        <f t="shared" si="32"/>
        <v>9.9323750000000004</v>
      </c>
      <c r="BJ12">
        <f t="shared" si="32"/>
        <v>5.2243599999999999</v>
      </c>
      <c r="BK12">
        <f t="shared" si="32"/>
        <v>5.9011200000000006</v>
      </c>
      <c r="BL12">
        <f t="shared" si="32"/>
        <v>9.0936500000000002</v>
      </c>
      <c r="BM12">
        <f t="shared" si="32"/>
        <v>8.3955900000000003</v>
      </c>
      <c r="BN12">
        <f t="shared" si="32"/>
        <v>3.5406400000000002</v>
      </c>
      <c r="BO12">
        <f t="shared" si="32"/>
        <v>6.8771099999999992</v>
      </c>
      <c r="BP12">
        <f t="shared" si="32"/>
        <v>6.1967100000000004</v>
      </c>
      <c r="BQ12">
        <f t="shared" ref="BQ12:BS12" si="35">ABS(((BQ5*(0.001)*(0.000000000001))/(BQ6*(0.001)))*(1000000000000))</f>
        <v>11.364100000000001</v>
      </c>
      <c r="BR12">
        <f t="shared" si="35"/>
        <v>4.9254600000000002</v>
      </c>
      <c r="BS12">
        <f t="shared" si="35"/>
        <v>6.6513400000000003</v>
      </c>
      <c r="BT12">
        <f t="shared" ref="BT12" si="36">ABS(((BT5*(0.001)*(0.000000000001))/(BT6*(0.001)))*(1000000000000))</f>
        <v>10.415699999999999</v>
      </c>
      <c r="BU12">
        <f t="shared" ref="BU12:BV12" si="37">ABS(((BU5*(0.001)*(0.000000000001))/(BU6*(0.001)))*(1000000000000))</f>
        <v>8.6385299999999994</v>
      </c>
      <c r="BV12">
        <f t="shared" si="37"/>
        <v>10.010399999999999</v>
      </c>
      <c r="BW12">
        <f t="shared" ref="BW12:BX12" si="38">ABS(((BW5*(0.001)*(0.000000000001))/(BW6*(0.001)))*(1000000000000))</f>
        <v>8.5569999999999986</v>
      </c>
      <c r="BX12">
        <f t="shared" si="38"/>
        <v>13.086799999999998</v>
      </c>
      <c r="BY12">
        <f t="shared" ref="BY12:BZ12" si="39">ABS(((BY5*(0.001)*(0.000000000001))/(BY6*(0.001)))*(1000000000000))</f>
        <v>11.2334</v>
      </c>
      <c r="BZ12">
        <f t="shared" si="39"/>
        <v>4.7676499999999997</v>
      </c>
      <c r="CA12">
        <f t="shared" ref="CA12:CB12" si="40">ABS(((CA5*(0.001)*(0.000000000001))/(CA6*(0.001)))*(1000000000000))</f>
        <v>8.4612300000000005</v>
      </c>
      <c r="CB12">
        <f t="shared" si="40"/>
        <v>4.3570500000000001</v>
      </c>
      <c r="CC12">
        <f t="shared" ref="CC12" si="41">ABS(((CC5*(0.001)*(0.000000000001))/(CC6*(0.001)))*(1000000000000))</f>
        <v>13.706439999999999</v>
      </c>
      <c r="CD12">
        <f t="shared" ref="CD12:CF12" si="42">ABS(((CD5*(0.001)*(0.000000000001))/(CD6*(0.001)))*(1000000000000))</f>
        <v>8.7347899999999985</v>
      </c>
      <c r="CE12">
        <f t="shared" ref="CE12" si="43">ABS(((CE5*(0.001)*(0.000000000001))/(CE6*(0.001)))*(1000000000000))</f>
        <v>6.6031999999999993</v>
      </c>
      <c r="CF12">
        <f t="shared" si="42"/>
        <v>9.1667299999999994</v>
      </c>
      <c r="CG12">
        <f t="shared" ref="CG12:CH12" si="44">ABS(((CG5*(0.001)*(0.000000000001))/(CG6*(0.001)))*(1000000000000))</f>
        <v>5.6614499999999994</v>
      </c>
      <c r="CH12">
        <f t="shared" si="44"/>
        <v>4.1666500000000006</v>
      </c>
      <c r="CI12">
        <f t="shared" ref="CI12" si="45">ABS(((CI5*(0.001)*(0.000000000001))/(CI6*(0.001)))*(1000000000000))</f>
        <v>7.6422199999999973</v>
      </c>
      <c r="CJ12">
        <f t="shared" ref="CJ12:CK12" si="46">ABS(((CJ5*(0.001)*(0.000000000001))/(CJ6*(0.001)))*(1000000000000))</f>
        <v>13.415700000000001</v>
      </c>
      <c r="CK12">
        <f t="shared" si="46"/>
        <v>6.1776500000000008</v>
      </c>
      <c r="CL12">
        <f t="shared" ref="CL12:CM12" si="47">ABS(((CL5*(0.001)*(0.000000000001))/(CL6*(0.001)))*(1000000000000))</f>
        <v>12.617739999999998</v>
      </c>
      <c r="CM12">
        <f t="shared" si="47"/>
        <v>6.2220444444444452</v>
      </c>
      <c r="CN12">
        <f t="shared" ref="CN12:CP12" si="48">ABS(((CN5*(0.001)*(0.000000000001))/(CN6*(0.001)))*(1000000000000))</f>
        <v>10.751000000000001</v>
      </c>
      <c r="CO12">
        <f t="shared" si="48"/>
        <v>15.4544</v>
      </c>
      <c r="CP12">
        <f t="shared" si="48"/>
        <v>8.3365100000000005</v>
      </c>
      <c r="CQ12">
        <f t="shared" ref="CQ12:DK12" si="49">ABS(((CQ5*(0.001)*(0.000000000001))/(CQ6*(0.001)))*(1000000000000))</f>
        <v>25.637599999999996</v>
      </c>
      <c r="CR12">
        <f t="shared" si="49"/>
        <v>10.218300000000001</v>
      </c>
      <c r="CS12">
        <f t="shared" si="49"/>
        <v>7.78939</v>
      </c>
      <c r="CT12">
        <f t="shared" ref="CT12" si="50">ABS(((CT5*(0.001)*(0.000000000001))/(CT6*(0.001)))*(1000000000000))</f>
        <v>6.1748199999999995</v>
      </c>
      <c r="CU12">
        <f t="shared" si="49"/>
        <v>5.4468800000000002</v>
      </c>
      <c r="CV12">
        <f t="shared" si="49"/>
        <v>9.859020000000001</v>
      </c>
      <c r="CW12">
        <f t="shared" si="49"/>
        <v>9.7858500000000017</v>
      </c>
      <c r="CX12">
        <f t="shared" si="49"/>
        <v>11.223700000000001</v>
      </c>
      <c r="CY12">
        <f t="shared" si="49"/>
        <v>6.0404094696044899</v>
      </c>
      <c r="CZ12">
        <f t="shared" si="49"/>
        <v>13.052999999999999</v>
      </c>
      <c r="DA12">
        <f t="shared" si="49"/>
        <v>13.132699999999998</v>
      </c>
      <c r="DB12">
        <f t="shared" si="49"/>
        <v>8.9482099999999996</v>
      </c>
      <c r="DC12">
        <f t="shared" ref="DC12:DD12" si="51">ABS(((DC5*(0.001)*(0.000000000001))/(DC6*(0.001)))*(1000000000000))</f>
        <v>10.469780000000002</v>
      </c>
      <c r="DD12">
        <f t="shared" si="51"/>
        <v>6.7215799999999994</v>
      </c>
      <c r="DE12">
        <f t="shared" si="49"/>
        <v>14.142199999999997</v>
      </c>
      <c r="DF12">
        <f t="shared" si="49"/>
        <v>6.4586300000000003</v>
      </c>
      <c r="DG12">
        <f t="shared" si="49"/>
        <v>7.3618799999999993</v>
      </c>
      <c r="DH12">
        <f t="shared" si="49"/>
        <v>21.845500000000001</v>
      </c>
      <c r="DI12">
        <f t="shared" si="49"/>
        <v>7.4458099999999989</v>
      </c>
      <c r="DJ12">
        <f t="shared" ref="DJ12" si="52">ABS(((DJ5*(0.001)*(0.000000000001))/(DJ6*(0.001)))*(1000000000000))</f>
        <v>8.1310999999999982</v>
      </c>
      <c r="DK12">
        <f t="shared" si="49"/>
        <v>7.3359100000000002</v>
      </c>
      <c r="DL12">
        <f t="shared" ref="DL12" si="53">ABS(((DL5*(0.001)*(0.000000000001))/(DL6*(0.001)))*(1000000000000))</f>
        <v>3.5284</v>
      </c>
    </row>
    <row r="13" spans="1:121" x14ac:dyDescent="0.2">
      <c r="A13" s="1" t="s">
        <v>115</v>
      </c>
      <c r="B13">
        <f>ABS((((B10)*(0.000000000001)*(B8)*(0.001))/((B6)*(0.001)))*(1000000000000))</f>
        <v>6.391800536699999</v>
      </c>
      <c r="C13">
        <f t="shared" ref="C13:BP13" si="54">ABS((((C10)*(0.000000000001)*(C8)*(0.001))/((C6)*(0.001)))*(1000000000000))</f>
        <v>3.1770135480600001</v>
      </c>
      <c r="D13">
        <f t="shared" si="54"/>
        <v>12.816808360899998</v>
      </c>
      <c r="E13">
        <f t="shared" si="54"/>
        <v>6.4393644018000007</v>
      </c>
      <c r="F13">
        <f t="shared" si="54"/>
        <v>4.1415547519999993</v>
      </c>
      <c r="G13">
        <f t="shared" si="54"/>
        <v>6.7330414951999993</v>
      </c>
      <c r="H13">
        <f t="shared" si="54"/>
        <v>6.1017497671000003</v>
      </c>
      <c r="I13">
        <f t="shared" si="54"/>
        <v>5.2679979476000014</v>
      </c>
      <c r="J13">
        <f t="shared" si="54"/>
        <v>1.9426925711999996</v>
      </c>
      <c r="K13">
        <f t="shared" si="54"/>
        <v>7.2663764387999992</v>
      </c>
      <c r="L13">
        <f t="shared" si="54"/>
        <v>9.8133792090527017</v>
      </c>
      <c r="M13">
        <f t="shared" si="54"/>
        <v>5.9634416576470928</v>
      </c>
      <c r="N13">
        <f t="shared" si="54"/>
        <v>8.621972916599999</v>
      </c>
      <c r="O13">
        <f t="shared" si="54"/>
        <v>6.9784064186600006</v>
      </c>
      <c r="P13">
        <f t="shared" si="54"/>
        <v>5.9439750680000003</v>
      </c>
      <c r="Q13">
        <f t="shared" si="54"/>
        <v>9.3769842030999975</v>
      </c>
      <c r="R13">
        <f t="shared" si="54"/>
        <v>5.7659015617000007</v>
      </c>
      <c r="S13">
        <f t="shared" si="54"/>
        <v>4.9435101709999989</v>
      </c>
      <c r="T13">
        <f t="shared" si="54"/>
        <v>6.3687977963999991</v>
      </c>
      <c r="U13">
        <f t="shared" si="54"/>
        <v>4.2012945678399998</v>
      </c>
      <c r="V13">
        <f t="shared" si="54"/>
        <v>5.8655231293999996</v>
      </c>
      <c r="W13">
        <f>ABS((((W10)*(0.000000000001)*(W8)*(0.001))/((W6)*(0.001)))*(1000000000000))</f>
        <v>1.94224344706537</v>
      </c>
      <c r="X13">
        <f t="shared" si="54"/>
        <v>5.6914977681000014</v>
      </c>
      <c r="Y13">
        <f t="shared" si="54"/>
        <v>3.5272978020000001</v>
      </c>
      <c r="Z13">
        <f t="shared" si="54"/>
        <v>3.3474243279999998</v>
      </c>
      <c r="AA13">
        <f t="shared" si="54"/>
        <v>1.9251146577599998</v>
      </c>
      <c r="AB13">
        <f t="shared" si="54"/>
        <v>1.9583813354699993</v>
      </c>
      <c r="AC13">
        <f t="shared" si="54"/>
        <v>12.688791656000001</v>
      </c>
      <c r="AD13">
        <f t="shared" si="54"/>
        <v>4.3809950771999997</v>
      </c>
      <c r="AE13">
        <f t="shared" si="54"/>
        <v>6.8273253735999999</v>
      </c>
      <c r="AF13">
        <f t="shared" si="54"/>
        <v>4.3495594754999996</v>
      </c>
      <c r="AG13">
        <f t="shared" si="54"/>
        <v>2.3971099300000001</v>
      </c>
      <c r="AH13">
        <f t="shared" si="54"/>
        <v>4.7001197745599992</v>
      </c>
      <c r="AI13">
        <f t="shared" si="54"/>
        <v>6.7555961862899983</v>
      </c>
      <c r="AJ13">
        <f t="shared" si="54"/>
        <v>2.2141817448799999</v>
      </c>
      <c r="AK13">
        <f t="shared" si="54"/>
        <v>3.900568452299999</v>
      </c>
      <c r="AL13">
        <f t="shared" si="54"/>
        <v>4.0726768946000007</v>
      </c>
      <c r="AM13">
        <f t="shared" si="54"/>
        <v>7.5345529800000008</v>
      </c>
      <c r="AN13">
        <f t="shared" ref="AN13" si="55">ABS((((AN10)*(0.000000000001)*(AN8)*(0.001))/((AN6)*(0.001)))*(1000000000000))</f>
        <v>2.3488600094678338</v>
      </c>
      <c r="AO13">
        <f t="shared" si="54"/>
        <v>4.4405213595999999</v>
      </c>
      <c r="AP13">
        <f t="shared" si="54"/>
        <v>2.5034119380000006</v>
      </c>
      <c r="AQ13">
        <f t="shared" si="54"/>
        <v>6.0878306608408357</v>
      </c>
      <c r="AR13">
        <f t="shared" si="54"/>
        <v>8.0709476987500004</v>
      </c>
      <c r="AS13">
        <f t="shared" si="54"/>
        <v>5.8217415102857135</v>
      </c>
      <c r="AT13">
        <f t="shared" si="54"/>
        <v>5.4120773374000004</v>
      </c>
      <c r="AU13">
        <f t="shared" si="54"/>
        <v>7.0411731279999996</v>
      </c>
      <c r="AV13">
        <f t="shared" si="54"/>
        <v>3.1308680299499994</v>
      </c>
      <c r="AW13">
        <f t="shared" si="54"/>
        <v>5.3171726807499997</v>
      </c>
      <c r="AX13">
        <f t="shared" si="54"/>
        <v>8.7737657630000001</v>
      </c>
      <c r="AY13">
        <f t="shared" si="54"/>
        <v>2.1530791841999997</v>
      </c>
      <c r="AZ13">
        <f t="shared" si="54"/>
        <v>4.6828832297511145</v>
      </c>
      <c r="BA13">
        <f t="shared" si="54"/>
        <v>8.5458978524699987</v>
      </c>
      <c r="BB13">
        <f t="shared" si="54"/>
        <v>4.1821577463999997</v>
      </c>
      <c r="BC13">
        <f t="shared" si="54"/>
        <v>2.0836104984000001</v>
      </c>
      <c r="BD13">
        <f t="shared" si="54"/>
        <v>8.7415278599999997</v>
      </c>
      <c r="BE13">
        <f t="shared" si="54"/>
        <v>7.8333746400000006</v>
      </c>
      <c r="BF13">
        <f t="shared" si="54"/>
        <v>12.128150510699999</v>
      </c>
      <c r="BG13">
        <f t="shared" si="54"/>
        <v>4.4360760322500008</v>
      </c>
      <c r="BH13">
        <f t="shared" si="54"/>
        <v>14.545382123199998</v>
      </c>
      <c r="BI13">
        <f t="shared" si="54"/>
        <v>4.5696121390500002</v>
      </c>
      <c r="BJ13">
        <f t="shared" si="54"/>
        <v>3.4103032511299998</v>
      </c>
      <c r="BK13">
        <f t="shared" si="54"/>
        <v>4.5134351247599991</v>
      </c>
      <c r="BL13">
        <f t="shared" si="54"/>
        <v>5.4771448991999998</v>
      </c>
      <c r="BM13">
        <f t="shared" si="54"/>
        <v>4.8561239160000005</v>
      </c>
      <c r="BN13">
        <f t="shared" si="54"/>
        <v>2.4030137842199997</v>
      </c>
      <c r="BO13">
        <f t="shared" si="54"/>
        <v>4.5332182904499998</v>
      </c>
      <c r="BP13">
        <f t="shared" si="54"/>
        <v>3.9866683596799994</v>
      </c>
      <c r="BQ13">
        <f t="shared" ref="BQ13:BS13" si="56">ABS((((BQ10)*(0.000000000001)*(BQ8)*(0.001))/((BQ6)*(0.001)))*(1000000000000))</f>
        <v>6.2772916932000005</v>
      </c>
      <c r="BR13">
        <f t="shared" si="56"/>
        <v>3.1557720142000001</v>
      </c>
      <c r="BS13">
        <f t="shared" si="56"/>
        <v>3.7316714412600001</v>
      </c>
      <c r="BT13">
        <f t="shared" ref="BT13" si="57">ABS((((BT10)*(0.000000000001)*(BT8)*(0.001))/((BT6)*(0.001)))*(1000000000000))</f>
        <v>7.2507659897804499</v>
      </c>
      <c r="BU13">
        <f t="shared" ref="BU13:BV13" si="58">ABS((((BU10)*(0.000000000001)*(BU8)*(0.001))/((BU6)*(0.001)))*(1000000000000))</f>
        <v>5.2424940364182175</v>
      </c>
      <c r="BV13">
        <f t="shared" si="58"/>
        <v>7.8035580797046311</v>
      </c>
      <c r="BW13">
        <f t="shared" ref="BW13:BX13" si="59">ABS((((BW10)*(0.000000000001)*(BW8)*(0.001))/((BW6)*(0.001)))*(1000000000000))</f>
        <v>4.3081732437999998</v>
      </c>
      <c r="BX13">
        <f t="shared" si="59"/>
        <v>5.9116515077315306</v>
      </c>
      <c r="BY13">
        <f t="shared" ref="BY13:BZ13" si="60">ABS((((BY10)*(0.000000000001)*(BY8)*(0.001))/((BY6)*(0.001)))*(1000000000000))</f>
        <v>6.3690267548859678</v>
      </c>
      <c r="BZ13">
        <f t="shared" si="60"/>
        <v>1.9958043233230687</v>
      </c>
      <c r="CA13">
        <f t="shared" ref="CA13:CB13" si="61">ABS((((CA10)*(0.000000000001)*(CA8)*(0.001))/((CA6)*(0.001)))*(1000000000000))</f>
        <v>5.0152046884003711</v>
      </c>
      <c r="CB13">
        <f t="shared" si="61"/>
        <v>2.8197356420516986</v>
      </c>
      <c r="CC13">
        <f t="shared" ref="CC13" si="62">ABS((((CC10)*(0.000000000001)*(CC8)*(0.001))/((CC6)*(0.001)))*(1000000000000))</f>
        <v>6.8148693932681876</v>
      </c>
      <c r="CD13">
        <f t="shared" ref="CD13:CF13" si="63">ABS((((CD10)*(0.000000000001)*(CD8)*(0.001))/((CD6)*(0.001)))*(1000000000000))</f>
        <v>5.2707788291051818</v>
      </c>
      <c r="CE13">
        <f t="shared" ref="CE13" si="64">ABS((((CE10)*(0.000000000001)*(CE8)*(0.001))/((CE6)*(0.001)))*(1000000000000))</f>
        <v>3.9566496721089051</v>
      </c>
      <c r="CF13">
        <f t="shared" si="63"/>
        <v>5.5692706669773777</v>
      </c>
      <c r="CG13">
        <f t="shared" ref="CG13:CH13" si="65">ABS((((CG10)*(0.000000000001)*(CG8)*(0.001))/((CG6)*(0.001)))*(1000000000000))</f>
        <v>3.086039724949762</v>
      </c>
      <c r="CH13">
        <f t="shared" si="65"/>
        <v>1.7070029852062198</v>
      </c>
      <c r="CI13">
        <f t="shared" ref="CI13" si="66">ABS((((CI10)*(0.000000000001)*(CI8)*(0.001))/((CI6)*(0.001)))*(1000000000000))</f>
        <v>4.9504883473366341</v>
      </c>
      <c r="CJ13">
        <f t="shared" ref="CJ13:CK13" si="67">ABS((((CJ10)*(0.000000000001)*(CJ8)*(0.001))/((CJ6)*(0.001)))*(1000000000000))</f>
        <v>10.871165677992973</v>
      </c>
      <c r="CK13">
        <f t="shared" si="67"/>
        <v>3.9564902711257015</v>
      </c>
      <c r="CL13">
        <f t="shared" ref="CL13:CM13" si="68">ABS((((CL10)*(0.000000000001)*(CL8)*(0.001))/((CL6)*(0.001)))*(1000000000000))</f>
        <v>6.7327601259380581</v>
      </c>
      <c r="CM13">
        <f t="shared" si="68"/>
        <v>35.71199974920625</v>
      </c>
      <c r="CN13">
        <f t="shared" ref="CN13:CP13" si="69">ABS((((CN10)*(0.000000000001)*(CN8)*(0.001))/((CN6)*(0.001)))*(1000000000000))</f>
        <v>7.4679808898985423</v>
      </c>
      <c r="CO13">
        <f t="shared" si="69"/>
        <v>11.63469362221954</v>
      </c>
      <c r="CP13">
        <f t="shared" si="69"/>
        <v>5.9677120734438471</v>
      </c>
      <c r="CQ13">
        <f t="shared" ref="CQ13:DK13" si="70">ABS((((CQ10)*(0.000000000001)*(CQ8)*(0.001))/((CQ6)*(0.001)))*(1000000000000))</f>
        <v>19.946134186819162</v>
      </c>
      <c r="CR13">
        <f t="shared" si="70"/>
        <v>6.4223087544769069</v>
      </c>
      <c r="CS13">
        <f t="shared" si="70"/>
        <v>3.6916910040154773</v>
      </c>
      <c r="CT13">
        <f t="shared" ref="CT13" si="71">ABS((((CT10)*(0.000000000001)*(CT8)*(0.001))/((CT6)*(0.001)))*(1000000000000))</f>
        <v>3.9347221929654719</v>
      </c>
      <c r="CU13">
        <f t="shared" si="70"/>
        <v>3.6236144062996232</v>
      </c>
      <c r="CV13">
        <f t="shared" si="70"/>
        <v>4.5734651714511285</v>
      </c>
      <c r="CW13">
        <f t="shared" si="70"/>
        <v>6.030428868010616</v>
      </c>
      <c r="CX13">
        <f t="shared" si="70"/>
        <v>6.5530017198397887</v>
      </c>
      <c r="CY13">
        <f t="shared" si="70"/>
        <v>3.777933176509281</v>
      </c>
      <c r="CZ13">
        <f t="shared" si="70"/>
        <v>9.9263324350349986</v>
      </c>
      <c r="DA13">
        <f t="shared" si="70"/>
        <v>11.434164766058357</v>
      </c>
      <c r="DB13">
        <f t="shared" si="70"/>
        <v>5.9563082406483732</v>
      </c>
      <c r="DC13">
        <f t="shared" ref="DC13:DD13" si="72">ABS((((DC10)*(0.000000000001)*(DC8)*(0.001))/((DC6)*(0.001)))*(1000000000000))</f>
        <v>5.1578729531264251</v>
      </c>
      <c r="DD13">
        <f t="shared" si="72"/>
        <v>3.2428538967767278</v>
      </c>
      <c r="DE13">
        <f t="shared" si="70"/>
        <v>7.618925827711827</v>
      </c>
      <c r="DF13">
        <f t="shared" si="70"/>
        <v>3.010194052165716</v>
      </c>
      <c r="DG13">
        <f t="shared" si="70"/>
        <v>4.5653243432231205</v>
      </c>
      <c r="DH13">
        <f t="shared" si="70"/>
        <v>14.655155392348769</v>
      </c>
      <c r="DI13">
        <f t="shared" si="70"/>
        <v>2.6636050095151971</v>
      </c>
      <c r="DJ13">
        <f t="shared" ref="DJ13" si="73">ABS((((DJ10)*(0.000000000001)*(DJ8)*(0.001))/((DJ6)*(0.001)))*(1000000000000))</f>
        <v>4.3495176746170765</v>
      </c>
      <c r="DK13">
        <f t="shared" si="70"/>
        <v>4.424043523818284</v>
      </c>
      <c r="DL13">
        <f t="shared" ref="DL13" si="74">ABS((((DL10)*(0.000000000001)*(DL8)*(0.001))/((DL6)*(0.001)))*(1000000000000))</f>
        <v>1.5789424310550071</v>
      </c>
    </row>
    <row r="15" spans="1:121" x14ac:dyDescent="0.2">
      <c r="CK15" s="6"/>
      <c r="CL15" s="6"/>
      <c r="CM15" s="6"/>
      <c r="CN15" s="6"/>
    </row>
    <row r="16" spans="1:121" x14ac:dyDescent="0.2">
      <c r="BV16" s="3"/>
      <c r="BW16" s="4"/>
      <c r="BY16" s="5"/>
      <c r="CJ16" s="3"/>
      <c r="CK16" s="6"/>
      <c r="CL16" s="6"/>
      <c r="CM16" s="6"/>
      <c r="CN16" s="6"/>
    </row>
    <row r="17" spans="1:94" x14ac:dyDescent="0.2">
      <c r="BV17" s="3"/>
      <c r="BW17" s="4"/>
      <c r="BY17" s="5"/>
      <c r="CJ17" s="3"/>
      <c r="CK17" s="6"/>
      <c r="CL17" s="6"/>
      <c r="CM17" s="6"/>
      <c r="CN17" s="6"/>
    </row>
    <row r="18" spans="1:94" x14ac:dyDescent="0.2">
      <c r="A18" s="1"/>
    </row>
    <row r="19" spans="1:94" x14ac:dyDescent="0.2">
      <c r="BV19" s="3"/>
      <c r="BW19" s="4"/>
      <c r="BY19" s="5"/>
      <c r="CJ19" s="3"/>
      <c r="CK19" s="6"/>
      <c r="CL19" s="6"/>
      <c r="CM19" s="6"/>
      <c r="CN19" s="6"/>
      <c r="CP19" s="5"/>
    </row>
    <row r="20" spans="1:94" x14ac:dyDescent="0.2">
      <c r="A20" s="1"/>
    </row>
    <row r="21" spans="1:94" x14ac:dyDescent="0.2">
      <c r="BV21" s="3"/>
      <c r="BW21" s="4"/>
      <c r="BY21" s="5"/>
      <c r="CJ21" s="3"/>
      <c r="CK21" s="6"/>
      <c r="CL21" s="6"/>
      <c r="CM21" s="6"/>
      <c r="CN21" s="6"/>
      <c r="CP21" s="5"/>
    </row>
    <row r="22" spans="1:94" x14ac:dyDescent="0.2">
      <c r="BV22" s="3"/>
      <c r="BW22" s="4"/>
      <c r="BY22" s="5"/>
      <c r="CJ22" s="3"/>
      <c r="CK22" s="6"/>
      <c r="CL22" s="6"/>
      <c r="CM22" s="6"/>
      <c r="CN22" s="6"/>
      <c r="CP22" s="5"/>
    </row>
    <row r="23" spans="1:94" x14ac:dyDescent="0.2">
      <c r="BV23" s="3"/>
      <c r="BW23" s="4"/>
      <c r="BY23" s="5"/>
      <c r="CJ23" s="3"/>
      <c r="CK23" s="6"/>
      <c r="CL23" s="6"/>
      <c r="CM23" s="6"/>
      <c r="CN23" s="6"/>
      <c r="CP23" s="5"/>
    </row>
    <row r="24" spans="1:94" x14ac:dyDescent="0.2">
      <c r="BV24" s="3"/>
      <c r="BW24" s="4"/>
      <c r="BY24" s="5"/>
      <c r="CJ24" s="3"/>
      <c r="CK24" s="6"/>
      <c r="CL24" s="6"/>
      <c r="CM24" s="6"/>
      <c r="CN24" s="6"/>
      <c r="CP24" s="5"/>
    </row>
    <row r="25" spans="1:94" x14ac:dyDescent="0.2">
      <c r="BV25" s="3"/>
      <c r="BW25" s="4"/>
      <c r="BY25" s="5"/>
      <c r="CJ25" s="3"/>
      <c r="CK25" s="6"/>
      <c r="CL25" s="6"/>
      <c r="CM25" s="6"/>
      <c r="CN25" s="6"/>
      <c r="CP25" s="5"/>
    </row>
    <row r="26" spans="1:94" x14ac:dyDescent="0.2">
      <c r="BV26" s="3"/>
      <c r="BW26" s="4"/>
      <c r="BY26" s="5"/>
      <c r="CJ26" s="3"/>
      <c r="CK26" s="6"/>
      <c r="CL26" s="6"/>
      <c r="CM26" s="6"/>
      <c r="CN26" s="6"/>
      <c r="CP26" s="5"/>
    </row>
    <row r="27" spans="1:94" x14ac:dyDescent="0.2">
      <c r="BV27" s="3"/>
      <c r="BW27" s="4"/>
      <c r="BY27" s="5"/>
      <c r="CJ27" s="3"/>
      <c r="CK27" s="6"/>
      <c r="CL27" s="6"/>
      <c r="CM27" s="6"/>
      <c r="CN27" s="6"/>
      <c r="CP27" s="5"/>
    </row>
    <row r="28" spans="1:94" x14ac:dyDescent="0.2">
      <c r="CJ28" s="3"/>
      <c r="CK28" s="6"/>
      <c r="CL28" s="6"/>
      <c r="CM28" s="6"/>
      <c r="CN28" s="6"/>
      <c r="CP28" s="5"/>
    </row>
    <row r="29" spans="1:94" x14ac:dyDescent="0.2">
      <c r="CJ29" s="3"/>
      <c r="CK29" s="6"/>
      <c r="CL29" s="6"/>
      <c r="CM29" s="6"/>
      <c r="CN29" s="6"/>
      <c r="CP29" s="5"/>
    </row>
    <row r="30" spans="1:94" x14ac:dyDescent="0.2">
      <c r="CJ30" s="3"/>
      <c r="CK30" s="6"/>
      <c r="CL30" s="6"/>
      <c r="CM30" s="6"/>
      <c r="CN30" s="6"/>
      <c r="CP30" s="5"/>
    </row>
    <row r="31" spans="1:94" x14ac:dyDescent="0.2">
      <c r="CJ31" s="3"/>
      <c r="CK31" s="6"/>
      <c r="CL31" s="6"/>
      <c r="CM31" s="6"/>
      <c r="CN31" s="6"/>
      <c r="CP31" s="5"/>
    </row>
    <row r="32" spans="1:94" x14ac:dyDescent="0.2">
      <c r="CJ32" s="3"/>
      <c r="CK32" s="6"/>
      <c r="CL32" s="6"/>
      <c r="CM32" s="6"/>
      <c r="CN32" s="6"/>
      <c r="CP32" s="5"/>
    </row>
    <row r="33" spans="88:94" x14ac:dyDescent="0.2">
      <c r="CJ33" s="3"/>
      <c r="CK33" s="6"/>
      <c r="CL33" s="6"/>
      <c r="CM33" s="6"/>
      <c r="CN33" s="6"/>
      <c r="CP33" s="5"/>
    </row>
    <row r="34" spans="88:94" x14ac:dyDescent="0.2">
      <c r="CJ34" s="3"/>
      <c r="CK34" s="6"/>
      <c r="CL34" s="6"/>
      <c r="CM34" s="6"/>
      <c r="CN34" s="6"/>
      <c r="CP34" s="5"/>
    </row>
  </sheetData>
  <sortState ref="DR11:DR78">
    <sortCondition ref="DR78"/>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MetaData</vt:lpstr>
      <vt:lpstr>Capacitance</vt:lpstr>
      <vt:lpstr>Capacitance!direpn</vt:lpstr>
      <vt:lpstr>Capacitance!dirlvnv</vt:lpstr>
    </vt:vector>
  </TitlesOfParts>
  <Company>University of Nevada, Reno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E Delcarlo</dc:creator>
  <cp:lastModifiedBy>Robert Eugene del Carlo</cp:lastModifiedBy>
  <dcterms:created xsi:type="dcterms:W3CDTF">2019-11-20T06:51:20Z</dcterms:created>
  <dcterms:modified xsi:type="dcterms:W3CDTF">2020-04-17T09:35:18Z</dcterms:modified>
</cp:coreProperties>
</file>